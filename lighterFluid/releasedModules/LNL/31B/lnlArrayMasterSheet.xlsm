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.sharepoint.com/sites/lnl-cpusortdevelopment/Shared Documents/ARRAY/lighterFluidFiles/"/>
    </mc:Choice>
  </mc:AlternateContent>
  <xr:revisionPtr revIDLastSave="14096" documentId="14_{7B9D3A51-E66F-480F-9F3C-034AAA2373BC}" xr6:coauthVersionLast="47" xr6:coauthVersionMax="47" xr10:uidLastSave="{05287405-EFB0-4EB8-98D9-2579168EC081}"/>
  <bookViews>
    <workbookView xWindow="-110" yWindow="-110" windowWidth="19420" windowHeight="11620" firstSheet="2" activeTab="3" xr2:uid="{00000000-000D-0000-FFFF-FFFF00000000}"/>
  </bookViews>
  <sheets>
    <sheet name="binningRules" sheetId="13" r:id="rId1"/>
    <sheet name="templateLookup" sheetId="14" r:id="rId2"/>
    <sheet name="DuplicatedCounters" sheetId="22" r:id="rId3"/>
    <sheet name="arr_common" sheetId="15" r:id="rId4"/>
    <sheet name="arr_atom" sheetId="16" r:id="rId5"/>
    <sheet name="arr_ccf" sheetId="17" r:id="rId6"/>
    <sheet name="arr_core" sheetId="18" r:id="rId7"/>
    <sheet name="arr_gfx" sheetId="19" r:id="rId8"/>
    <sheet name="arr_soc" sheetId="20" r:id="rId9"/>
    <sheet name="arr_vpu" sheetId="21" r:id="rId10"/>
  </sheets>
  <definedNames>
    <definedName name="_xlnm._FilterDatabase" localSheetId="4" hidden="1">arr_atom!$A$1:$BG$147</definedName>
    <definedName name="_xlnm._FilterDatabase" localSheetId="5" hidden="1">arr_ccf!$A$1:$AX$76</definedName>
    <definedName name="_xlnm._FilterDatabase" localSheetId="3" hidden="1">arr_common!$A$1:$BD$498</definedName>
    <definedName name="_xlnm._FilterDatabase" localSheetId="6" hidden="1">arr_core!$A$1:$AZ$58</definedName>
    <definedName name="_xlnm._FilterDatabase" localSheetId="7" hidden="1">arr_gfx!$A$1:$AX$106</definedName>
    <definedName name="_xlnm._FilterDatabase" localSheetId="8" hidden="1">arr_soc!$A$1:$BA$113</definedName>
    <definedName name="_xlnm._FilterDatabase" localSheetId="9" hidden="1">arr_vpu!$A$1:$BD$242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428" i="15" l="1"/>
  <c r="AX428" i="15"/>
  <c r="AW428" i="15"/>
  <c r="AV428" i="15"/>
  <c r="AU428" i="15"/>
  <c r="BD426" i="15"/>
  <c r="BB426" i="15"/>
  <c r="BA426" i="15"/>
  <c r="AZ426" i="15"/>
  <c r="AY426" i="15"/>
  <c r="AX426" i="15"/>
  <c r="AU426" i="15"/>
  <c r="AW426" i="15"/>
  <c r="AV426" i="15"/>
  <c r="BC426" i="15"/>
  <c r="BC425" i="15"/>
  <c r="BD425" i="15"/>
  <c r="BB425" i="15"/>
  <c r="BA425" i="15"/>
  <c r="AZ425" i="15"/>
  <c r="AY425" i="15"/>
  <c r="AX425" i="15"/>
  <c r="AW425" i="15"/>
  <c r="AV425" i="15"/>
  <c r="AU425" i="15"/>
  <c r="AY424" i="15"/>
  <c r="AX424" i="15"/>
  <c r="AW424" i="15"/>
  <c r="AV424" i="15"/>
  <c r="AU424" i="15"/>
  <c r="BD423" i="15"/>
  <c r="BC423" i="15"/>
  <c r="BB423" i="15"/>
  <c r="BA423" i="15"/>
  <c r="AZ423" i="15"/>
  <c r="AY423" i="15"/>
  <c r="AX423" i="15"/>
  <c r="AW423" i="15"/>
  <c r="AV423" i="15"/>
  <c r="AU423" i="15"/>
  <c r="AY422" i="15"/>
  <c r="AX422" i="15"/>
  <c r="AW422" i="15"/>
  <c r="AV422" i="15"/>
  <c r="AU422" i="15"/>
  <c r="BD421" i="15"/>
  <c r="BC421" i="15"/>
  <c r="BB421" i="15"/>
  <c r="BA421" i="15"/>
  <c r="AZ421" i="15"/>
  <c r="AY421" i="15"/>
  <c r="AX421" i="15"/>
  <c r="AW421" i="15"/>
  <c r="AV421" i="15"/>
  <c r="AU421" i="15"/>
  <c r="C14" i="13"/>
  <c r="C15" i="13"/>
  <c r="C16" i="13"/>
  <c r="C17" i="13"/>
  <c r="C18" i="13"/>
  <c r="C19" i="13"/>
  <c r="C13" i="13"/>
  <c r="AS104" i="20"/>
  <c r="AR104" i="20"/>
  <c r="AV99" i="20"/>
  <c r="AS99" i="20"/>
  <c r="AT99" i="20"/>
  <c r="AU99" i="20"/>
  <c r="AR99" i="20"/>
  <c r="M449" i="15"/>
  <c r="M450" i="15"/>
  <c r="M451" i="15"/>
  <c r="M452" i="15"/>
  <c r="M453" i="15"/>
  <c r="M448" i="15"/>
  <c r="M35" i="18"/>
  <c r="M29" i="18"/>
  <c r="M24" i="18"/>
  <c r="M17" i="18"/>
  <c r="M16" i="18"/>
  <c r="M12" i="18"/>
  <c r="M11" i="18"/>
  <c r="M9" i="18"/>
  <c r="M8" i="18"/>
  <c r="M5" i="18"/>
  <c r="M4" i="18"/>
  <c r="M73" i="17"/>
  <c r="M72" i="17"/>
  <c r="M71" i="17"/>
  <c r="M69" i="17"/>
  <c r="M68" i="17"/>
  <c r="M67" i="17"/>
  <c r="M64" i="17"/>
  <c r="M63" i="17"/>
  <c r="M62" i="17"/>
  <c r="M32" i="17"/>
  <c r="M31" i="17"/>
  <c r="M30" i="17"/>
  <c r="M29" i="17"/>
  <c r="M28" i="17"/>
  <c r="M21" i="17"/>
  <c r="M20" i="17"/>
  <c r="M19" i="17"/>
  <c r="M15" i="17"/>
  <c r="M14" i="17"/>
  <c r="M13" i="17"/>
  <c r="M11" i="17"/>
  <c r="M10" i="17"/>
  <c r="M9" i="17"/>
  <c r="M6" i="17"/>
  <c r="M5" i="17"/>
  <c r="M4" i="17"/>
  <c r="M6" i="16"/>
  <c r="M144" i="16"/>
  <c r="M143" i="16"/>
  <c r="M141" i="16"/>
  <c r="M140" i="16"/>
  <c r="M137" i="16"/>
  <c r="M136" i="16"/>
  <c r="M98" i="16"/>
  <c r="M97" i="16"/>
  <c r="M93" i="16"/>
  <c r="M92" i="16"/>
  <c r="M90" i="16"/>
  <c r="M89" i="16"/>
  <c r="M86" i="16"/>
  <c r="M85" i="16"/>
  <c r="M81" i="16"/>
  <c r="M80" i="16"/>
  <c r="M77" i="16"/>
  <c r="M76" i="16"/>
  <c r="M75" i="16"/>
  <c r="M74" i="16"/>
  <c r="M73" i="16"/>
  <c r="M72" i="16"/>
  <c r="M71" i="16"/>
  <c r="M70" i="16"/>
  <c r="M67" i="16"/>
  <c r="M66" i="16"/>
  <c r="M65" i="16"/>
  <c r="M64" i="16"/>
  <c r="M63" i="16"/>
  <c r="M62" i="16"/>
  <c r="M61" i="16"/>
  <c r="M60" i="16"/>
  <c r="M57" i="16"/>
  <c r="M56" i="16"/>
  <c r="M55" i="16"/>
  <c r="M54" i="16"/>
  <c r="M53" i="16"/>
  <c r="M52" i="16"/>
  <c r="M51" i="16"/>
  <c r="M50" i="16"/>
  <c r="M47" i="16"/>
  <c r="M46" i="16"/>
  <c r="M45" i="16"/>
  <c r="M44" i="16"/>
  <c r="M43" i="16"/>
  <c r="M42" i="16"/>
  <c r="M41" i="16"/>
  <c r="M40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472" i="15"/>
  <c r="M473" i="15"/>
  <c r="M474" i="15"/>
  <c r="M471" i="15"/>
  <c r="M440" i="15"/>
  <c r="M441" i="15"/>
  <c r="M442" i="15"/>
  <c r="M439" i="15"/>
  <c r="M434" i="15"/>
  <c r="M435" i="15"/>
  <c r="M436" i="15"/>
  <c r="M433" i="15"/>
  <c r="M421" i="15"/>
  <c r="M422" i="15"/>
  <c r="M423" i="15"/>
  <c r="M424" i="15"/>
  <c r="M425" i="15"/>
  <c r="M426" i="15"/>
  <c r="M427" i="15"/>
  <c r="M428" i="15"/>
  <c r="M429" i="15"/>
  <c r="M430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76" i="15"/>
  <c r="M71" i="15"/>
  <c r="M72" i="15"/>
  <c r="M73" i="15"/>
  <c r="M70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36" i="15"/>
  <c r="C45" i="18" l="1"/>
  <c r="D45" i="18"/>
  <c r="U45" i="18"/>
  <c r="C48" i="18"/>
  <c r="D48" i="18"/>
  <c r="AT47" i="18" s="1"/>
  <c r="U48" i="18"/>
  <c r="U46" i="18"/>
  <c r="C46" i="18"/>
  <c r="D46" i="18"/>
  <c r="AU45" i="18" s="1"/>
  <c r="AV171" i="21"/>
  <c r="R463" i="15"/>
  <c r="D463" i="15"/>
  <c r="BB462" i="15" s="1"/>
  <c r="C463" i="15"/>
  <c r="AP89" i="20"/>
  <c r="C89" i="20"/>
  <c r="D89" i="20"/>
  <c r="AR88" i="20" s="1"/>
  <c r="AP96" i="20"/>
  <c r="C96" i="20"/>
  <c r="D96" i="20"/>
  <c r="AS95" i="20" s="1"/>
  <c r="AQ45" i="18" l="1"/>
  <c r="AR45" i="18"/>
  <c r="AS45" i="18"/>
  <c r="AT45" i="18"/>
  <c r="AQ47" i="18"/>
  <c r="AS47" i="18"/>
  <c r="AR47" i="18"/>
  <c r="AU47" i="18"/>
  <c r="BA462" i="15"/>
  <c r="AZ462" i="15"/>
  <c r="AY462" i="15"/>
  <c r="AX462" i="15"/>
  <c r="AW462" i="15"/>
  <c r="BD462" i="15"/>
  <c r="AV462" i="15"/>
  <c r="BC462" i="15"/>
  <c r="AU462" i="15"/>
  <c r="AS88" i="20"/>
  <c r="AR95" i="20"/>
  <c r="M456" i="15" l="1"/>
  <c r="D456" i="15" s="1"/>
  <c r="R467" i="15"/>
  <c r="D467" i="15"/>
  <c r="BB466" i="15" s="1"/>
  <c r="C467" i="15"/>
  <c r="R466" i="15"/>
  <c r="D466" i="15"/>
  <c r="C466" i="15"/>
  <c r="R465" i="15"/>
  <c r="D465" i="15"/>
  <c r="C465" i="15"/>
  <c r="R464" i="15"/>
  <c r="D464" i="15"/>
  <c r="C464" i="15"/>
  <c r="R462" i="15"/>
  <c r="D462" i="15"/>
  <c r="C462" i="15"/>
  <c r="R461" i="15"/>
  <c r="D461" i="15"/>
  <c r="BA460" i="15" s="1"/>
  <c r="C461" i="15"/>
  <c r="R460" i="15"/>
  <c r="D460" i="15"/>
  <c r="BC459" i="15" s="1"/>
  <c r="C460" i="15"/>
  <c r="C459" i="15"/>
  <c r="AV458" i="15"/>
  <c r="AU458" i="15"/>
  <c r="AS468" i="15"/>
  <c r="R468" i="15"/>
  <c r="D468" i="15"/>
  <c r="BD467" i="15" s="1"/>
  <c r="C468" i="15"/>
  <c r="AS456" i="15"/>
  <c r="R456" i="15"/>
  <c r="C456" i="15"/>
  <c r="AS453" i="15"/>
  <c r="R459" i="15"/>
  <c r="D459" i="15"/>
  <c r="C452" i="15"/>
  <c r="C453" i="15"/>
  <c r="R453" i="15"/>
  <c r="D453" i="15"/>
  <c r="AV452" i="15" s="1"/>
  <c r="R452" i="15"/>
  <c r="D452" i="15"/>
  <c r="BD451" i="15" s="1"/>
  <c r="R448" i="15"/>
  <c r="D448" i="15"/>
  <c r="R451" i="15"/>
  <c r="D451" i="15"/>
  <c r="AZ450" i="15" s="1"/>
  <c r="R450" i="15"/>
  <c r="D450" i="15"/>
  <c r="BD449" i="15" s="1"/>
  <c r="R449" i="15"/>
  <c r="D449" i="15"/>
  <c r="AW448" i="15" s="1"/>
  <c r="AU461" i="15" l="1"/>
  <c r="AV461" i="15"/>
  <c r="BD461" i="15"/>
  <c r="AW461" i="15"/>
  <c r="AX461" i="15"/>
  <c r="AY461" i="15"/>
  <c r="AZ461" i="15"/>
  <c r="BA461" i="15"/>
  <c r="BB461" i="15"/>
  <c r="BC461" i="15"/>
  <c r="AV465" i="15"/>
  <c r="BD465" i="15"/>
  <c r="AW465" i="15"/>
  <c r="AX465" i="15"/>
  <c r="AY465" i="15"/>
  <c r="AZ465" i="15"/>
  <c r="BA465" i="15"/>
  <c r="BC465" i="15"/>
  <c r="BB465" i="15"/>
  <c r="AU465" i="15"/>
  <c r="AX464" i="15"/>
  <c r="AY464" i="15"/>
  <c r="AZ464" i="15"/>
  <c r="BA464" i="15"/>
  <c r="BB464" i="15"/>
  <c r="AU464" i="15"/>
  <c r="BC464" i="15"/>
  <c r="AV464" i="15"/>
  <c r="BD464" i="15"/>
  <c r="AW464" i="15"/>
  <c r="AZ463" i="15"/>
  <c r="BA463" i="15"/>
  <c r="BB463" i="15"/>
  <c r="AU463" i="15"/>
  <c r="BC463" i="15"/>
  <c r="AV463" i="15"/>
  <c r="BD463" i="15"/>
  <c r="AW463" i="15"/>
  <c r="AX463" i="15"/>
  <c r="AY463" i="15"/>
  <c r="AU467" i="15"/>
  <c r="BD459" i="15"/>
  <c r="AV459" i="15"/>
  <c r="AU459" i="15"/>
  <c r="BC466" i="15"/>
  <c r="AX448" i="15"/>
  <c r="AW459" i="15"/>
  <c r="BD466" i="15"/>
  <c r="AY448" i="15"/>
  <c r="AZ448" i="15"/>
  <c r="BA448" i="15"/>
  <c r="AV467" i="15"/>
  <c r="BB448" i="15"/>
  <c r="AU460" i="15"/>
  <c r="AW467" i="15"/>
  <c r="BC448" i="15"/>
  <c r="AV460" i="15"/>
  <c r="AX467" i="15"/>
  <c r="BD448" i="15"/>
  <c r="AY467" i="15"/>
  <c r="AZ467" i="15"/>
  <c r="BA467" i="15"/>
  <c r="AW460" i="15"/>
  <c r="AU466" i="15"/>
  <c r="AY460" i="15"/>
  <c r="AV466" i="15"/>
  <c r="AX459" i="15"/>
  <c r="AZ460" i="15"/>
  <c r="AW466" i="15"/>
  <c r="BB467" i="15"/>
  <c r="BC467" i="15"/>
  <c r="AX466" i="15"/>
  <c r="AZ459" i="15"/>
  <c r="BB460" i="15"/>
  <c r="AY466" i="15"/>
  <c r="AY459" i="15"/>
  <c r="BA459" i="15"/>
  <c r="BC460" i="15"/>
  <c r="AZ466" i="15"/>
  <c r="AU448" i="15"/>
  <c r="BB459" i="15"/>
  <c r="BD460" i="15"/>
  <c r="BA466" i="15"/>
  <c r="AV448" i="15"/>
  <c r="AX460" i="15"/>
  <c r="AX452" i="15"/>
  <c r="BC450" i="15"/>
  <c r="BD450" i="15"/>
  <c r="AY452" i="15"/>
  <c r="AU450" i="15"/>
  <c r="AV450" i="15"/>
  <c r="BA450" i="15"/>
  <c r="BB450" i="15"/>
  <c r="AW452" i="15"/>
  <c r="AW450" i="15"/>
  <c r="AU451" i="15"/>
  <c r="BA452" i="15"/>
  <c r="AV451" i="15"/>
  <c r="BB452" i="15"/>
  <c r="AW451" i="15"/>
  <c r="BC452" i="15"/>
  <c r="AX451" i="15"/>
  <c r="BD452" i="15"/>
  <c r="AZ452" i="15"/>
  <c r="AY451" i="15"/>
  <c r="AZ451" i="15"/>
  <c r="BA451" i="15"/>
  <c r="BB451" i="15"/>
  <c r="BC451" i="15"/>
  <c r="AX450" i="15"/>
  <c r="AY450" i="15"/>
  <c r="AU452" i="15"/>
  <c r="BA449" i="15"/>
  <c r="AW449" i="15"/>
  <c r="BB449" i="15"/>
  <c r="AV449" i="15"/>
  <c r="BC449" i="15"/>
  <c r="AU449" i="15"/>
  <c r="AX449" i="15"/>
  <c r="AY449" i="15"/>
  <c r="AZ449" i="15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7" i="18"/>
  <c r="C49" i="18"/>
  <c r="C50" i="18"/>
  <c r="C51" i="18"/>
  <c r="C52" i="18"/>
  <c r="C53" i="18"/>
  <c r="C54" i="18"/>
  <c r="C55" i="18"/>
  <c r="C56" i="18"/>
  <c r="C57" i="18"/>
  <c r="C58" i="18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90" i="20"/>
  <c r="C91" i="20"/>
  <c r="C92" i="20"/>
  <c r="C93" i="20"/>
  <c r="C94" i="20"/>
  <c r="C95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" i="21"/>
  <c r="C2" i="20"/>
  <c r="C2" i="19"/>
  <c r="C2" i="18"/>
  <c r="C2" i="17"/>
  <c r="C2" i="16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4" i="15"/>
  <c r="C455" i="15"/>
  <c r="C457" i="15"/>
  <c r="C45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2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3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AS463" i="15" l="1"/>
  <c r="AS462" i="15"/>
  <c r="AS461" i="15"/>
  <c r="AS464" i="15"/>
  <c r="AS465" i="15"/>
  <c r="AS466" i="15"/>
  <c r="AS460" i="15"/>
  <c r="AS467" i="15"/>
  <c r="AS459" i="15"/>
  <c r="AS450" i="15"/>
  <c r="AS452" i="15"/>
  <c r="AS451" i="15"/>
  <c r="AS449" i="15"/>
  <c r="D104" i="20"/>
  <c r="T103" i="21"/>
  <c r="U103" i="21" s="1"/>
  <c r="T125" i="21"/>
  <c r="T126" i="21" s="1"/>
  <c r="U206" i="21"/>
  <c r="D207" i="21"/>
  <c r="U207" i="21"/>
  <c r="AU207" i="21"/>
  <c r="AS207" i="21" s="1"/>
  <c r="AU208" i="21"/>
  <c r="AV208" i="21"/>
  <c r="D209" i="21"/>
  <c r="U209" i="21"/>
  <c r="D210" i="21"/>
  <c r="AU209" i="21" s="1"/>
  <c r="U210" i="21"/>
  <c r="D211" i="21"/>
  <c r="AU210" i="21" s="1"/>
  <c r="U211" i="21"/>
  <c r="AS211" i="21"/>
  <c r="AU213" i="21"/>
  <c r="AV213" i="21"/>
  <c r="D214" i="21"/>
  <c r="U214" i="21"/>
  <c r="D215" i="21"/>
  <c r="AV214" i="21" s="1"/>
  <c r="T215" i="21"/>
  <c r="U215" i="21" s="1"/>
  <c r="D216" i="21"/>
  <c r="AU215" i="21" s="1"/>
  <c r="D217" i="21"/>
  <c r="AV216" i="21" s="1"/>
  <c r="D218" i="21"/>
  <c r="AV217" i="21" s="1"/>
  <c r="D219" i="21"/>
  <c r="AV218" i="21" s="1"/>
  <c r="D220" i="21"/>
  <c r="AV219" i="21" s="1"/>
  <c r="D221" i="21"/>
  <c r="AV220" i="21" s="1"/>
  <c r="AV221" i="21"/>
  <c r="D222" i="21"/>
  <c r="AW220" i="21" s="1"/>
  <c r="D223" i="21"/>
  <c r="AV222" i="21" s="1"/>
  <c r="D224" i="21"/>
  <c r="AU223" i="21" s="1"/>
  <c r="D225" i="21"/>
  <c r="AV224" i="21" s="1"/>
  <c r="AS224" i="21" s="1"/>
  <c r="AS225" i="21"/>
  <c r="D228" i="21"/>
  <c r="U228" i="21"/>
  <c r="D229" i="21"/>
  <c r="AV228" i="21" s="1"/>
  <c r="U229" i="21"/>
  <c r="D230" i="21"/>
  <c r="AW228" i="21" s="1"/>
  <c r="T230" i="21"/>
  <c r="U230" i="21" s="1"/>
  <c r="AW230" i="21"/>
  <c r="D231" i="21"/>
  <c r="AV230" i="21" s="1"/>
  <c r="D232" i="21"/>
  <c r="AU231" i="21" s="1"/>
  <c r="D233" i="21"/>
  <c r="AV232" i="21" s="1"/>
  <c r="D234" i="21"/>
  <c r="AW232" i="21" s="1"/>
  <c r="D235" i="21"/>
  <c r="AV234" i="21" s="1"/>
  <c r="D236" i="21"/>
  <c r="AU235" i="21" s="1"/>
  <c r="D237" i="21"/>
  <c r="AV236" i="21" s="1"/>
  <c r="D238" i="21"/>
  <c r="AW236" i="21" s="1"/>
  <c r="D239" i="21"/>
  <c r="AV238" i="21" s="1"/>
  <c r="AS238" i="21" s="1"/>
  <c r="AS239" i="21"/>
  <c r="U170" i="21"/>
  <c r="D171" i="21"/>
  <c r="U171" i="21"/>
  <c r="AU171" i="21"/>
  <c r="AW171" i="21"/>
  <c r="AX171" i="21"/>
  <c r="AY171" i="21"/>
  <c r="AU172" i="21"/>
  <c r="AV172" i="21"/>
  <c r="D173" i="21"/>
  <c r="U173" i="21"/>
  <c r="D174" i="21"/>
  <c r="AV173" i="21" s="1"/>
  <c r="T174" i="21"/>
  <c r="T175" i="21" s="1"/>
  <c r="U175" i="21" s="1"/>
  <c r="D175" i="21"/>
  <c r="AX174" i="21" s="1"/>
  <c r="AS175" i="21"/>
  <c r="AU177" i="21"/>
  <c r="AV177" i="21"/>
  <c r="D178" i="21"/>
  <c r="U178" i="21"/>
  <c r="D179" i="21"/>
  <c r="AV178" i="21" s="1"/>
  <c r="T179" i="21"/>
  <c r="U179" i="21" s="1"/>
  <c r="D180" i="21"/>
  <c r="AW178" i="21" s="1"/>
  <c r="D181" i="21"/>
  <c r="AV180" i="21" s="1"/>
  <c r="D182" i="21"/>
  <c r="AV181" i="21" s="1"/>
  <c r="D183" i="21"/>
  <c r="AV182" i="21" s="1"/>
  <c r="D184" i="21"/>
  <c r="AU183" i="21" s="1"/>
  <c r="D185" i="21"/>
  <c r="AV184" i="21" s="1"/>
  <c r="D186" i="21"/>
  <c r="AW184" i="21" s="1"/>
  <c r="D187" i="21"/>
  <c r="AV186" i="21" s="1"/>
  <c r="D188" i="21"/>
  <c r="AX187" i="21" s="1"/>
  <c r="D189" i="21"/>
  <c r="AV188" i="21" s="1"/>
  <c r="AS188" i="21" s="1"/>
  <c r="AS189" i="21"/>
  <c r="AS191" i="21"/>
  <c r="D192" i="21"/>
  <c r="U192" i="21"/>
  <c r="D193" i="21"/>
  <c r="AV192" i="21" s="1"/>
  <c r="T193" i="21"/>
  <c r="U193" i="21" s="1"/>
  <c r="D194" i="21"/>
  <c r="AU193" i="21" s="1"/>
  <c r="D195" i="21"/>
  <c r="AV194" i="21" s="1"/>
  <c r="D196" i="21"/>
  <c r="AU195" i="21" s="1"/>
  <c r="D197" i="21"/>
  <c r="AV196" i="21" s="1"/>
  <c r="D198" i="21"/>
  <c r="AW197" i="21" s="1"/>
  <c r="D199" i="21"/>
  <c r="AV198" i="21" s="1"/>
  <c r="D200" i="21"/>
  <c r="AU199" i="21" s="1"/>
  <c r="D201" i="21"/>
  <c r="AV200" i="21" s="1"/>
  <c r="D202" i="21"/>
  <c r="AY201" i="21" s="1"/>
  <c r="D203" i="21"/>
  <c r="AV202" i="21" s="1"/>
  <c r="AS202" i="21" s="1"/>
  <c r="AS203" i="21"/>
  <c r="U205" i="21"/>
  <c r="U164" i="21"/>
  <c r="D165" i="21"/>
  <c r="U165" i="21"/>
  <c r="AS165" i="21"/>
  <c r="U166" i="21"/>
  <c r="U167" i="21"/>
  <c r="D168" i="21"/>
  <c r="U168" i="21"/>
  <c r="AS168" i="21"/>
  <c r="U169" i="21"/>
  <c r="D43" i="21"/>
  <c r="U43" i="21"/>
  <c r="AU43" i="21"/>
  <c r="AW43" i="21"/>
  <c r="AX43" i="21"/>
  <c r="AY43" i="21"/>
  <c r="AU44" i="21"/>
  <c r="AV44" i="21"/>
  <c r="D45" i="21"/>
  <c r="U45" i="21"/>
  <c r="D46" i="21"/>
  <c r="AU45" i="21" s="1"/>
  <c r="U46" i="21"/>
  <c r="D47" i="21"/>
  <c r="AU46" i="21" s="1"/>
  <c r="U47" i="21"/>
  <c r="AS47" i="21"/>
  <c r="AU49" i="21"/>
  <c r="AV49" i="21"/>
  <c r="D50" i="21"/>
  <c r="U50" i="21"/>
  <c r="D51" i="21"/>
  <c r="AV50" i="21" s="1"/>
  <c r="U51" i="21"/>
  <c r="D52" i="21"/>
  <c r="AU51" i="21" s="1"/>
  <c r="U52" i="21"/>
  <c r="D53" i="21"/>
  <c r="AV52" i="21" s="1"/>
  <c r="T53" i="21"/>
  <c r="U53" i="21" s="1"/>
  <c r="D54" i="21"/>
  <c r="AU53" i="21" s="1"/>
  <c r="U54" i="21"/>
  <c r="D55" i="21"/>
  <c r="AV54" i="21" s="1"/>
  <c r="D56" i="21"/>
  <c r="AU55" i="21" s="1"/>
  <c r="U56" i="21"/>
  <c r="D57" i="21"/>
  <c r="AV56" i="21" s="1"/>
  <c r="D58" i="21"/>
  <c r="AU57" i="21" s="1"/>
  <c r="U58" i="21"/>
  <c r="D59" i="21"/>
  <c r="AV58" i="21" s="1"/>
  <c r="D60" i="21"/>
  <c r="AU59" i="21" s="1"/>
  <c r="U60" i="21"/>
  <c r="D61" i="21"/>
  <c r="AV60" i="21" s="1"/>
  <c r="AS60" i="21" s="1"/>
  <c r="AS61" i="21"/>
  <c r="AS63" i="21"/>
  <c r="D64" i="21"/>
  <c r="U64" i="21"/>
  <c r="D65" i="21"/>
  <c r="AV64" i="21" s="1"/>
  <c r="U65" i="21"/>
  <c r="D66" i="21"/>
  <c r="AV65" i="21" s="1"/>
  <c r="U66" i="21"/>
  <c r="D67" i="21"/>
  <c r="AV66" i="21" s="1"/>
  <c r="T67" i="21"/>
  <c r="U67" i="21" s="1"/>
  <c r="D68" i="21"/>
  <c r="AV67" i="21" s="1"/>
  <c r="U68" i="21"/>
  <c r="D69" i="21"/>
  <c r="AV68" i="21" s="1"/>
  <c r="D70" i="21"/>
  <c r="AV69" i="21" s="1"/>
  <c r="U70" i="21"/>
  <c r="D71" i="21"/>
  <c r="AV70" i="21" s="1"/>
  <c r="D72" i="21"/>
  <c r="AV71" i="21" s="1"/>
  <c r="U72" i="21"/>
  <c r="D73" i="21"/>
  <c r="AV72" i="21" s="1"/>
  <c r="D74" i="21"/>
  <c r="AV73" i="21" s="1"/>
  <c r="U74" i="21"/>
  <c r="D75" i="21"/>
  <c r="AV74" i="21" s="1"/>
  <c r="AS74" i="21" s="1"/>
  <c r="AS75" i="21"/>
  <c r="U77" i="21"/>
  <c r="AS77" i="21"/>
  <c r="D78" i="21"/>
  <c r="U78" i="21"/>
  <c r="AS78" i="21"/>
  <c r="U80" i="21"/>
  <c r="U81" i="21"/>
  <c r="D82" i="21"/>
  <c r="U82" i="21"/>
  <c r="AU82" i="21"/>
  <c r="AS82" i="21" s="1"/>
  <c r="AU83" i="21"/>
  <c r="AV83" i="21"/>
  <c r="D84" i="21"/>
  <c r="U84" i="21"/>
  <c r="D85" i="21"/>
  <c r="AV84" i="21" s="1"/>
  <c r="U85" i="21"/>
  <c r="D86" i="21"/>
  <c r="AU85" i="21" s="1"/>
  <c r="U86" i="21"/>
  <c r="AS86" i="21"/>
  <c r="AU88" i="21"/>
  <c r="AV88" i="21"/>
  <c r="D89" i="21"/>
  <c r="U89" i="21"/>
  <c r="D90" i="21"/>
  <c r="AV89" i="21" s="1"/>
  <c r="T90" i="21"/>
  <c r="U90" i="21" s="1"/>
  <c r="D91" i="21"/>
  <c r="AU90" i="21" s="1"/>
  <c r="D92" i="21"/>
  <c r="AV91" i="21" s="1"/>
  <c r="D93" i="21"/>
  <c r="AU92" i="21" s="1"/>
  <c r="D94" i="21"/>
  <c r="AV93" i="21" s="1"/>
  <c r="D95" i="21"/>
  <c r="AU94" i="21" s="1"/>
  <c r="D96" i="21"/>
  <c r="AV95" i="21" s="1"/>
  <c r="D97" i="21"/>
  <c r="AU96" i="21" s="1"/>
  <c r="D98" i="21"/>
  <c r="AV97" i="21" s="1"/>
  <c r="D99" i="21"/>
  <c r="AU98" i="21" s="1"/>
  <c r="D100" i="21"/>
  <c r="AV99" i="21" s="1"/>
  <c r="AS99" i="21" s="1"/>
  <c r="AS100" i="21"/>
  <c r="D103" i="21"/>
  <c r="D104" i="21"/>
  <c r="AV103" i="21" s="1"/>
  <c r="U104" i="21"/>
  <c r="D105" i="21"/>
  <c r="AU104" i="21" s="1"/>
  <c r="T105" i="21"/>
  <c r="U105" i="21" s="1"/>
  <c r="D106" i="21"/>
  <c r="AV105" i="21" s="1"/>
  <c r="D107" i="21"/>
  <c r="AW105" i="21" s="1"/>
  <c r="D108" i="21"/>
  <c r="AV107" i="21" s="1"/>
  <c r="D109" i="21"/>
  <c r="AV108" i="21" s="1"/>
  <c r="D110" i="21"/>
  <c r="AV109" i="21" s="1"/>
  <c r="D111" i="21"/>
  <c r="AV110" i="21" s="1"/>
  <c r="D112" i="21"/>
  <c r="AV111" i="21" s="1"/>
  <c r="D113" i="21"/>
  <c r="AU112" i="21" s="1"/>
  <c r="D114" i="21"/>
  <c r="AV113" i="21" s="1"/>
  <c r="AS113" i="21" s="1"/>
  <c r="AS114" i="21"/>
  <c r="U116" i="21"/>
  <c r="U117" i="21"/>
  <c r="U118" i="21"/>
  <c r="AU118" i="21"/>
  <c r="AV118" i="21"/>
  <c r="D119" i="21"/>
  <c r="U119" i="21"/>
  <c r="AU119" i="21"/>
  <c r="U120" i="21"/>
  <c r="AU120" i="21"/>
  <c r="AV120" i="21"/>
  <c r="D121" i="21"/>
  <c r="U121" i="21"/>
  <c r="AS121" i="21"/>
  <c r="U122" i="21"/>
  <c r="U123" i="21"/>
  <c r="D124" i="21"/>
  <c r="U124" i="21"/>
  <c r="D125" i="21"/>
  <c r="AV124" i="21" s="1"/>
  <c r="U125" i="21"/>
  <c r="D126" i="21"/>
  <c r="AW124" i="21" s="1"/>
  <c r="D127" i="21"/>
  <c r="AV126" i="21" s="1"/>
  <c r="D128" i="21"/>
  <c r="AV127" i="21" s="1"/>
  <c r="D129" i="21"/>
  <c r="AV128" i="21" s="1"/>
  <c r="D130" i="21"/>
  <c r="AW128" i="21" s="1"/>
  <c r="D131" i="21"/>
  <c r="AV130" i="21" s="1"/>
  <c r="D132" i="21"/>
  <c r="AU131" i="21" s="1"/>
  <c r="D133" i="21"/>
  <c r="AV132" i="21" s="1"/>
  <c r="D134" i="21"/>
  <c r="AW132" i="21" s="1"/>
  <c r="D135" i="21"/>
  <c r="AV134" i="21" s="1"/>
  <c r="AS135" i="21"/>
  <c r="U136" i="21"/>
  <c r="D137" i="21"/>
  <c r="AV123" i="21" s="1"/>
  <c r="U137" i="21"/>
  <c r="AU137" i="21"/>
  <c r="AS137" i="21" s="1"/>
  <c r="U138" i="21"/>
  <c r="AU138" i="21"/>
  <c r="AV138" i="21"/>
  <c r="D139" i="21"/>
  <c r="U139" i="21"/>
  <c r="AS139" i="21"/>
  <c r="U140" i="21"/>
  <c r="U141" i="21"/>
  <c r="AS141" i="21"/>
  <c r="D142" i="21"/>
  <c r="U142" i="21"/>
  <c r="D143" i="21"/>
  <c r="AV142" i="21" s="1"/>
  <c r="U143" i="21"/>
  <c r="D144" i="21"/>
  <c r="AW142" i="21" s="1"/>
  <c r="U144" i="21"/>
  <c r="D145" i="21"/>
  <c r="AV144" i="21" s="1"/>
  <c r="U145" i="21"/>
  <c r="D146" i="21"/>
  <c r="AW144" i="21" s="1"/>
  <c r="U146" i="21"/>
  <c r="D147" i="21"/>
  <c r="AV146" i="21" s="1"/>
  <c r="U147" i="21"/>
  <c r="D148" i="21"/>
  <c r="AU147" i="21" s="1"/>
  <c r="U148" i="21"/>
  <c r="D149" i="21"/>
  <c r="AV148" i="21" s="1"/>
  <c r="U149" i="21"/>
  <c r="D150" i="21"/>
  <c r="AW148" i="21" s="1"/>
  <c r="U150" i="21"/>
  <c r="D151" i="21"/>
  <c r="AV150" i="21" s="1"/>
  <c r="U151" i="21"/>
  <c r="D152" i="21"/>
  <c r="AW150" i="21" s="1"/>
  <c r="U152" i="21"/>
  <c r="D153" i="21"/>
  <c r="AV152" i="21" s="1"/>
  <c r="U153" i="21"/>
  <c r="AS153" i="21"/>
  <c r="U155" i="21"/>
  <c r="U156" i="21"/>
  <c r="AS156" i="21"/>
  <c r="D157" i="21"/>
  <c r="U157" i="21"/>
  <c r="AS157" i="21"/>
  <c r="U158" i="21"/>
  <c r="U159" i="21"/>
  <c r="AS159" i="21"/>
  <c r="D160" i="21"/>
  <c r="U160" i="21"/>
  <c r="D161" i="21"/>
  <c r="AX160" i="21" s="1"/>
  <c r="U161" i="21"/>
  <c r="AS161" i="21"/>
  <c r="U162" i="21"/>
  <c r="U163" i="21"/>
  <c r="D108" i="20"/>
  <c r="D109" i="20"/>
  <c r="AU108" i="20" s="1"/>
  <c r="D110" i="20"/>
  <c r="AT109" i="20" s="1"/>
  <c r="M95" i="19"/>
  <c r="D95" i="19" s="1"/>
  <c r="M96" i="19"/>
  <c r="D96" i="19" s="1"/>
  <c r="M97" i="19"/>
  <c r="D97" i="19" s="1"/>
  <c r="M98" i="19"/>
  <c r="D98" i="19" s="1"/>
  <c r="AM98" i="19"/>
  <c r="D100" i="19"/>
  <c r="M100" i="19"/>
  <c r="AO100" i="19"/>
  <c r="AM100" i="19" s="1"/>
  <c r="AP100" i="19"/>
  <c r="AR100" i="19"/>
  <c r="D101" i="19"/>
  <c r="AQ100" i="19" s="1"/>
  <c r="M101" i="19"/>
  <c r="AO101" i="19"/>
  <c r="AM101" i="19" s="1"/>
  <c r="AP101" i="19"/>
  <c r="AR101" i="19"/>
  <c r="D102" i="19"/>
  <c r="AQ101" i="19" s="1"/>
  <c r="M102" i="19"/>
  <c r="M103" i="19"/>
  <c r="D103" i="19" s="1"/>
  <c r="AM103" i="19"/>
  <c r="U3" i="21"/>
  <c r="D4" i="21"/>
  <c r="U4" i="21"/>
  <c r="AU4" i="21"/>
  <c r="AS4" i="21" s="1"/>
  <c r="AU5" i="21"/>
  <c r="AV5" i="21"/>
  <c r="D6" i="21"/>
  <c r="U6" i="21"/>
  <c r="D7" i="21"/>
  <c r="AV6" i="21" s="1"/>
  <c r="U7" i="21"/>
  <c r="D8" i="21"/>
  <c r="AU7" i="21" s="1"/>
  <c r="U8" i="21"/>
  <c r="AS8" i="21"/>
  <c r="AU10" i="21"/>
  <c r="AV10" i="21"/>
  <c r="D11" i="21"/>
  <c r="U11" i="21"/>
  <c r="D12" i="21"/>
  <c r="AU11" i="21" s="1"/>
  <c r="T12" i="21"/>
  <c r="T13" i="21" s="1"/>
  <c r="D13" i="21"/>
  <c r="AV11" i="21" s="1"/>
  <c r="D14" i="21"/>
  <c r="AU13" i="21" s="1"/>
  <c r="D15" i="21"/>
  <c r="AV14" i="21" s="1"/>
  <c r="D16" i="21"/>
  <c r="AU15" i="21" s="1"/>
  <c r="D17" i="21"/>
  <c r="AU16" i="21" s="1"/>
  <c r="D18" i="21"/>
  <c r="AU17" i="21" s="1"/>
  <c r="D19" i="21"/>
  <c r="AU18" i="21" s="1"/>
  <c r="D20" i="21"/>
  <c r="AU19" i="21" s="1"/>
  <c r="D21" i="21"/>
  <c r="AV19" i="21" s="1"/>
  <c r="D22" i="21"/>
  <c r="AU21" i="21" s="1"/>
  <c r="AS21" i="21" s="1"/>
  <c r="AS22" i="21"/>
  <c r="D25" i="21"/>
  <c r="U25" i="21"/>
  <c r="D26" i="21"/>
  <c r="AU25" i="21" s="1"/>
  <c r="T26" i="21"/>
  <c r="U26" i="21" s="1"/>
  <c r="D27" i="21"/>
  <c r="AU26" i="21" s="1"/>
  <c r="D28" i="21"/>
  <c r="AU27" i="21" s="1"/>
  <c r="D29" i="21"/>
  <c r="AV27" i="21" s="1"/>
  <c r="D30" i="21"/>
  <c r="AU29" i="21" s="1"/>
  <c r="D31" i="21"/>
  <c r="AV30" i="21" s="1"/>
  <c r="D32" i="21"/>
  <c r="AU31" i="21" s="1"/>
  <c r="D33" i="21"/>
  <c r="AU32" i="21" s="1"/>
  <c r="D34" i="21"/>
  <c r="AU33" i="21" s="1"/>
  <c r="D35" i="21"/>
  <c r="AU34" i="21" s="1"/>
  <c r="D36" i="21"/>
  <c r="AU35" i="21" s="1"/>
  <c r="AS35" i="21" s="1"/>
  <c r="AS36" i="21"/>
  <c r="U38" i="21"/>
  <c r="AS38" i="21"/>
  <c r="D39" i="21"/>
  <c r="U39" i="21"/>
  <c r="AS39" i="21"/>
  <c r="U40" i="21"/>
  <c r="D6" i="20"/>
  <c r="AS5" i="20" s="1"/>
  <c r="M101" i="20"/>
  <c r="D101" i="20" s="1"/>
  <c r="AP95" i="20"/>
  <c r="D95" i="20"/>
  <c r="AS94" i="20" s="1"/>
  <c r="AP88" i="20"/>
  <c r="D88" i="20"/>
  <c r="AS87" i="20" s="1"/>
  <c r="D94" i="20"/>
  <c r="AS93" i="20" s="1"/>
  <c r="D87" i="20"/>
  <c r="AR86" i="20" s="1"/>
  <c r="M211" i="15"/>
  <c r="D211" i="15" s="1"/>
  <c r="M204" i="15"/>
  <c r="D204" i="15" s="1"/>
  <c r="AX203" i="15" s="1"/>
  <c r="M200" i="15"/>
  <c r="D200" i="15" s="1"/>
  <c r="AV199" i="15" s="1"/>
  <c r="M208" i="15"/>
  <c r="D208" i="15" s="1"/>
  <c r="D66" i="15"/>
  <c r="D60" i="15"/>
  <c r="D51" i="15"/>
  <c r="D44" i="15"/>
  <c r="D428" i="15"/>
  <c r="AV427" i="15" s="1"/>
  <c r="AP106" i="20"/>
  <c r="M106" i="20"/>
  <c r="D106" i="20" s="1"/>
  <c r="M105" i="20"/>
  <c r="D105" i="20" s="1"/>
  <c r="AP101" i="20"/>
  <c r="M100" i="20"/>
  <c r="D100" i="20" s="1"/>
  <c r="D99" i="20"/>
  <c r="M93" i="20"/>
  <c r="D93" i="20" s="1"/>
  <c r="M92" i="20"/>
  <c r="D92" i="20" s="1"/>
  <c r="M86" i="20"/>
  <c r="D86" i="20" s="1"/>
  <c r="M85" i="20"/>
  <c r="D85" i="20" s="1"/>
  <c r="AP81" i="20"/>
  <c r="M81" i="20"/>
  <c r="D81" i="20" s="1"/>
  <c r="M80" i="20"/>
  <c r="D80" i="20" s="1"/>
  <c r="M79" i="20"/>
  <c r="D79" i="20" s="1"/>
  <c r="M78" i="20"/>
  <c r="D78" i="20" s="1"/>
  <c r="M77" i="20"/>
  <c r="D77" i="20" s="1"/>
  <c r="M76" i="20"/>
  <c r="D76" i="20" s="1"/>
  <c r="M75" i="20"/>
  <c r="D75" i="20" s="1"/>
  <c r="M74" i="20"/>
  <c r="D74" i="20" s="1"/>
  <c r="M73" i="20"/>
  <c r="D73" i="20" s="1"/>
  <c r="M72" i="20"/>
  <c r="D72" i="20" s="1"/>
  <c r="M71" i="20"/>
  <c r="D71" i="20" s="1"/>
  <c r="M70" i="20"/>
  <c r="D70" i="20" s="1"/>
  <c r="M69" i="20"/>
  <c r="D69" i="20" s="1"/>
  <c r="M68" i="20"/>
  <c r="D68" i="20" s="1"/>
  <c r="M67" i="20"/>
  <c r="D67" i="20" s="1"/>
  <c r="AP66" i="20"/>
  <c r="AP64" i="20"/>
  <c r="M64" i="20"/>
  <c r="D64" i="20" s="1"/>
  <c r="M63" i="20"/>
  <c r="D63" i="20" s="1"/>
  <c r="M62" i="20"/>
  <c r="D62" i="20" s="1"/>
  <c r="M61" i="20"/>
  <c r="D61" i="20" s="1"/>
  <c r="AS60" i="20" s="1"/>
  <c r="M60" i="20"/>
  <c r="D60" i="20" s="1"/>
  <c r="M59" i="20"/>
  <c r="D59" i="20" s="1"/>
  <c r="M58" i="20"/>
  <c r="D58" i="20" s="1"/>
  <c r="M57" i="20"/>
  <c r="D57" i="20" s="1"/>
  <c r="AS56" i="20" s="1"/>
  <c r="M56" i="20"/>
  <c r="D56" i="20" s="1"/>
  <c r="AR55" i="20" s="1"/>
  <c r="M55" i="20"/>
  <c r="D55" i="20" s="1"/>
  <c r="AP54" i="20"/>
  <c r="AP52" i="20"/>
  <c r="M52" i="20"/>
  <c r="D52" i="20" s="1"/>
  <c r="M51" i="20"/>
  <c r="D51" i="20" s="1"/>
  <c r="M50" i="20"/>
  <c r="D50" i="20" s="1"/>
  <c r="M49" i="20"/>
  <c r="D49" i="20" s="1"/>
  <c r="M48" i="20"/>
  <c r="D48" i="20" s="1"/>
  <c r="AS47" i="20" s="1"/>
  <c r="M47" i="20"/>
  <c r="D47" i="20" s="1"/>
  <c r="M46" i="20"/>
  <c r="D46" i="20" s="1"/>
  <c r="AS45" i="20"/>
  <c r="AR45" i="20"/>
  <c r="AP43" i="20"/>
  <c r="M43" i="20"/>
  <c r="D43" i="20" s="1"/>
  <c r="AS42" i="20" s="1"/>
  <c r="M42" i="20"/>
  <c r="D42" i="20" s="1"/>
  <c r="M41" i="20"/>
  <c r="D41" i="20" s="1"/>
  <c r="M40" i="20"/>
  <c r="D40" i="20" s="1"/>
  <c r="AR39" i="20" s="1"/>
  <c r="M39" i="20"/>
  <c r="D39" i="20" s="1"/>
  <c r="AS38" i="20" s="1"/>
  <c r="M38" i="20"/>
  <c r="D38" i="20" s="1"/>
  <c r="M37" i="20"/>
  <c r="D37" i="20" s="1"/>
  <c r="M36" i="20"/>
  <c r="D36" i="20" s="1"/>
  <c r="M35" i="20"/>
  <c r="D35" i="20" s="1"/>
  <c r="AS34" i="20" s="1"/>
  <c r="M34" i="20"/>
  <c r="D34" i="20" s="1"/>
  <c r="AR33" i="20" s="1"/>
  <c r="M33" i="20"/>
  <c r="D33" i="20" s="1"/>
  <c r="M32" i="20"/>
  <c r="D32" i="20" s="1"/>
  <c r="M31" i="20"/>
  <c r="D31" i="20" s="1"/>
  <c r="AS30" i="20" s="1"/>
  <c r="M30" i="20"/>
  <c r="D30" i="20" s="1"/>
  <c r="AS29" i="20"/>
  <c r="AR29" i="20"/>
  <c r="AP26" i="20"/>
  <c r="M26" i="20"/>
  <c r="D26" i="20" s="1"/>
  <c r="AS25" i="20" s="1"/>
  <c r="M25" i="20"/>
  <c r="D25" i="20" s="1"/>
  <c r="D24" i="20"/>
  <c r="AP20" i="20"/>
  <c r="M20" i="20"/>
  <c r="D20" i="20" s="1"/>
  <c r="M19" i="20"/>
  <c r="D19" i="20" s="1"/>
  <c r="M18" i="20"/>
  <c r="D18" i="20" s="1"/>
  <c r="AP17" i="20"/>
  <c r="AP16" i="20"/>
  <c r="M16" i="20"/>
  <c r="D16" i="20" s="1"/>
  <c r="AV15" i="20" s="1"/>
  <c r="M15" i="20"/>
  <c r="D15" i="20" s="1"/>
  <c r="D14" i="20"/>
  <c r="AP10" i="20"/>
  <c r="M10" i="20"/>
  <c r="D10" i="20" s="1"/>
  <c r="AU9" i="20" s="1"/>
  <c r="M9" i="20"/>
  <c r="D9" i="20" s="1"/>
  <c r="AP7" i="20"/>
  <c r="M7" i="20"/>
  <c r="D7" i="20" s="1"/>
  <c r="AS6" i="20" s="1"/>
  <c r="M5" i="20"/>
  <c r="D5" i="20" s="1"/>
  <c r="D4" i="20"/>
  <c r="AM92" i="19"/>
  <c r="M92" i="19"/>
  <c r="D92" i="19" s="1"/>
  <c r="M91" i="19"/>
  <c r="D91" i="19" s="1"/>
  <c r="M90" i="19"/>
  <c r="D90" i="19" s="1"/>
  <c r="M89" i="19"/>
  <c r="D89" i="19" s="1"/>
  <c r="AM86" i="19"/>
  <c r="M86" i="19"/>
  <c r="D86" i="19" s="1"/>
  <c r="AP85" i="19" s="1"/>
  <c r="M85" i="19"/>
  <c r="D85" i="19" s="1"/>
  <c r="M84" i="19"/>
  <c r="D84" i="19" s="1"/>
  <c r="AP83" i="19" s="1"/>
  <c r="M83" i="19"/>
  <c r="D83" i="19" s="1"/>
  <c r="AM80" i="19"/>
  <c r="M80" i="19"/>
  <c r="D80" i="19" s="1"/>
  <c r="M79" i="19"/>
  <c r="D79" i="19" s="1"/>
  <c r="M78" i="19"/>
  <c r="D78" i="19" s="1"/>
  <c r="AP77" i="19" s="1"/>
  <c r="M77" i="19"/>
  <c r="D77" i="19" s="1"/>
  <c r="AM73" i="19"/>
  <c r="M73" i="19"/>
  <c r="D73" i="19" s="1"/>
  <c r="M72" i="19"/>
  <c r="D72" i="19" s="1"/>
  <c r="M71" i="19"/>
  <c r="D71" i="19" s="1"/>
  <c r="M70" i="19"/>
  <c r="D70" i="19" s="1"/>
  <c r="M69" i="19"/>
  <c r="D69" i="19" s="1"/>
  <c r="M68" i="19"/>
  <c r="D68" i="19" s="1"/>
  <c r="M67" i="19"/>
  <c r="D67" i="19" s="1"/>
  <c r="M66" i="19"/>
  <c r="D66" i="19" s="1"/>
  <c r="M65" i="19"/>
  <c r="D65" i="19" s="1"/>
  <c r="AM64" i="19"/>
  <c r="AM61" i="19"/>
  <c r="M61" i="19"/>
  <c r="D61" i="19" s="1"/>
  <c r="M60" i="19"/>
  <c r="D60" i="19" s="1"/>
  <c r="AM59" i="19"/>
  <c r="AM57" i="19"/>
  <c r="M57" i="19"/>
  <c r="D57" i="19" s="1"/>
  <c r="AP56" i="19" s="1"/>
  <c r="M56" i="19"/>
  <c r="D56" i="19" s="1"/>
  <c r="AP55" i="19"/>
  <c r="AO55" i="19"/>
  <c r="AM55" i="19" s="1"/>
  <c r="AM53" i="19"/>
  <c r="M53" i="19"/>
  <c r="D53" i="19" s="1"/>
  <c r="AP52" i="19"/>
  <c r="AO52" i="19"/>
  <c r="AM52" i="19" s="1"/>
  <c r="AM51" i="19"/>
  <c r="AM49" i="19"/>
  <c r="M49" i="19"/>
  <c r="D49" i="19" s="1"/>
  <c r="M48" i="19"/>
  <c r="D48" i="19" s="1"/>
  <c r="M47" i="19"/>
  <c r="D47" i="19" s="1"/>
  <c r="AP46" i="19" s="1"/>
  <c r="M46" i="19"/>
  <c r="D46" i="19" s="1"/>
  <c r="AP45" i="19"/>
  <c r="AO45" i="19"/>
  <c r="AM43" i="19"/>
  <c r="M43" i="19"/>
  <c r="D43" i="19" s="1"/>
  <c r="AP42" i="19" s="1"/>
  <c r="M42" i="19"/>
  <c r="D42" i="19" s="1"/>
  <c r="M41" i="19"/>
  <c r="D41" i="19" s="1"/>
  <c r="AP40" i="19" s="1"/>
  <c r="M40" i="19"/>
  <c r="D40" i="19" s="1"/>
  <c r="M39" i="19"/>
  <c r="D39" i="19" s="1"/>
  <c r="AP38" i="19" s="1"/>
  <c r="M38" i="19"/>
  <c r="D38" i="19" s="1"/>
  <c r="M37" i="19"/>
  <c r="D37" i="19"/>
  <c r="AP36" i="19" s="1"/>
  <c r="M36" i="19"/>
  <c r="D36" i="19" s="1"/>
  <c r="M35" i="19"/>
  <c r="D35" i="19"/>
  <c r="AP34" i="19"/>
  <c r="AO34" i="19"/>
  <c r="AM34" i="19" s="1"/>
  <c r="AM31" i="19"/>
  <c r="M31" i="19"/>
  <c r="D31" i="19" s="1"/>
  <c r="M30" i="19"/>
  <c r="D30" i="19" s="1"/>
  <c r="AP29" i="19" s="1"/>
  <c r="M29" i="19"/>
  <c r="D29" i="19" s="1"/>
  <c r="M28" i="19"/>
  <c r="D28" i="19" s="1"/>
  <c r="AM24" i="19"/>
  <c r="M24" i="19"/>
  <c r="D24" i="19"/>
  <c r="AQ23" i="19" s="1"/>
  <c r="M23" i="19"/>
  <c r="D23" i="19" s="1"/>
  <c r="M22" i="19"/>
  <c r="D22" i="19"/>
  <c r="AQ21" i="19" s="1"/>
  <c r="M21" i="19"/>
  <c r="D21" i="19" s="1"/>
  <c r="AM20" i="19"/>
  <c r="AM19" i="19"/>
  <c r="M19" i="19"/>
  <c r="D19" i="19"/>
  <c r="AS18" i="19" s="1"/>
  <c r="M18" i="19"/>
  <c r="D18" i="19" s="1"/>
  <c r="M17" i="19"/>
  <c r="D17" i="19"/>
  <c r="AR16" i="19" s="1"/>
  <c r="M16" i="19"/>
  <c r="D16" i="19"/>
  <c r="AM12" i="19"/>
  <c r="M12" i="19"/>
  <c r="D12" i="19" s="1"/>
  <c r="M11" i="19"/>
  <c r="D11" i="19" s="1"/>
  <c r="M10" i="19"/>
  <c r="D10" i="19" s="1"/>
  <c r="M9" i="19"/>
  <c r="D9" i="19"/>
  <c r="AM8" i="19"/>
  <c r="AM7" i="19"/>
  <c r="M7" i="19"/>
  <c r="D7" i="19"/>
  <c r="AP6" i="19" s="1"/>
  <c r="M6" i="19"/>
  <c r="D6" i="19" s="1"/>
  <c r="M5" i="19"/>
  <c r="D5" i="19" s="1"/>
  <c r="M4" i="19"/>
  <c r="D4" i="19" s="1"/>
  <c r="U57" i="18"/>
  <c r="U56" i="18"/>
  <c r="U55" i="18"/>
  <c r="D55" i="18"/>
  <c r="AT54" i="18" s="1"/>
  <c r="U54" i="18"/>
  <c r="D54" i="18"/>
  <c r="U53" i="18"/>
  <c r="AO52" i="18"/>
  <c r="U52" i="18"/>
  <c r="D52" i="18"/>
  <c r="AR51" i="18" s="1"/>
  <c r="U51" i="18"/>
  <c r="D51" i="18"/>
  <c r="U50" i="18"/>
  <c r="U49" i="18"/>
  <c r="U47" i="18"/>
  <c r="D47" i="18"/>
  <c r="U44" i="18"/>
  <c r="U43" i="18"/>
  <c r="U42" i="18"/>
  <c r="D42" i="18"/>
  <c r="U41" i="18"/>
  <c r="U40" i="18"/>
  <c r="U39" i="18"/>
  <c r="D39" i="18"/>
  <c r="U38" i="18"/>
  <c r="U37" i="18"/>
  <c r="U36" i="18"/>
  <c r="AO35" i="18"/>
  <c r="U35" i="18"/>
  <c r="D35" i="18"/>
  <c r="AT34" i="18" s="1"/>
  <c r="U34" i="18"/>
  <c r="D34" i="18"/>
  <c r="AT33" i="18" s="1"/>
  <c r="U33" i="18"/>
  <c r="D33" i="18"/>
  <c r="AT32" i="18" s="1"/>
  <c r="U32" i="18"/>
  <c r="D32" i="18"/>
  <c r="AO31" i="18"/>
  <c r="U31" i="18"/>
  <c r="U30" i="18"/>
  <c r="AO29" i="18"/>
  <c r="U29" i="18"/>
  <c r="D29" i="18"/>
  <c r="AR28" i="18" s="1"/>
  <c r="U28" i="18"/>
  <c r="D28" i="18"/>
  <c r="AR27" i="18" s="1"/>
  <c r="U27" i="18"/>
  <c r="D27" i="18"/>
  <c r="AO26" i="18"/>
  <c r="U26" i="18"/>
  <c r="U25" i="18"/>
  <c r="AO24" i="18"/>
  <c r="U24" i="18"/>
  <c r="D24" i="18"/>
  <c r="AQ23" i="18" s="1"/>
  <c r="U23" i="18"/>
  <c r="D23" i="18"/>
  <c r="AR22" i="18" s="1"/>
  <c r="U22" i="18"/>
  <c r="D22" i="18"/>
  <c r="AR21" i="18" s="1"/>
  <c r="U21" i="18"/>
  <c r="D21" i="18"/>
  <c r="AR20" i="18"/>
  <c r="AQ20" i="18"/>
  <c r="U20" i="18"/>
  <c r="U19" i="18"/>
  <c r="U18" i="18"/>
  <c r="AO17" i="18"/>
  <c r="U17" i="18"/>
  <c r="D17" i="18"/>
  <c r="AR16" i="18" s="1"/>
  <c r="U16" i="18"/>
  <c r="D16" i="18"/>
  <c r="U15" i="18"/>
  <c r="U14" i="18"/>
  <c r="U13" i="18"/>
  <c r="AO12" i="18"/>
  <c r="U12" i="18"/>
  <c r="D12" i="18"/>
  <c r="AT11" i="18" s="1"/>
  <c r="U11" i="18"/>
  <c r="D11" i="18"/>
  <c r="AO10" i="18"/>
  <c r="U10" i="18"/>
  <c r="AO9" i="18"/>
  <c r="U9" i="18"/>
  <c r="D9" i="18"/>
  <c r="AU8" i="18" s="1"/>
  <c r="U8" i="18"/>
  <c r="D8" i="18"/>
  <c r="U7" i="18"/>
  <c r="U6" i="18"/>
  <c r="AO5" i="18"/>
  <c r="U5" i="18"/>
  <c r="D5" i="18"/>
  <c r="AR4" i="18" s="1"/>
  <c r="U4" i="18"/>
  <c r="D4" i="18"/>
  <c r="U3" i="18"/>
  <c r="D73" i="17"/>
  <c r="AO72" i="17" s="1"/>
  <c r="D72" i="17"/>
  <c r="AQ71" i="17" s="1"/>
  <c r="D71" i="17"/>
  <c r="AM69" i="17"/>
  <c r="D69" i="17"/>
  <c r="AP68" i="17" s="1"/>
  <c r="D68" i="17"/>
  <c r="AP67" i="17" s="1"/>
  <c r="D67" i="17"/>
  <c r="AM64" i="17"/>
  <c r="D64" i="17"/>
  <c r="AR63" i="17" s="1"/>
  <c r="D63" i="17"/>
  <c r="AR62" i="17" s="1"/>
  <c r="D62" i="17"/>
  <c r="AM59" i="17"/>
  <c r="D59" i="17"/>
  <c r="AM56" i="17"/>
  <c r="D56" i="17"/>
  <c r="AM52" i="17"/>
  <c r="D52" i="17"/>
  <c r="AP51" i="17" s="1"/>
  <c r="D51" i="17"/>
  <c r="AP50" i="17" s="1"/>
  <c r="D50" i="17"/>
  <c r="AM49" i="17"/>
  <c r="AM47" i="17"/>
  <c r="D47" i="17"/>
  <c r="AP46" i="17" s="1"/>
  <c r="D46" i="17"/>
  <c r="AP45" i="17" s="1"/>
  <c r="D45" i="17"/>
  <c r="AP44" i="17" s="1"/>
  <c r="D44" i="17"/>
  <c r="AO43" i="17" s="1"/>
  <c r="D43" i="17"/>
  <c r="AP42" i="17" s="1"/>
  <c r="D42" i="17"/>
  <c r="AM41" i="17"/>
  <c r="AM39" i="17"/>
  <c r="D39" i="17"/>
  <c r="AP38" i="17" s="1"/>
  <c r="D38" i="17"/>
  <c r="AP37" i="17" s="1"/>
  <c r="D37" i="17"/>
  <c r="AP36" i="17" s="1"/>
  <c r="D36" i="17"/>
  <c r="AP35" i="17" s="1"/>
  <c r="D35" i="17"/>
  <c r="AM34" i="17"/>
  <c r="AM32" i="17"/>
  <c r="D32" i="17"/>
  <c r="AO31" i="17" s="1"/>
  <c r="D31" i="17"/>
  <c r="AP30" i="17" s="1"/>
  <c r="D30" i="17"/>
  <c r="AO29" i="17" s="1"/>
  <c r="D29" i="17"/>
  <c r="AP28" i="17" s="1"/>
  <c r="D28" i="17"/>
  <c r="AO27" i="17" s="1"/>
  <c r="D27" i="17"/>
  <c r="AP26" i="17" s="1"/>
  <c r="D26" i="17"/>
  <c r="AO25" i="17" s="1"/>
  <c r="D25" i="17"/>
  <c r="AM24" i="17"/>
  <c r="AM21" i="17"/>
  <c r="D21" i="17"/>
  <c r="AP20" i="17" s="1"/>
  <c r="D20" i="17"/>
  <c r="AP19" i="17" s="1"/>
  <c r="D19" i="17"/>
  <c r="AM15" i="17"/>
  <c r="D15" i="17"/>
  <c r="AR14" i="17" s="1"/>
  <c r="D14" i="17"/>
  <c r="AQ13" i="17" s="1"/>
  <c r="D13" i="17"/>
  <c r="AM12" i="17"/>
  <c r="AM11" i="17"/>
  <c r="D11" i="17"/>
  <c r="AR10" i="17" s="1"/>
  <c r="D10" i="17"/>
  <c r="AR9" i="17" s="1"/>
  <c r="D9" i="17"/>
  <c r="AM6" i="17"/>
  <c r="D6" i="17"/>
  <c r="AP5" i="17" s="1"/>
  <c r="D5" i="17"/>
  <c r="AO4" i="17" s="1"/>
  <c r="D4" i="17"/>
  <c r="D144" i="16"/>
  <c r="AZ143" i="16" s="1"/>
  <c r="D143" i="16"/>
  <c r="AV141" i="16"/>
  <c r="AE141" i="16"/>
  <c r="D141" i="16"/>
  <c r="AY140" i="16" s="1"/>
  <c r="AE140" i="16"/>
  <c r="D140" i="16"/>
  <c r="AV137" i="16"/>
  <c r="D137" i="16"/>
  <c r="BA136" i="16" s="1"/>
  <c r="D136" i="16"/>
  <c r="AV133" i="16"/>
  <c r="D133" i="16"/>
  <c r="AY132" i="16" s="1"/>
  <c r="D132" i="16"/>
  <c r="AV129" i="16"/>
  <c r="D129" i="16"/>
  <c r="AY128" i="16" s="1"/>
  <c r="D128" i="16"/>
  <c r="AV124" i="16"/>
  <c r="D124" i="16"/>
  <c r="AZ123" i="16" s="1"/>
  <c r="D123" i="16"/>
  <c r="AX122" i="16" s="1"/>
  <c r="AZ122" i="16"/>
  <c r="AY122" i="16"/>
  <c r="D122" i="16"/>
  <c r="BA121" i="16" s="1"/>
  <c r="D121" i="16"/>
  <c r="BA120" i="16" s="1"/>
  <c r="AZ120" i="16"/>
  <c r="D120" i="16"/>
  <c r="AV119" i="16"/>
  <c r="AV117" i="16"/>
  <c r="D117" i="16"/>
  <c r="AX116" i="16" s="1"/>
  <c r="D116" i="16"/>
  <c r="AY115" i="16" s="1"/>
  <c r="AX115" i="16"/>
  <c r="D115" i="16"/>
  <c r="AX114" i="16" s="1"/>
  <c r="D114" i="16"/>
  <c r="AV113" i="16"/>
  <c r="AV111" i="16"/>
  <c r="D111" i="16"/>
  <c r="AY110" i="16" s="1"/>
  <c r="AX110" i="16"/>
  <c r="AV110" i="16" s="1"/>
  <c r="D110" i="16"/>
  <c r="AX109" i="16" s="1"/>
  <c r="D109" i="16"/>
  <c r="AY108" i="16"/>
  <c r="AX108" i="16"/>
  <c r="AV106" i="16"/>
  <c r="D106" i="16"/>
  <c r="AY105" i="16" s="1"/>
  <c r="AX105" i="16"/>
  <c r="AV105" i="16" s="1"/>
  <c r="D105" i="16"/>
  <c r="AY104" i="16" s="1"/>
  <c r="D104" i="16"/>
  <c r="AY103" i="16" s="1"/>
  <c r="AX103" i="16"/>
  <c r="D103" i="16"/>
  <c r="AX102" i="16" s="1"/>
  <c r="D102" i="16"/>
  <c r="AY101" i="16"/>
  <c r="AX101" i="16"/>
  <c r="AV101" i="16" s="1"/>
  <c r="AV98" i="16"/>
  <c r="D98" i="16"/>
  <c r="AY97" i="16" s="1"/>
  <c r="D97" i="16"/>
  <c r="AV93" i="16"/>
  <c r="D93" i="16"/>
  <c r="BA92" i="16" s="1"/>
  <c r="D92" i="16"/>
  <c r="AV91" i="16"/>
  <c r="AV90" i="16"/>
  <c r="D90" i="16"/>
  <c r="BB89" i="16" s="1"/>
  <c r="D89" i="16"/>
  <c r="AV86" i="16"/>
  <c r="D86" i="16"/>
  <c r="AX85" i="16" s="1"/>
  <c r="D85" i="16"/>
  <c r="AV81" i="16"/>
  <c r="D81" i="16"/>
  <c r="BA80" i="16" s="1"/>
  <c r="D80" i="16"/>
  <c r="AV79" i="16"/>
  <c r="AV77" i="16"/>
  <c r="D77" i="16"/>
  <c r="AX75" i="16" s="1"/>
  <c r="D76" i="16"/>
  <c r="AZ75" i="16" s="1"/>
  <c r="D75" i="16"/>
  <c r="AY74" i="16" s="1"/>
  <c r="D74" i="16"/>
  <c r="AY73" i="16" s="1"/>
  <c r="D73" i="16"/>
  <c r="BB72" i="16" s="1"/>
  <c r="AX72" i="16"/>
  <c r="D72" i="16"/>
  <c r="AY71" i="16" s="1"/>
  <c r="D71" i="16"/>
  <c r="AZ70" i="16" s="1"/>
  <c r="D70" i="16"/>
  <c r="AZ69" i="16"/>
  <c r="AY69" i="16"/>
  <c r="AX69" i="16"/>
  <c r="AV69" i="16" s="1"/>
  <c r="AV67" i="16"/>
  <c r="D67" i="16"/>
  <c r="AX66" i="16" s="1"/>
  <c r="D66" i="16"/>
  <c r="AZ65" i="16" s="1"/>
  <c r="D65" i="16"/>
  <c r="AY64" i="16" s="1"/>
  <c r="D64" i="16"/>
  <c r="AY63" i="16" s="1"/>
  <c r="D63" i="16"/>
  <c r="BB62" i="16" s="1"/>
  <c r="D62" i="16"/>
  <c r="AY61" i="16" s="1"/>
  <c r="D61" i="16"/>
  <c r="AZ60" i="16" s="1"/>
  <c r="D60" i="16"/>
  <c r="AZ59" i="16"/>
  <c r="AY59" i="16"/>
  <c r="AX59" i="16"/>
  <c r="AV59" i="16" s="1"/>
  <c r="AV57" i="16"/>
  <c r="D57" i="16"/>
  <c r="AX54" i="16" s="1"/>
  <c r="D56" i="16"/>
  <c r="AZ55" i="16" s="1"/>
  <c r="D55" i="16"/>
  <c r="AY54" i="16" s="1"/>
  <c r="D54" i="16"/>
  <c r="AY53" i="16" s="1"/>
  <c r="D53" i="16"/>
  <c r="BB52" i="16" s="1"/>
  <c r="D52" i="16"/>
  <c r="AY51" i="16" s="1"/>
  <c r="D51" i="16"/>
  <c r="AX50" i="16" s="1"/>
  <c r="D50" i="16"/>
  <c r="AZ49" i="16"/>
  <c r="AY49" i="16"/>
  <c r="AX49" i="16"/>
  <c r="AV49" i="16" s="1"/>
  <c r="AV47" i="16"/>
  <c r="D47" i="16"/>
  <c r="AX45" i="16" s="1"/>
  <c r="D46" i="16"/>
  <c r="AZ45" i="16" s="1"/>
  <c r="D45" i="16"/>
  <c r="AY44" i="16" s="1"/>
  <c r="D44" i="16"/>
  <c r="AX43" i="16" s="1"/>
  <c r="D43" i="16"/>
  <c r="BA42" i="16" s="1"/>
  <c r="D42" i="16"/>
  <c r="AY41" i="16" s="1"/>
  <c r="D41" i="16"/>
  <c r="BA40" i="16" s="1"/>
  <c r="D40" i="16"/>
  <c r="AZ39" i="16"/>
  <c r="AY39" i="16"/>
  <c r="AX39" i="16"/>
  <c r="D37" i="16"/>
  <c r="AV36" i="16"/>
  <c r="D36" i="16"/>
  <c r="AX33" i="16" s="1"/>
  <c r="D35" i="16"/>
  <c r="AZ34" i="16" s="1"/>
  <c r="D34" i="16"/>
  <c r="AY33" i="16" s="1"/>
  <c r="D33" i="16"/>
  <c r="AY32" i="16" s="1"/>
  <c r="D32" i="16"/>
  <c r="BB31" i="16" s="1"/>
  <c r="D31" i="16"/>
  <c r="AY30" i="16" s="1"/>
  <c r="D30" i="16"/>
  <c r="AY29" i="16" s="1"/>
  <c r="D29" i="16"/>
  <c r="BB28" i="16" s="1"/>
  <c r="D28" i="16"/>
  <c r="AY27" i="16" s="1"/>
  <c r="D27" i="16"/>
  <c r="AY26" i="16" s="1"/>
  <c r="D26" i="16"/>
  <c r="BB25" i="16" s="1"/>
  <c r="BC25" i="16"/>
  <c r="D25" i="16"/>
  <c r="AY24" i="16" s="1"/>
  <c r="D24" i="16"/>
  <c r="BA23" i="16" s="1"/>
  <c r="D23" i="16"/>
  <c r="AX22" i="16" s="1"/>
  <c r="D22" i="16"/>
  <c r="AZ21" i="16"/>
  <c r="AY21" i="16"/>
  <c r="AX21" i="16"/>
  <c r="AV19" i="16"/>
  <c r="D19" i="16"/>
  <c r="AX18" i="16" s="1"/>
  <c r="D18" i="16"/>
  <c r="AZ17" i="16" s="1"/>
  <c r="D17" i="16"/>
  <c r="AY16" i="16" s="1"/>
  <c r="D16" i="16"/>
  <c r="BB15" i="16" s="1"/>
  <c r="D15" i="16"/>
  <c r="BB14" i="16" s="1"/>
  <c r="D14" i="16"/>
  <c r="AY13" i="16" s="1"/>
  <c r="D13" i="16"/>
  <c r="BB12" i="16" s="1"/>
  <c r="D12" i="16"/>
  <c r="BB11" i="16" s="1"/>
  <c r="BA11" i="16"/>
  <c r="D11" i="16"/>
  <c r="AY10" i="16" s="1"/>
  <c r="D10" i="16"/>
  <c r="BB9" i="16" s="1"/>
  <c r="D9" i="16"/>
  <c r="BB8" i="16" s="1"/>
  <c r="D8" i="16"/>
  <c r="AY7" i="16" s="1"/>
  <c r="D7" i="16"/>
  <c r="AZ6" i="16" s="1"/>
  <c r="D6" i="16"/>
  <c r="AZ5" i="16"/>
  <c r="AY5" i="16"/>
  <c r="AX5" i="16"/>
  <c r="D4" i="16"/>
  <c r="AS496" i="15"/>
  <c r="D496" i="15"/>
  <c r="AV495" i="15" s="1"/>
  <c r="D495" i="15"/>
  <c r="AV494" i="15" s="1"/>
  <c r="D494" i="15"/>
  <c r="AW493" i="15" s="1"/>
  <c r="D493" i="15"/>
  <c r="AV492" i="15" s="1"/>
  <c r="D492" i="15"/>
  <c r="AW491" i="15" s="1"/>
  <c r="D491" i="15"/>
  <c r="AS488" i="15"/>
  <c r="D488" i="15"/>
  <c r="D487" i="15"/>
  <c r="AV486" i="15" s="1"/>
  <c r="D486" i="15"/>
  <c r="D485" i="15"/>
  <c r="D484" i="15"/>
  <c r="AU483" i="15" s="1"/>
  <c r="D483" i="15"/>
  <c r="AU482" i="15" s="1"/>
  <c r="D482" i="15"/>
  <c r="AS478" i="15"/>
  <c r="D478" i="15"/>
  <c r="AS474" i="15"/>
  <c r="D474" i="15"/>
  <c r="D473" i="15"/>
  <c r="D472" i="15"/>
  <c r="D471" i="15"/>
  <c r="AS470" i="15"/>
  <c r="AV455" i="15"/>
  <c r="AU455" i="15"/>
  <c r="AS448" i="15"/>
  <c r="AV447" i="15"/>
  <c r="AU447" i="15"/>
  <c r="AV446" i="15"/>
  <c r="AU446" i="15"/>
  <c r="AS442" i="15"/>
  <c r="D442" i="15"/>
  <c r="AZ441" i="15" s="1"/>
  <c r="D441" i="15"/>
  <c r="D440" i="15"/>
  <c r="BB439" i="15" s="1"/>
  <c r="D439" i="15"/>
  <c r="AS438" i="15"/>
  <c r="AS436" i="15"/>
  <c r="D436" i="15"/>
  <c r="D435" i="15"/>
  <c r="AU434" i="15" s="1"/>
  <c r="D434" i="15"/>
  <c r="AW433" i="15" s="1"/>
  <c r="D433" i="15"/>
  <c r="AV432" i="15"/>
  <c r="AU432" i="15"/>
  <c r="AS430" i="15"/>
  <c r="D430" i="15"/>
  <c r="AU429" i="15" s="1"/>
  <c r="AS429" i="15" s="1"/>
  <c r="D429" i="15"/>
  <c r="D427" i="15"/>
  <c r="D426" i="15"/>
  <c r="D425" i="15"/>
  <c r="D424" i="15"/>
  <c r="D423" i="15"/>
  <c r="D422" i="15"/>
  <c r="D421" i="15"/>
  <c r="AV420" i="15"/>
  <c r="AU420" i="15"/>
  <c r="AV419" i="15"/>
  <c r="AU419" i="15"/>
  <c r="D419" i="15"/>
  <c r="AU418" i="15" s="1"/>
  <c r="D418" i="15"/>
  <c r="AS417" i="15"/>
  <c r="AS414" i="15"/>
  <c r="D414" i="15"/>
  <c r="AY413" i="15" s="1"/>
  <c r="D413" i="15"/>
  <c r="BB412" i="15" s="1"/>
  <c r="D412" i="15"/>
  <c r="AY411" i="15" s="1"/>
  <c r="D411" i="15"/>
  <c r="AX410" i="15" s="1"/>
  <c r="D410" i="15"/>
  <c r="AW409" i="15" s="1"/>
  <c r="D409" i="15"/>
  <c r="BC408" i="15" s="1"/>
  <c r="D408" i="15"/>
  <c r="BC407" i="15" s="1"/>
  <c r="D407" i="15"/>
  <c r="AZ406" i="15" s="1"/>
  <c r="D406" i="15"/>
  <c r="AY405" i="15" s="1"/>
  <c r="D405" i="15"/>
  <c r="BB404" i="15" s="1"/>
  <c r="D404" i="15"/>
  <c r="D403" i="15"/>
  <c r="AX402" i="15" s="1"/>
  <c r="D402" i="15"/>
  <c r="D401" i="15"/>
  <c r="BC400" i="15" s="1"/>
  <c r="D400" i="15"/>
  <c r="AS399" i="15"/>
  <c r="AS397" i="15"/>
  <c r="D397" i="15"/>
  <c r="AW396" i="15" s="1"/>
  <c r="D396" i="15"/>
  <c r="AV395" i="15" s="1"/>
  <c r="D395" i="15"/>
  <c r="D394" i="15"/>
  <c r="AV393" i="15"/>
  <c r="AU393" i="15"/>
  <c r="AS391" i="15"/>
  <c r="D391" i="15"/>
  <c r="AU390" i="15" s="1"/>
  <c r="AS390" i="15" s="1"/>
  <c r="D390" i="15"/>
  <c r="BB389" i="15" s="1"/>
  <c r="D389" i="15"/>
  <c r="AW387" i="15" s="1"/>
  <c r="D388" i="15"/>
  <c r="AU387" i="15" s="1"/>
  <c r="D387" i="15"/>
  <c r="AY386" i="15" s="1"/>
  <c r="D386" i="15"/>
  <c r="BC383" i="15" s="1"/>
  <c r="D385" i="15"/>
  <c r="AU384" i="15" s="1"/>
  <c r="D384" i="15"/>
  <c r="BB383" i="15" s="1"/>
  <c r="D383" i="15"/>
  <c r="AU382" i="15" s="1"/>
  <c r="D382" i="15"/>
  <c r="AU381" i="15" s="1"/>
  <c r="D381" i="15"/>
  <c r="AY380" i="15" s="1"/>
  <c r="D380" i="15"/>
  <c r="D379" i="15"/>
  <c r="AU378" i="15" s="1"/>
  <c r="D378" i="15"/>
  <c r="AZ377" i="15" s="1"/>
  <c r="D377" i="15"/>
  <c r="AZ375" i="15" s="1"/>
  <c r="D376" i="15"/>
  <c r="AU375" i="15" s="1"/>
  <c r="D375" i="15"/>
  <c r="AU374" i="15" s="1"/>
  <c r="D374" i="15"/>
  <c r="BB372" i="15" s="1"/>
  <c r="D373" i="15"/>
  <c r="AU372" i="15" s="1"/>
  <c r="D372" i="15"/>
  <c r="D371" i="15"/>
  <c r="AY370" i="15" s="1"/>
  <c r="D370" i="15"/>
  <c r="AU369" i="15" s="1"/>
  <c r="D369" i="15"/>
  <c r="AZ368" i="15" s="1"/>
  <c r="D368" i="15"/>
  <c r="AY367" i="15" s="1"/>
  <c r="D367" i="15"/>
  <c r="AU366" i="15" s="1"/>
  <c r="D366" i="15"/>
  <c r="AX365" i="15" s="1"/>
  <c r="D365" i="15"/>
  <c r="AV364" i="15" s="1"/>
  <c r="D364" i="15"/>
  <c r="AU363" i="15" s="1"/>
  <c r="D363" i="15"/>
  <c r="D362" i="15"/>
  <c r="AX361" i="15" s="1"/>
  <c r="D361" i="15"/>
  <c r="AU360" i="15" s="1"/>
  <c r="D360" i="15"/>
  <c r="AU359" i="15" s="1"/>
  <c r="D359" i="15"/>
  <c r="BD357" i="15" s="1"/>
  <c r="D358" i="15"/>
  <c r="AU357" i="15" s="1"/>
  <c r="D357" i="15"/>
  <c r="BD356" i="15" s="1"/>
  <c r="D356" i="15"/>
  <c r="AU354" i="15" s="1"/>
  <c r="D355" i="15"/>
  <c r="D354" i="15"/>
  <c r="D353" i="15"/>
  <c r="AU352" i="15" s="1"/>
  <c r="D352" i="15"/>
  <c r="AU351" i="15" s="1"/>
  <c r="D351" i="15"/>
  <c r="AU350" i="15" s="1"/>
  <c r="D350" i="15"/>
  <c r="AV349" i="15" s="1"/>
  <c r="D349" i="15"/>
  <c r="AU348" i="15" s="1"/>
  <c r="D348" i="15"/>
  <c r="BA347" i="15" s="1"/>
  <c r="D347" i="15"/>
  <c r="AV346" i="15"/>
  <c r="AU346" i="15"/>
  <c r="AV345" i="15"/>
  <c r="AU345" i="15"/>
  <c r="D345" i="15"/>
  <c r="AV344" i="15"/>
  <c r="AU344" i="15"/>
  <c r="AS341" i="15"/>
  <c r="M341" i="15"/>
  <c r="D341" i="15" s="1"/>
  <c r="AZ340" i="15" s="1"/>
  <c r="M340" i="15"/>
  <c r="D340" i="15" s="1"/>
  <c r="AW339" i="15" s="1"/>
  <c r="M339" i="15"/>
  <c r="D339" i="15" s="1"/>
  <c r="AV338" i="15" s="1"/>
  <c r="M338" i="15"/>
  <c r="D338" i="15" s="1"/>
  <c r="BB337" i="15" s="1"/>
  <c r="M337" i="15"/>
  <c r="D337" i="15" s="1"/>
  <c r="AY336" i="15" s="1"/>
  <c r="M336" i="15"/>
  <c r="D336" i="15" s="1"/>
  <c r="M335" i="15"/>
  <c r="D335" i="15" s="1"/>
  <c r="AY334" i="15" s="1"/>
  <c r="M334" i="15"/>
  <c r="D334" i="15" s="1"/>
  <c r="M333" i="15"/>
  <c r="D333" i="15" s="1"/>
  <c r="BC332" i="15" s="1"/>
  <c r="M332" i="15"/>
  <c r="D332" i="15" s="1"/>
  <c r="BC331" i="15" s="1"/>
  <c r="M331" i="15"/>
  <c r="D331" i="15" s="1"/>
  <c r="BD330" i="15" s="1"/>
  <c r="M330" i="15"/>
  <c r="D330" i="15" s="1"/>
  <c r="BC329" i="15" s="1"/>
  <c r="M329" i="15"/>
  <c r="D329" i="15" s="1"/>
  <c r="BA328" i="15" s="1"/>
  <c r="M328" i="15"/>
  <c r="D328" i="15" s="1"/>
  <c r="BA327" i="15" s="1"/>
  <c r="M327" i="15"/>
  <c r="D327" i="15" s="1"/>
  <c r="BD326" i="15" s="1"/>
  <c r="M326" i="15"/>
  <c r="D326" i="15" s="1"/>
  <c r="AY325" i="15" s="1"/>
  <c r="M325" i="15"/>
  <c r="D325" i="15" s="1"/>
  <c r="AY324" i="15" s="1"/>
  <c r="M324" i="15"/>
  <c r="D324" i="15" s="1"/>
  <c r="M323" i="15"/>
  <c r="D323" i="15" s="1"/>
  <c r="BA322" i="15" s="1"/>
  <c r="M322" i="15"/>
  <c r="D322" i="15" s="1"/>
  <c r="AY321" i="15" s="1"/>
  <c r="M321" i="15"/>
  <c r="D321" i="15" s="1"/>
  <c r="BA320" i="15" s="1"/>
  <c r="M320" i="15"/>
  <c r="D320" i="15" s="1"/>
  <c r="M319" i="15"/>
  <c r="D319" i="15" s="1"/>
  <c r="AU318" i="15" s="1"/>
  <c r="M318" i="15"/>
  <c r="D318" i="15" s="1"/>
  <c r="BB317" i="15" s="1"/>
  <c r="M317" i="15"/>
  <c r="D317" i="15" s="1"/>
  <c r="AS316" i="15"/>
  <c r="AS314" i="15"/>
  <c r="D314" i="15"/>
  <c r="AV313" i="15" s="1"/>
  <c r="D313" i="15"/>
  <c r="AU312" i="15" s="1"/>
  <c r="D312" i="15"/>
  <c r="AV311" i="15" s="1"/>
  <c r="D311" i="15"/>
  <c r="AV310" i="15"/>
  <c r="AU310" i="15"/>
  <c r="AS307" i="15"/>
  <c r="D307" i="15"/>
  <c r="AS306" i="15"/>
  <c r="D306" i="15"/>
  <c r="BB305" i="15" s="1"/>
  <c r="D305" i="15"/>
  <c r="AX303" i="15" s="1"/>
  <c r="D304" i="15"/>
  <c r="AU303" i="15" s="1"/>
  <c r="D303" i="15"/>
  <c r="D302" i="15"/>
  <c r="AY300" i="15" s="1"/>
  <c r="D301" i="15"/>
  <c r="AU300" i="15" s="1"/>
  <c r="D300" i="15"/>
  <c r="D299" i="15"/>
  <c r="AX297" i="15" s="1"/>
  <c r="D298" i="15"/>
  <c r="AU297" i="15" s="1"/>
  <c r="D297" i="15"/>
  <c r="AZ296" i="15" s="1"/>
  <c r="D296" i="15"/>
  <c r="D295" i="15"/>
  <c r="AU294" i="15" s="1"/>
  <c r="D294" i="15"/>
  <c r="BD293" i="15" s="1"/>
  <c r="D293" i="15"/>
  <c r="AS292" i="15"/>
  <c r="AS290" i="15"/>
  <c r="D290" i="15"/>
  <c r="AU289" i="15" s="1"/>
  <c r="AS289" i="15" s="1"/>
  <c r="D289" i="15"/>
  <c r="BA288" i="15" s="1"/>
  <c r="D288" i="15"/>
  <c r="AV287" i="15"/>
  <c r="AU287" i="15"/>
  <c r="AS285" i="15"/>
  <c r="D285" i="15"/>
  <c r="AU284" i="15" s="1"/>
  <c r="AS284" i="15" s="1"/>
  <c r="D284" i="15"/>
  <c r="AZ283" i="15" s="1"/>
  <c r="D283" i="15"/>
  <c r="AZ281" i="15" s="1"/>
  <c r="D282" i="15"/>
  <c r="AU281" i="15" s="1"/>
  <c r="D281" i="15"/>
  <c r="BB280" i="15" s="1"/>
  <c r="D280" i="15"/>
  <c r="AX278" i="15" s="1"/>
  <c r="D279" i="15"/>
  <c r="D278" i="15"/>
  <c r="D277" i="15"/>
  <c r="AU276" i="15" s="1"/>
  <c r="D276" i="15"/>
  <c r="D275" i="15"/>
  <c r="AU274" i="15" s="1"/>
  <c r="D274" i="15"/>
  <c r="D273" i="15"/>
  <c r="D272" i="15"/>
  <c r="AU271" i="15" s="1"/>
  <c r="D271" i="15"/>
  <c r="D270" i="15"/>
  <c r="AU269" i="15" s="1"/>
  <c r="D269" i="15"/>
  <c r="D268" i="15"/>
  <c r="AU267" i="15" s="1"/>
  <c r="D267" i="15"/>
  <c r="D266" i="15"/>
  <c r="AV265" i="15"/>
  <c r="AU265" i="15"/>
  <c r="AS263" i="15"/>
  <c r="D263" i="15"/>
  <c r="D262" i="15"/>
  <c r="D261" i="15"/>
  <c r="AU260" i="15" s="1"/>
  <c r="D260" i="15"/>
  <c r="AU259" i="15" s="1"/>
  <c r="D259" i="15"/>
  <c r="D258" i="15"/>
  <c r="AU257" i="15" s="1"/>
  <c r="D257" i="15"/>
  <c r="D256" i="15"/>
  <c r="AU255" i="15" s="1"/>
  <c r="D255" i="15"/>
  <c r="D254" i="15"/>
  <c r="D253" i="15"/>
  <c r="AV252" i="15"/>
  <c r="AU252" i="15"/>
  <c r="AS250" i="15"/>
  <c r="D250" i="15"/>
  <c r="AU249" i="15" s="1"/>
  <c r="AS249" i="15" s="1"/>
  <c r="D249" i="15"/>
  <c r="AY248" i="15" s="1"/>
  <c r="D248" i="15"/>
  <c r="AW246" i="15" s="1"/>
  <c r="D247" i="15"/>
  <c r="AU246" i="15" s="1"/>
  <c r="D246" i="15"/>
  <c r="AU245" i="15" s="1"/>
  <c r="D245" i="15"/>
  <c r="D244" i="15"/>
  <c r="AU243" i="15" s="1"/>
  <c r="D243" i="15"/>
  <c r="BB242" i="15" s="1"/>
  <c r="D242" i="15"/>
  <c r="BC239" i="15" s="1"/>
  <c r="D241" i="15"/>
  <c r="AU240" i="15" s="1"/>
  <c r="D240" i="15"/>
  <c r="AU239" i="15" s="1"/>
  <c r="D239" i="15"/>
  <c r="BD237" i="15" s="1"/>
  <c r="D238" i="15"/>
  <c r="AU237" i="15" s="1"/>
  <c r="D237" i="15"/>
  <c r="AX236" i="15" s="1"/>
  <c r="D236" i="15"/>
  <c r="AW235" i="15" s="1"/>
  <c r="D235" i="15"/>
  <c r="AU234" i="15" s="1"/>
  <c r="D234" i="15"/>
  <c r="AX233" i="15" s="1"/>
  <c r="D233" i="15"/>
  <c r="AV232" i="15"/>
  <c r="AU232" i="15"/>
  <c r="AV231" i="15"/>
  <c r="AU231" i="15"/>
  <c r="AV230" i="15"/>
  <c r="AU230" i="15"/>
  <c r="D230" i="15"/>
  <c r="AV229" i="15"/>
  <c r="AU229" i="15"/>
  <c r="AS226" i="15"/>
  <c r="M226" i="15"/>
  <c r="D226" i="15" s="1"/>
  <c r="AV225" i="15" s="1"/>
  <c r="M225" i="15"/>
  <c r="D225" i="15" s="1"/>
  <c r="M224" i="15"/>
  <c r="D224" i="15" s="1"/>
  <c r="M223" i="15"/>
  <c r="D223" i="15" s="1"/>
  <c r="M222" i="15"/>
  <c r="D222" i="15" s="1"/>
  <c r="BD221" i="15" s="1"/>
  <c r="M221" i="15"/>
  <c r="D221" i="15" s="1"/>
  <c r="AS220" i="15"/>
  <c r="AS218" i="15"/>
  <c r="D218" i="15"/>
  <c r="AU217" i="15" s="1"/>
  <c r="M217" i="15"/>
  <c r="D217" i="15" s="1"/>
  <c r="M216" i="15"/>
  <c r="D216" i="15" s="1"/>
  <c r="M215" i="15"/>
  <c r="D215" i="15" s="1"/>
  <c r="AV214" i="15"/>
  <c r="AU214" i="15"/>
  <c r="M212" i="15"/>
  <c r="D212" i="15" s="1"/>
  <c r="AV211" i="15" s="1"/>
  <c r="M210" i="15"/>
  <c r="D210" i="15" s="1"/>
  <c r="M209" i="15"/>
  <c r="D209" i="15" s="1"/>
  <c r="M207" i="15"/>
  <c r="D207" i="15" s="1"/>
  <c r="M206" i="15"/>
  <c r="D206" i="15" s="1"/>
  <c r="M205" i="15"/>
  <c r="D205" i="15" s="1"/>
  <c r="M203" i="15"/>
  <c r="D203" i="15" s="1"/>
  <c r="M202" i="15"/>
  <c r="D202" i="15" s="1"/>
  <c r="M201" i="15"/>
  <c r="D201" i="15" s="1"/>
  <c r="M199" i="15"/>
  <c r="D199" i="15" s="1"/>
  <c r="M198" i="15"/>
  <c r="D198" i="15" s="1"/>
  <c r="M197" i="15"/>
  <c r="D197" i="15" s="1"/>
  <c r="M196" i="15"/>
  <c r="D196" i="15" s="1"/>
  <c r="AU195" i="15" s="1"/>
  <c r="M195" i="15"/>
  <c r="D195" i="15" s="1"/>
  <c r="BD194" i="15" s="1"/>
  <c r="M194" i="15"/>
  <c r="D194" i="15" s="1"/>
  <c r="BD192" i="15" s="1"/>
  <c r="M193" i="15"/>
  <c r="D193" i="15" s="1"/>
  <c r="AU192" i="15" s="1"/>
  <c r="M192" i="15"/>
  <c r="D192" i="15" s="1"/>
  <c r="BA191" i="15" s="1"/>
  <c r="M191" i="15"/>
  <c r="D191" i="15" s="1"/>
  <c r="AV190" i="15"/>
  <c r="AU190" i="15"/>
  <c r="AS188" i="15"/>
  <c r="M188" i="15"/>
  <c r="D188" i="15" s="1"/>
  <c r="M187" i="15"/>
  <c r="D187" i="15" s="1"/>
  <c r="M186" i="15"/>
  <c r="D186" i="15" s="1"/>
  <c r="M185" i="15"/>
  <c r="D185" i="15" s="1"/>
  <c r="M184" i="15"/>
  <c r="D184" i="15" s="1"/>
  <c r="M183" i="15"/>
  <c r="D183" i="15" s="1"/>
  <c r="BC182" i="15" s="1"/>
  <c r="M182" i="15"/>
  <c r="D182" i="15" s="1"/>
  <c r="AV181" i="15"/>
  <c r="AU181" i="15"/>
  <c r="AS179" i="15"/>
  <c r="D179" i="15"/>
  <c r="M178" i="15"/>
  <c r="D178" i="15" s="1"/>
  <c r="AV177" i="15" s="1"/>
  <c r="M177" i="15"/>
  <c r="D177" i="15" s="1"/>
  <c r="M176" i="15"/>
  <c r="D176" i="15" s="1"/>
  <c r="AW175" i="15"/>
  <c r="AV175" i="15"/>
  <c r="AU175" i="15"/>
  <c r="AS173" i="15"/>
  <c r="D173" i="15"/>
  <c r="AU172" i="15" s="1"/>
  <c r="AS172" i="15" s="1"/>
  <c r="D172" i="15"/>
  <c r="BB171" i="15" s="1"/>
  <c r="D171" i="15"/>
  <c r="D170" i="15"/>
  <c r="AU169" i="15" s="1"/>
  <c r="D169" i="15"/>
  <c r="BA168" i="15" s="1"/>
  <c r="D168" i="15"/>
  <c r="AU166" i="15" s="1"/>
  <c r="D167" i="15"/>
  <c r="D166" i="15"/>
  <c r="D165" i="15"/>
  <c r="AW164" i="15" s="1"/>
  <c r="D164" i="15"/>
  <c r="AU163" i="15" s="1"/>
  <c r="D163" i="15"/>
  <c r="AY162" i="15" s="1"/>
  <c r="D162" i="15"/>
  <c r="BC159" i="15" s="1"/>
  <c r="D161" i="15"/>
  <c r="AU160" i="15" s="1"/>
  <c r="D160" i="15"/>
  <c r="BB159" i="15" s="1"/>
  <c r="D159" i="15"/>
  <c r="AW158" i="15" s="1"/>
  <c r="D158" i="15"/>
  <c r="AU157" i="15" s="1"/>
  <c r="D157" i="15"/>
  <c r="AY156" i="15" s="1"/>
  <c r="D156" i="15"/>
  <c r="AX155" i="15" s="1"/>
  <c r="D155" i="15"/>
  <c r="AU154" i="15" s="1"/>
  <c r="D154" i="15"/>
  <c r="AZ153" i="15" s="1"/>
  <c r="D153" i="15"/>
  <c r="AV152" i="15"/>
  <c r="AU152" i="15"/>
  <c r="AS150" i="15"/>
  <c r="D150" i="15"/>
  <c r="M149" i="15"/>
  <c r="D149" i="15" s="1"/>
  <c r="AV148" i="15" s="1"/>
  <c r="M148" i="15"/>
  <c r="D148" i="15" s="1"/>
  <c r="BC147" i="15" s="1"/>
  <c r="M147" i="15"/>
  <c r="D147" i="15" s="1"/>
  <c r="M146" i="15"/>
  <c r="D146" i="15" s="1"/>
  <c r="M145" i="15"/>
  <c r="D145" i="15" s="1"/>
  <c r="BD144" i="15" s="1"/>
  <c r="M144" i="15"/>
  <c r="D144" i="15" s="1"/>
  <c r="M143" i="15"/>
  <c r="D143" i="15" s="1"/>
  <c r="BA142" i="15" s="1"/>
  <c r="M142" i="15"/>
  <c r="D142" i="15" s="1"/>
  <c r="BC141" i="15" s="1"/>
  <c r="M141" i="15"/>
  <c r="D141" i="15" s="1"/>
  <c r="M140" i="15"/>
  <c r="D140" i="15" s="1"/>
  <c r="BC139" i="15" s="1"/>
  <c r="M139" i="15"/>
  <c r="D139" i="15" s="1"/>
  <c r="AV138" i="15"/>
  <c r="AU138" i="15"/>
  <c r="AS136" i="15"/>
  <c r="D136" i="15"/>
  <c r="AW135" i="15" s="1"/>
  <c r="D135" i="15"/>
  <c r="AV134" i="15" s="1"/>
  <c r="D134" i="15"/>
  <c r="AW133" i="15" s="1"/>
  <c r="D133" i="15"/>
  <c r="AW132" i="15"/>
  <c r="AV132" i="15"/>
  <c r="AU132" i="15"/>
  <c r="AS130" i="15"/>
  <c r="M130" i="15"/>
  <c r="D130" i="15" s="1"/>
  <c r="AU129" i="15" s="1"/>
  <c r="AS129" i="15" s="1"/>
  <c r="M129" i="15"/>
  <c r="D129" i="15" s="1"/>
  <c r="M128" i="15"/>
  <c r="D128" i="15" s="1"/>
  <c r="M127" i="15"/>
  <c r="D127" i="15" s="1"/>
  <c r="AU126" i="15" s="1"/>
  <c r="M126" i="15"/>
  <c r="D126" i="15" s="1"/>
  <c r="BD125" i="15" s="1"/>
  <c r="M125" i="15"/>
  <c r="D125" i="15" s="1"/>
  <c r="AY124" i="15" s="1"/>
  <c r="M124" i="15"/>
  <c r="D124" i="15" s="1"/>
  <c r="AU123" i="15" s="1"/>
  <c r="M123" i="15"/>
  <c r="D123" i="15" s="1"/>
  <c r="BB122" i="15" s="1"/>
  <c r="M122" i="15"/>
  <c r="D122" i="15" s="1"/>
  <c r="BC120" i="15" s="1"/>
  <c r="M121" i="15"/>
  <c r="D121" i="15" s="1"/>
  <c r="AU120" i="15" s="1"/>
  <c r="M120" i="15"/>
  <c r="D120" i="15" s="1"/>
  <c r="BA119" i="15" s="1"/>
  <c r="M119" i="15"/>
  <c r="D119" i="15" s="1"/>
  <c r="M118" i="15"/>
  <c r="D118" i="15" s="1"/>
  <c r="AU117" i="15" s="1"/>
  <c r="M117" i="15"/>
  <c r="D117" i="15" s="1"/>
  <c r="AY116" i="15" s="1"/>
  <c r="M116" i="15"/>
  <c r="D116" i="15" s="1"/>
  <c r="M115" i="15"/>
  <c r="D115" i="15" s="1"/>
  <c r="AU114" i="15" s="1"/>
  <c r="M114" i="15"/>
  <c r="D114" i="15" s="1"/>
  <c r="BD113" i="15" s="1"/>
  <c r="M113" i="15"/>
  <c r="D113" i="15" s="1"/>
  <c r="BB111" i="15" s="1"/>
  <c r="M112" i="15"/>
  <c r="D112" i="15" s="1"/>
  <c r="AU111" i="15" s="1"/>
  <c r="M111" i="15"/>
  <c r="D111" i="15" s="1"/>
  <c r="M110" i="15"/>
  <c r="D110" i="15" s="1"/>
  <c r="M109" i="15"/>
  <c r="D109" i="15" s="1"/>
  <c r="AU108" i="15" s="1"/>
  <c r="M108" i="15"/>
  <c r="D108" i="15" s="1"/>
  <c r="AW107" i="15" s="1"/>
  <c r="M107" i="15"/>
  <c r="D107" i="15" s="1"/>
  <c r="M106" i="15"/>
  <c r="D106" i="15" s="1"/>
  <c r="AU105" i="15" s="1"/>
  <c r="M105" i="15"/>
  <c r="D105" i="15" s="1"/>
  <c r="AX104" i="15" s="1"/>
  <c r="M104" i="15"/>
  <c r="D104" i="15" s="1"/>
  <c r="M103" i="15"/>
  <c r="D103" i="15" s="1"/>
  <c r="AU102" i="15" s="1"/>
  <c r="M102" i="15"/>
  <c r="D102" i="15" s="1"/>
  <c r="BD101" i="15" s="1"/>
  <c r="M101" i="15"/>
  <c r="D101" i="15" s="1"/>
  <c r="BD99" i="15" s="1"/>
  <c r="M100" i="15"/>
  <c r="D100" i="15" s="1"/>
  <c r="AU99" i="15" s="1"/>
  <c r="M99" i="15"/>
  <c r="D99" i="15" s="1"/>
  <c r="AZ98" i="15" s="1"/>
  <c r="M98" i="15"/>
  <c r="D98" i="15" s="1"/>
  <c r="M97" i="15"/>
  <c r="D97" i="15" s="1"/>
  <c r="AU96" i="15" s="1"/>
  <c r="M96" i="15"/>
  <c r="D96" i="15" s="1"/>
  <c r="M95" i="15"/>
  <c r="D95" i="15" s="1"/>
  <c r="AV94" i="15"/>
  <c r="AU94" i="15"/>
  <c r="D22" i="15"/>
  <c r="AV21" i="15" s="1"/>
  <c r="D93" i="15"/>
  <c r="AV92" i="15"/>
  <c r="AU92" i="15"/>
  <c r="AS89" i="15"/>
  <c r="D89" i="15"/>
  <c r="BD88" i="15" s="1"/>
  <c r="D88" i="15"/>
  <c r="AZ87" i="15" s="1"/>
  <c r="D87" i="15"/>
  <c r="BA86" i="15" s="1"/>
  <c r="D86" i="15"/>
  <c r="BB85" i="15" s="1"/>
  <c r="D85" i="15"/>
  <c r="AZ84" i="15" s="1"/>
  <c r="D84" i="15"/>
  <c r="AX83" i="15" s="1"/>
  <c r="D83" i="15"/>
  <c r="BC82" i="15" s="1"/>
  <c r="D82" i="15"/>
  <c r="BB81" i="15" s="1"/>
  <c r="D81" i="15"/>
  <c r="AW80" i="15" s="1"/>
  <c r="D80" i="15"/>
  <c r="AW79" i="15" s="1"/>
  <c r="D79" i="15"/>
  <c r="D78" i="15"/>
  <c r="BB77" i="15" s="1"/>
  <c r="D77" i="15"/>
  <c r="AW76" i="15" s="1"/>
  <c r="D76" i="15"/>
  <c r="AS75" i="15"/>
  <c r="AS73" i="15"/>
  <c r="D73" i="15"/>
  <c r="AV72" i="15" s="1"/>
  <c r="D72" i="15"/>
  <c r="AU71" i="15" s="1"/>
  <c r="D71" i="15"/>
  <c r="AU70" i="15" s="1"/>
  <c r="D70" i="15"/>
  <c r="AV69" i="15"/>
  <c r="AU69" i="15"/>
  <c r="AS67" i="15"/>
  <c r="D67" i="15"/>
  <c r="D65" i="15"/>
  <c r="D64" i="15"/>
  <c r="AU63" i="15" s="1"/>
  <c r="D63" i="15"/>
  <c r="D62" i="15"/>
  <c r="AU61" i="15" s="1"/>
  <c r="D61" i="15"/>
  <c r="D59" i="15"/>
  <c r="D58" i="15"/>
  <c r="D57" i="15"/>
  <c r="AU56" i="15" s="1"/>
  <c r="D56" i="15"/>
  <c r="D55" i="15"/>
  <c r="AU54" i="15" s="1"/>
  <c r="D54" i="15"/>
  <c r="D53" i="15"/>
  <c r="AU52" i="15" s="1"/>
  <c r="D52" i="15"/>
  <c r="D50" i="15"/>
  <c r="D49" i="15"/>
  <c r="D48" i="15"/>
  <c r="AU47" i="15" s="1"/>
  <c r="D47" i="15"/>
  <c r="D46" i="15"/>
  <c r="AU45" i="15" s="1"/>
  <c r="D45" i="15"/>
  <c r="D43" i="15"/>
  <c r="D42" i="15"/>
  <c r="D41" i="15"/>
  <c r="AU40" i="15" s="1"/>
  <c r="D40" i="15"/>
  <c r="D39" i="15"/>
  <c r="AU38" i="15" s="1"/>
  <c r="D38" i="15"/>
  <c r="AX36" i="15" s="1"/>
  <c r="D37" i="15"/>
  <c r="AU36" i="15" s="1"/>
  <c r="D36" i="15"/>
  <c r="AV35" i="15"/>
  <c r="AU35" i="15"/>
  <c r="AV34" i="15"/>
  <c r="AU34" i="15"/>
  <c r="D34" i="15"/>
  <c r="AV33" i="15"/>
  <c r="AU33" i="15"/>
  <c r="AV32" i="15"/>
  <c r="AU32" i="15"/>
  <c r="AS30" i="15"/>
  <c r="D30" i="15"/>
  <c r="BC29" i="15" s="1"/>
  <c r="D29" i="15"/>
  <c r="AW28" i="15" s="1"/>
  <c r="D28" i="15"/>
  <c r="AU27" i="15" s="1"/>
  <c r="D27" i="15"/>
  <c r="AW26" i="15" s="1"/>
  <c r="D26" i="15"/>
  <c r="AV25" i="15"/>
  <c r="AU25" i="15"/>
  <c r="D21" i="15"/>
  <c r="AV20" i="15" s="1"/>
  <c r="D20" i="15"/>
  <c r="AW19" i="15" s="1"/>
  <c r="D19" i="15"/>
  <c r="AW18" i="15" s="1"/>
  <c r="D18" i="15"/>
  <c r="AW17" i="15" s="1"/>
  <c r="D17" i="15"/>
  <c r="AV16" i="15" s="1"/>
  <c r="D16" i="15"/>
  <c r="AW15" i="15" s="1"/>
  <c r="D15" i="15"/>
  <c r="AW14" i="15" s="1"/>
  <c r="D14" i="15"/>
  <c r="AW13" i="15" s="1"/>
  <c r="D13" i="15"/>
  <c r="AV12" i="15" s="1"/>
  <c r="D12" i="15"/>
  <c r="AW11" i="15" s="1"/>
  <c r="D11" i="15"/>
  <c r="AW10" i="15" s="1"/>
  <c r="D10" i="15"/>
  <c r="AV9" i="15" s="1"/>
  <c r="D9" i="15"/>
  <c r="AV8" i="15" s="1"/>
  <c r="D8" i="15"/>
  <c r="AW7" i="15" s="1"/>
  <c r="D7" i="15"/>
  <c r="AW6" i="15" s="1"/>
  <c r="D6" i="15"/>
  <c r="AW5" i="15" s="1"/>
  <c r="D5" i="15"/>
  <c r="AV4" i="15" s="1"/>
  <c r="AS4" i="15" s="1"/>
  <c r="D4" i="15"/>
  <c r="E24" i="13"/>
  <c r="AZ266" i="15" l="1"/>
  <c r="AU266" i="15"/>
  <c r="BB266" i="15"/>
  <c r="BD266" i="15"/>
  <c r="BA266" i="15"/>
  <c r="AY266" i="15"/>
  <c r="AX266" i="15"/>
  <c r="AW266" i="15"/>
  <c r="AY271" i="15"/>
  <c r="AV271" i="15"/>
  <c r="AY272" i="15"/>
  <c r="AX272" i="15"/>
  <c r="AX271" i="15"/>
  <c r="AW272" i="15"/>
  <c r="BC271" i="15"/>
  <c r="BB271" i="15"/>
  <c r="AV272" i="15"/>
  <c r="AW271" i="15"/>
  <c r="AU272" i="15"/>
  <c r="BA271" i="15"/>
  <c r="BD271" i="15"/>
  <c r="AZ271" i="15"/>
  <c r="BB267" i="15"/>
  <c r="AV266" i="15"/>
  <c r="BC267" i="15"/>
  <c r="BA267" i="15"/>
  <c r="AZ267" i="15"/>
  <c r="AY267" i="15"/>
  <c r="AX267" i="15"/>
  <c r="AW268" i="15"/>
  <c r="AW267" i="15"/>
  <c r="BC266" i="15"/>
  <c r="AX268" i="15"/>
  <c r="AV268" i="15"/>
  <c r="AU268" i="15"/>
  <c r="BD267" i="15"/>
  <c r="AV267" i="15"/>
  <c r="AY268" i="15"/>
  <c r="BB273" i="15"/>
  <c r="BA273" i="15"/>
  <c r="AZ273" i="15"/>
  <c r="AY273" i="15"/>
  <c r="AU273" i="15"/>
  <c r="AX273" i="15"/>
  <c r="BD273" i="15"/>
  <c r="AW273" i="15"/>
  <c r="AY275" i="15"/>
  <c r="BC273" i="15"/>
  <c r="AX275" i="15"/>
  <c r="AW275" i="15"/>
  <c r="AV273" i="15"/>
  <c r="AZ274" i="15"/>
  <c r="AX274" i="15"/>
  <c r="AW274" i="15"/>
  <c r="AV274" i="15"/>
  <c r="AV275" i="15"/>
  <c r="AU275" i="15"/>
  <c r="AY274" i="15"/>
  <c r="BD274" i="15"/>
  <c r="BB274" i="15"/>
  <c r="BA274" i="15"/>
  <c r="BC274" i="15"/>
  <c r="AY270" i="15"/>
  <c r="AX270" i="15"/>
  <c r="AZ269" i="15"/>
  <c r="AW269" i="15"/>
  <c r="AW270" i="15"/>
  <c r="AV270" i="15"/>
  <c r="AV269" i="15"/>
  <c r="AU270" i="15"/>
  <c r="BB269" i="15"/>
  <c r="BD269" i="15"/>
  <c r="BA269" i="15"/>
  <c r="AY269" i="15"/>
  <c r="AX269" i="15"/>
  <c r="BC269" i="15"/>
  <c r="BD276" i="15"/>
  <c r="BB276" i="15"/>
  <c r="AX276" i="15"/>
  <c r="AY277" i="15"/>
  <c r="AX277" i="15"/>
  <c r="BA276" i="15"/>
  <c r="AW277" i="15"/>
  <c r="BC276" i="15"/>
  <c r="AW276" i="15"/>
  <c r="AV277" i="15"/>
  <c r="AV276" i="15"/>
  <c r="AU277" i="15"/>
  <c r="AZ276" i="15"/>
  <c r="AY276" i="15"/>
  <c r="AW254" i="15"/>
  <c r="AV254" i="15"/>
  <c r="AU254" i="15"/>
  <c r="BC253" i="15"/>
  <c r="BD253" i="15"/>
  <c r="BB253" i="15"/>
  <c r="BA253" i="15"/>
  <c r="AW253" i="15"/>
  <c r="AZ253" i="15"/>
  <c r="AY253" i="15"/>
  <c r="AV253" i="15"/>
  <c r="AX253" i="15"/>
  <c r="AY254" i="15"/>
  <c r="AX254" i="15"/>
  <c r="AY258" i="15"/>
  <c r="AW257" i="15"/>
  <c r="AX258" i="15"/>
  <c r="BD257" i="15"/>
  <c r="AW258" i="15"/>
  <c r="AV258" i="15"/>
  <c r="AU258" i="15"/>
  <c r="BC257" i="15"/>
  <c r="AY257" i="15"/>
  <c r="BB257" i="15"/>
  <c r="BA257" i="15"/>
  <c r="AX257" i="15"/>
  <c r="AV257" i="15"/>
  <c r="AZ257" i="15"/>
  <c r="AY261" i="15"/>
  <c r="AU261" i="15"/>
  <c r="BD260" i="15"/>
  <c r="AX260" i="15"/>
  <c r="AW260" i="15"/>
  <c r="AX261" i="15"/>
  <c r="AW261" i="15"/>
  <c r="AV261" i="15"/>
  <c r="BC260" i="15"/>
  <c r="BB260" i="15"/>
  <c r="AY260" i="15"/>
  <c r="AV260" i="15"/>
  <c r="BA260" i="15"/>
  <c r="AZ260" i="15"/>
  <c r="BC259" i="15"/>
  <c r="AV259" i="15"/>
  <c r="AX256" i="15"/>
  <c r="AW256" i="15"/>
  <c r="BD255" i="15"/>
  <c r="AV256" i="15"/>
  <c r="BC255" i="15"/>
  <c r="AU256" i="15"/>
  <c r="AW255" i="15"/>
  <c r="BB255" i="15"/>
  <c r="BA255" i="15"/>
  <c r="AX255" i="15"/>
  <c r="AZ255" i="15"/>
  <c r="AV255" i="15"/>
  <c r="AY255" i="15"/>
  <c r="AY256" i="15"/>
  <c r="AU58" i="15"/>
  <c r="AW58" i="15"/>
  <c r="AX58" i="15"/>
  <c r="AY58" i="15"/>
  <c r="AV40" i="15"/>
  <c r="AW40" i="15"/>
  <c r="AX40" i="15"/>
  <c r="AY40" i="15"/>
  <c r="AZ40" i="15"/>
  <c r="BA40" i="15"/>
  <c r="BB40" i="15"/>
  <c r="BC40" i="15"/>
  <c r="BD40" i="15"/>
  <c r="AU41" i="15"/>
  <c r="AV41" i="15"/>
  <c r="AW41" i="15"/>
  <c r="AX41" i="15"/>
  <c r="AY41" i="15"/>
  <c r="AU60" i="15"/>
  <c r="AV60" i="15"/>
  <c r="AV58" i="15"/>
  <c r="AW60" i="15"/>
  <c r="AX60" i="15"/>
  <c r="AY60" i="15"/>
  <c r="AZ58" i="15"/>
  <c r="BA58" i="15"/>
  <c r="BB58" i="15"/>
  <c r="BC58" i="15"/>
  <c r="BD58" i="15"/>
  <c r="AW42" i="15"/>
  <c r="AX42" i="15"/>
  <c r="AY42" i="15"/>
  <c r="AU42" i="15"/>
  <c r="AV47" i="15"/>
  <c r="AW47" i="15"/>
  <c r="AX47" i="15"/>
  <c r="AY47" i="15"/>
  <c r="AZ47" i="15"/>
  <c r="BA47" i="15"/>
  <c r="BB47" i="15"/>
  <c r="BC47" i="15"/>
  <c r="BD47" i="15"/>
  <c r="AU48" i="15"/>
  <c r="AV48" i="15"/>
  <c r="AW48" i="15"/>
  <c r="AX48" i="15"/>
  <c r="AY48" i="15"/>
  <c r="AV62" i="15"/>
  <c r="AW62" i="15"/>
  <c r="AX62" i="15"/>
  <c r="AY62" i="15"/>
  <c r="AV61" i="15"/>
  <c r="AW61" i="15"/>
  <c r="AX61" i="15"/>
  <c r="AY61" i="15"/>
  <c r="AZ61" i="15"/>
  <c r="BA61" i="15"/>
  <c r="BB61" i="15"/>
  <c r="BC61" i="15"/>
  <c r="BD61" i="15"/>
  <c r="AU62" i="15"/>
  <c r="AW64" i="15"/>
  <c r="AX64" i="15"/>
  <c r="AY64" i="15"/>
  <c r="AV63" i="15"/>
  <c r="AW63" i="15"/>
  <c r="AX63" i="15"/>
  <c r="AY63" i="15"/>
  <c r="AZ63" i="15"/>
  <c r="BA63" i="15"/>
  <c r="BB63" i="15"/>
  <c r="BC63" i="15"/>
  <c r="BD63" i="15"/>
  <c r="AU64" i="15"/>
  <c r="AV64" i="15"/>
  <c r="AU43" i="15"/>
  <c r="AV43" i="15"/>
  <c r="AW43" i="15"/>
  <c r="AX43" i="15"/>
  <c r="AY43" i="15"/>
  <c r="AU49" i="15"/>
  <c r="AW49" i="15"/>
  <c r="AX49" i="15"/>
  <c r="AY49" i="15"/>
  <c r="AV51" i="15"/>
  <c r="AV49" i="15"/>
  <c r="AW51" i="15"/>
  <c r="AX51" i="15"/>
  <c r="AY51" i="15"/>
  <c r="AZ49" i="15"/>
  <c r="BA49" i="15"/>
  <c r="BB49" i="15"/>
  <c r="BC49" i="15"/>
  <c r="BD49" i="15"/>
  <c r="AU51" i="15"/>
  <c r="AU50" i="15"/>
  <c r="AV50" i="15"/>
  <c r="AW50" i="15"/>
  <c r="AX50" i="15"/>
  <c r="AY50" i="15"/>
  <c r="AX44" i="15"/>
  <c r="AY44" i="15"/>
  <c r="AZ42" i="15"/>
  <c r="BA42" i="15"/>
  <c r="BB42" i="15"/>
  <c r="BC42" i="15"/>
  <c r="BD42" i="15"/>
  <c r="AU44" i="15"/>
  <c r="AV44" i="15"/>
  <c r="AV42" i="15"/>
  <c r="AW44" i="15"/>
  <c r="AU59" i="15"/>
  <c r="AV59" i="15"/>
  <c r="AW59" i="15"/>
  <c r="AX59" i="15"/>
  <c r="AY59" i="15"/>
  <c r="AW53" i="15"/>
  <c r="AX53" i="15"/>
  <c r="AY53" i="15"/>
  <c r="AV52" i="15"/>
  <c r="AW52" i="15"/>
  <c r="AX52" i="15"/>
  <c r="AY52" i="15"/>
  <c r="AZ52" i="15"/>
  <c r="BA52" i="15"/>
  <c r="BB52" i="15"/>
  <c r="BC52" i="15"/>
  <c r="BD52" i="15"/>
  <c r="AU53" i="15"/>
  <c r="AV53" i="15"/>
  <c r="AU65" i="15"/>
  <c r="AW65" i="15"/>
  <c r="AX65" i="15"/>
  <c r="AY65" i="15"/>
  <c r="AU66" i="15"/>
  <c r="AV66" i="15"/>
  <c r="AW66" i="15"/>
  <c r="AX66" i="15"/>
  <c r="AY66" i="15"/>
  <c r="AY46" i="15"/>
  <c r="AV45" i="15"/>
  <c r="AW45" i="15"/>
  <c r="AX45" i="15"/>
  <c r="AY45" i="15"/>
  <c r="AZ45" i="15"/>
  <c r="BA45" i="15"/>
  <c r="BB45" i="15"/>
  <c r="BC45" i="15"/>
  <c r="BD45" i="15"/>
  <c r="AU46" i="15"/>
  <c r="AV46" i="15"/>
  <c r="AW46" i="15"/>
  <c r="AX46" i="15"/>
  <c r="AX55" i="15"/>
  <c r="AY55" i="15"/>
  <c r="AV54" i="15"/>
  <c r="AW54" i="15"/>
  <c r="AX54" i="15"/>
  <c r="AY54" i="15"/>
  <c r="AZ54" i="15"/>
  <c r="BA54" i="15"/>
  <c r="BB54" i="15"/>
  <c r="BC54" i="15"/>
  <c r="BD54" i="15"/>
  <c r="AU55" i="15"/>
  <c r="AV55" i="15"/>
  <c r="AW55" i="15"/>
  <c r="AV38" i="15"/>
  <c r="AW38" i="15"/>
  <c r="AX38" i="15"/>
  <c r="AY38" i="15"/>
  <c r="AZ38" i="15"/>
  <c r="BA38" i="15"/>
  <c r="BB38" i="15"/>
  <c r="BC38" i="15"/>
  <c r="BD38" i="15"/>
  <c r="AU39" i="15"/>
  <c r="AV39" i="15"/>
  <c r="AW39" i="15"/>
  <c r="AX39" i="15"/>
  <c r="AY39" i="15"/>
  <c r="AY57" i="15"/>
  <c r="AV56" i="15"/>
  <c r="AW56" i="15"/>
  <c r="AX56" i="15"/>
  <c r="AY56" i="15"/>
  <c r="AZ56" i="15"/>
  <c r="BA56" i="15"/>
  <c r="BB56" i="15"/>
  <c r="BC56" i="15"/>
  <c r="BD56" i="15"/>
  <c r="AU57" i="15"/>
  <c r="AV57" i="15"/>
  <c r="AW57" i="15"/>
  <c r="AX57" i="15"/>
  <c r="AX143" i="16"/>
  <c r="AY143" i="16"/>
  <c r="AY72" i="16"/>
  <c r="BB73" i="16"/>
  <c r="AZ71" i="16"/>
  <c r="AZ61" i="16"/>
  <c r="BA61" i="16"/>
  <c r="AX52" i="16"/>
  <c r="BA43" i="16"/>
  <c r="AZ41" i="16"/>
  <c r="BB26" i="16"/>
  <c r="AY22" i="16"/>
  <c r="BB29" i="16"/>
  <c r="BA14" i="16"/>
  <c r="BC9" i="16"/>
  <c r="BA6" i="16"/>
  <c r="AP25" i="17"/>
  <c r="AM25" i="17" s="1"/>
  <c r="AQ10" i="17"/>
  <c r="AS10" i="17"/>
  <c r="AS63" i="17"/>
  <c r="AR71" i="17"/>
  <c r="AS9" i="17"/>
  <c r="AO10" i="17"/>
  <c r="AO9" i="17"/>
  <c r="AP27" i="17"/>
  <c r="AM27" i="17" s="1"/>
  <c r="AP63" i="17"/>
  <c r="AP4" i="17"/>
  <c r="AM4" i="17" s="1"/>
  <c r="AP29" i="17"/>
  <c r="AM29" i="17" s="1"/>
  <c r="AP43" i="17"/>
  <c r="AM43" i="17" s="1"/>
  <c r="AO44" i="17"/>
  <c r="AM44" i="17" s="1"/>
  <c r="AP62" i="17"/>
  <c r="AO19" i="17"/>
  <c r="AM19" i="17" s="1"/>
  <c r="AO26" i="17"/>
  <c r="AP31" i="17"/>
  <c r="AM31" i="17" s="1"/>
  <c r="AS62" i="17"/>
  <c r="AX70" i="16"/>
  <c r="AX76" i="16"/>
  <c r="BA70" i="16"/>
  <c r="AX73" i="16"/>
  <c r="AY76" i="16"/>
  <c r="AV76" i="16" s="1"/>
  <c r="AX71" i="16"/>
  <c r="BC73" i="16"/>
  <c r="AX62" i="16"/>
  <c r="BA62" i="16"/>
  <c r="AX64" i="16"/>
  <c r="AV64" i="16" s="1"/>
  <c r="AX60" i="16"/>
  <c r="BA63" i="16"/>
  <c r="AX61" i="16"/>
  <c r="AZ53" i="16"/>
  <c r="BA50" i="16"/>
  <c r="AZ51" i="16"/>
  <c r="AX56" i="16"/>
  <c r="BB42" i="16"/>
  <c r="AX40" i="16"/>
  <c r="AZ40" i="16"/>
  <c r="AZ29" i="16"/>
  <c r="AX35" i="16"/>
  <c r="AX28" i="16"/>
  <c r="AX31" i="16"/>
  <c r="BA28" i="16"/>
  <c r="BA25" i="16"/>
  <c r="BC28" i="16"/>
  <c r="AZ32" i="16"/>
  <c r="AY18" i="16"/>
  <c r="AX140" i="16"/>
  <c r="AX136" i="16"/>
  <c r="BB136" i="16"/>
  <c r="AX92" i="16"/>
  <c r="AY92" i="16"/>
  <c r="AZ92" i="16"/>
  <c r="AY89" i="16"/>
  <c r="AY85" i="16"/>
  <c r="BD205" i="15"/>
  <c r="AU205" i="15"/>
  <c r="BB205" i="15"/>
  <c r="BA205" i="15"/>
  <c r="AZ205" i="15"/>
  <c r="AY205" i="15"/>
  <c r="AX205" i="15"/>
  <c r="AW205" i="15"/>
  <c r="AV205" i="15"/>
  <c r="BC205" i="15"/>
  <c r="AU206" i="15"/>
  <c r="AY208" i="15"/>
  <c r="AV208" i="15"/>
  <c r="AW208" i="15"/>
  <c r="AX208" i="15"/>
  <c r="AU208" i="15"/>
  <c r="AY212" i="15"/>
  <c r="AU212" i="15"/>
  <c r="AV212" i="15"/>
  <c r="AW212" i="15"/>
  <c r="AX212" i="15"/>
  <c r="AY204" i="15"/>
  <c r="AX204" i="15"/>
  <c r="AW204" i="15"/>
  <c r="AV204" i="15"/>
  <c r="AU204" i="15"/>
  <c r="BD201" i="15"/>
  <c r="BB201" i="15"/>
  <c r="BA201" i="15"/>
  <c r="AZ201" i="15"/>
  <c r="AY201" i="15"/>
  <c r="AX201" i="15"/>
  <c r="AW201" i="15"/>
  <c r="AU201" i="15"/>
  <c r="AW355" i="15"/>
  <c r="AX355" i="15"/>
  <c r="AY355" i="15"/>
  <c r="AU355" i="15"/>
  <c r="AV355" i="15"/>
  <c r="AX202" i="15"/>
  <c r="AU202" i="15"/>
  <c r="AZ353" i="15"/>
  <c r="AY353" i="15"/>
  <c r="AX353" i="15"/>
  <c r="AW353" i="15"/>
  <c r="AU353" i="15"/>
  <c r="BD353" i="15"/>
  <c r="BB353" i="15"/>
  <c r="BA353" i="15"/>
  <c r="AW209" i="15"/>
  <c r="AU209" i="15"/>
  <c r="BD209" i="15"/>
  <c r="BB209" i="15"/>
  <c r="BA209" i="15"/>
  <c r="AZ209" i="15"/>
  <c r="AY209" i="15"/>
  <c r="AX209" i="15"/>
  <c r="AR46" i="18"/>
  <c r="AQ46" i="18"/>
  <c r="AO50" i="17"/>
  <c r="AO35" i="17"/>
  <c r="AM35" i="17" s="1"/>
  <c r="AQ50" i="17"/>
  <c r="AO68" i="17"/>
  <c r="AM68" i="17" s="1"/>
  <c r="AP72" i="17"/>
  <c r="AP9" i="17"/>
  <c r="AQ9" i="17"/>
  <c r="AO30" i="17"/>
  <c r="AM30" i="17" s="1"/>
  <c r="AO45" i="17"/>
  <c r="AM45" i="17" s="1"/>
  <c r="AR50" i="17"/>
  <c r="AO63" i="17"/>
  <c r="AQ72" i="17"/>
  <c r="AM26" i="17"/>
  <c r="AO13" i="17"/>
  <c r="AO37" i="17"/>
  <c r="AM37" i="17" s="1"/>
  <c r="AQ51" i="17"/>
  <c r="AO51" i="17"/>
  <c r="AP10" i="17"/>
  <c r="AR13" i="17"/>
  <c r="AR51" i="17"/>
  <c r="AO62" i="17"/>
  <c r="AO71" i="17"/>
  <c r="AS109" i="20"/>
  <c r="AR109" i="20"/>
  <c r="AO45" i="18"/>
  <c r="BA165" i="15"/>
  <c r="AU165" i="15"/>
  <c r="AZ165" i="15"/>
  <c r="AY165" i="15"/>
  <c r="AX165" i="15"/>
  <c r="AW165" i="15"/>
  <c r="BD165" i="15"/>
  <c r="BB165" i="15"/>
  <c r="AY198" i="15"/>
  <c r="AU198" i="15"/>
  <c r="AV167" i="15"/>
  <c r="AW167" i="15"/>
  <c r="AX167" i="15"/>
  <c r="AY167" i="15"/>
  <c r="AU167" i="15"/>
  <c r="AV200" i="15"/>
  <c r="AU200" i="15"/>
  <c r="AW200" i="15"/>
  <c r="AX200" i="15"/>
  <c r="AY200" i="15"/>
  <c r="BB197" i="15"/>
  <c r="BA197" i="15"/>
  <c r="AZ197" i="15"/>
  <c r="AW197" i="15"/>
  <c r="BD197" i="15"/>
  <c r="AY197" i="15"/>
  <c r="AX197" i="15"/>
  <c r="AU197" i="15"/>
  <c r="AO20" i="18"/>
  <c r="AR33" i="18"/>
  <c r="AR23" i="18"/>
  <c r="AO23" i="18" s="1"/>
  <c r="AQ21" i="18"/>
  <c r="AO21" i="18" s="1"/>
  <c r="AQ32" i="18"/>
  <c r="AQ34" i="18"/>
  <c r="AQ51" i="18"/>
  <c r="AO51" i="18" s="1"/>
  <c r="AQ33" i="18"/>
  <c r="AQ28" i="18"/>
  <c r="AO28" i="18" s="1"/>
  <c r="AR32" i="18"/>
  <c r="AR34" i="18"/>
  <c r="AV5" i="16"/>
  <c r="AV39" i="16"/>
  <c r="AX41" i="16"/>
  <c r="AV41" i="16" s="1"/>
  <c r="AY43" i="16"/>
  <c r="AZ63" i="16"/>
  <c r="AV102" i="16"/>
  <c r="AV108" i="16"/>
  <c r="BA123" i="16"/>
  <c r="AV18" i="16"/>
  <c r="BA31" i="16"/>
  <c r="AX34" i="16"/>
  <c r="BB43" i="16"/>
  <c r="AX46" i="16"/>
  <c r="BA52" i="16"/>
  <c r="BB63" i="16"/>
  <c r="AY66" i="16"/>
  <c r="AV66" i="16" s="1"/>
  <c r="BA72" i="16"/>
  <c r="AV85" i="16"/>
  <c r="AY114" i="16"/>
  <c r="BA122" i="16"/>
  <c r="AV122" i="16" s="1"/>
  <c r="AV140" i="16"/>
  <c r="BA143" i="16"/>
  <c r="BC15" i="16"/>
  <c r="AZ23" i="16"/>
  <c r="AZ26" i="16"/>
  <c r="BC31" i="16"/>
  <c r="AX42" i="16"/>
  <c r="BC43" i="16"/>
  <c r="AY46" i="16"/>
  <c r="AZ50" i="16"/>
  <c r="AV50" i="16" s="1"/>
  <c r="BC52" i="16"/>
  <c r="AX55" i="16"/>
  <c r="BC63" i="16"/>
  <c r="BC72" i="16"/>
  <c r="AX74" i="16"/>
  <c r="AV74" i="16" s="1"/>
  <c r="AV92" i="16"/>
  <c r="AY109" i="16"/>
  <c r="AV114" i="16"/>
  <c r="AX120" i="16"/>
  <c r="AV40" i="16"/>
  <c r="AZ42" i="16"/>
  <c r="AV109" i="16"/>
  <c r="AZ136" i="16"/>
  <c r="AX123" i="16"/>
  <c r="BC12" i="16"/>
  <c r="BB32" i="16"/>
  <c r="BC42" i="16"/>
  <c r="BB53" i="16"/>
  <c r="AY56" i="16"/>
  <c r="BA60" i="16"/>
  <c r="BC62" i="16"/>
  <c r="BA71" i="16"/>
  <c r="AZ73" i="16"/>
  <c r="BA89" i="16"/>
  <c r="AY116" i="16"/>
  <c r="AY123" i="16"/>
  <c r="AV103" i="16"/>
  <c r="AV21" i="16"/>
  <c r="AV33" i="16"/>
  <c r="AX44" i="16"/>
  <c r="AV44" i="16" s="1"/>
  <c r="BA8" i="16"/>
  <c r="AY17" i="16"/>
  <c r="AX25" i="16"/>
  <c r="BC53" i="16"/>
  <c r="AV54" i="16"/>
  <c r="AX65" i="16"/>
  <c r="BA73" i="16"/>
  <c r="AY102" i="16"/>
  <c r="AV116" i="16"/>
  <c r="AX132" i="16"/>
  <c r="AT108" i="20"/>
  <c r="AS108" i="20"/>
  <c r="AR108" i="20"/>
  <c r="AU109" i="20"/>
  <c r="BD472" i="15"/>
  <c r="AY473" i="15"/>
  <c r="BA471" i="15"/>
  <c r="AV229" i="21"/>
  <c r="AV215" i="21"/>
  <c r="AU187" i="21"/>
  <c r="U126" i="21"/>
  <c r="T127" i="21"/>
  <c r="AY173" i="21"/>
  <c r="AS236" i="21"/>
  <c r="AU219" i="21"/>
  <c r="AX197" i="21"/>
  <c r="AS177" i="21"/>
  <c r="AV197" i="21"/>
  <c r="AV237" i="21"/>
  <c r="AU237" i="21"/>
  <c r="AS237" i="21" s="1"/>
  <c r="AU221" i="21"/>
  <c r="AS221" i="21" s="1"/>
  <c r="AS209" i="21"/>
  <c r="AU181" i="21"/>
  <c r="AV223" i="21"/>
  <c r="AS223" i="21" s="1"/>
  <c r="AV209" i="21"/>
  <c r="T231" i="21"/>
  <c r="AS220" i="21"/>
  <c r="T216" i="21"/>
  <c r="AV233" i="21"/>
  <c r="AS230" i="21"/>
  <c r="AU229" i="21"/>
  <c r="AW218" i="21"/>
  <c r="AS218" i="21" s="1"/>
  <c r="AS215" i="21"/>
  <c r="AS219" i="21"/>
  <c r="AS232" i="21"/>
  <c r="AS228" i="21"/>
  <c r="AW174" i="21"/>
  <c r="AS172" i="21"/>
  <c r="AW234" i="21"/>
  <c r="AS234" i="21" s="1"/>
  <c r="AU233" i="21"/>
  <c r="AU217" i="21"/>
  <c r="AS217" i="21" s="1"/>
  <c r="AW200" i="21"/>
  <c r="AS200" i="21" s="1"/>
  <c r="AX179" i="21"/>
  <c r="AV235" i="21"/>
  <c r="AS235" i="21" s="1"/>
  <c r="AV210" i="21"/>
  <c r="AS210" i="21" s="1"/>
  <c r="AU179" i="21"/>
  <c r="T194" i="21"/>
  <c r="U194" i="21" s="1"/>
  <c r="AW222" i="21"/>
  <c r="AS222" i="21" s="1"/>
  <c r="AW214" i="21"/>
  <c r="AS214" i="21" s="1"/>
  <c r="AX199" i="21"/>
  <c r="AY187" i="21"/>
  <c r="AV231" i="21"/>
  <c r="AS231" i="21" s="1"/>
  <c r="AW216" i="21"/>
  <c r="AS216" i="21" s="1"/>
  <c r="AW201" i="21"/>
  <c r="AW196" i="21"/>
  <c r="AS196" i="21" s="1"/>
  <c r="AW187" i="21"/>
  <c r="AW55" i="21"/>
  <c r="AU197" i="21"/>
  <c r="AV187" i="21"/>
  <c r="AU185" i="21"/>
  <c r="AV179" i="21"/>
  <c r="U174" i="21"/>
  <c r="AS171" i="21"/>
  <c r="AV185" i="21"/>
  <c r="AY181" i="21"/>
  <c r="AW180" i="21"/>
  <c r="AS180" i="21" s="1"/>
  <c r="AY51" i="21"/>
  <c r="AY197" i="21"/>
  <c r="AW186" i="21"/>
  <c r="AS186" i="21" s="1"/>
  <c r="AX181" i="21"/>
  <c r="AW181" i="21"/>
  <c r="AU173" i="21"/>
  <c r="AX201" i="21"/>
  <c r="AY199" i="21"/>
  <c r="AY179" i="21"/>
  <c r="AS184" i="21"/>
  <c r="AS178" i="21"/>
  <c r="AV201" i="21"/>
  <c r="AW199" i="21"/>
  <c r="AW198" i="21"/>
  <c r="AS198" i="21" s="1"/>
  <c r="AY195" i="21"/>
  <c r="AY185" i="21"/>
  <c r="T180" i="21"/>
  <c r="AV174" i="21"/>
  <c r="AX173" i="21"/>
  <c r="AU201" i="21"/>
  <c r="AV199" i="21"/>
  <c r="AX195" i="21"/>
  <c r="AY193" i="21"/>
  <c r="AX185" i="21"/>
  <c r="AY183" i="21"/>
  <c r="AU174" i="21"/>
  <c r="AW173" i="21"/>
  <c r="AW195" i="21"/>
  <c r="AW194" i="21"/>
  <c r="AS194" i="21" s="1"/>
  <c r="AX193" i="21"/>
  <c r="AW185" i="21"/>
  <c r="AX183" i="21"/>
  <c r="AV195" i="21"/>
  <c r="AW193" i="21"/>
  <c r="AW192" i="21"/>
  <c r="AS192" i="21" s="1"/>
  <c r="AW183" i="21"/>
  <c r="AW182" i="21"/>
  <c r="AS182" i="21" s="1"/>
  <c r="AV193" i="21"/>
  <c r="AV183" i="21"/>
  <c r="AW179" i="21"/>
  <c r="AY174" i="21"/>
  <c r="T69" i="21"/>
  <c r="AY57" i="21"/>
  <c r="AY53" i="21"/>
  <c r="AW91" i="21"/>
  <c r="AS91" i="21" s="1"/>
  <c r="AU71" i="21"/>
  <c r="AU69" i="21"/>
  <c r="AW56" i="21"/>
  <c r="AS56" i="21" s="1"/>
  <c r="T55" i="21"/>
  <c r="AW57" i="21"/>
  <c r="AW53" i="21"/>
  <c r="AU110" i="21"/>
  <c r="AS110" i="21" s="1"/>
  <c r="AW93" i="21"/>
  <c r="AS93" i="21" s="1"/>
  <c r="AW109" i="21"/>
  <c r="AS109" i="21" s="1"/>
  <c r="AU84" i="21"/>
  <c r="AS84" i="21" s="1"/>
  <c r="AU133" i="21"/>
  <c r="AS120" i="21"/>
  <c r="AS118" i="21"/>
  <c r="AU108" i="21"/>
  <c r="AS108" i="21" s="1"/>
  <c r="AS49" i="21"/>
  <c r="AU160" i="21"/>
  <c r="AV133" i="21"/>
  <c r="AU129" i="21"/>
  <c r="AU125" i="21"/>
  <c r="AU123" i="21"/>
  <c r="AS123" i="21" s="1"/>
  <c r="AS105" i="21"/>
  <c r="AU73" i="21"/>
  <c r="AY55" i="21"/>
  <c r="AX45" i="21"/>
  <c r="AV151" i="21"/>
  <c r="AV149" i="21"/>
  <c r="AV145" i="21"/>
  <c r="AU67" i="21"/>
  <c r="AW58" i="21"/>
  <c r="AS58" i="21" s="1"/>
  <c r="AW51" i="21"/>
  <c r="AY46" i="21"/>
  <c r="AS43" i="21"/>
  <c r="AU151" i="21"/>
  <c r="AU149" i="21"/>
  <c r="AU145" i="21"/>
  <c r="AV143" i="21"/>
  <c r="AU65" i="21"/>
  <c r="AW46" i="21"/>
  <c r="AU143" i="21"/>
  <c r="AW111" i="21"/>
  <c r="AS111" i="21" s="1"/>
  <c r="AV85" i="21"/>
  <c r="AS85" i="21" s="1"/>
  <c r="AW54" i="21"/>
  <c r="AS54" i="21" s="1"/>
  <c r="AS44" i="21"/>
  <c r="AW160" i="21"/>
  <c r="AS138" i="21"/>
  <c r="AV119" i="21"/>
  <c r="AS119" i="21" s="1"/>
  <c r="AV106" i="21"/>
  <c r="AV94" i="21"/>
  <c r="AS94" i="21" s="1"/>
  <c r="AV92" i="21"/>
  <c r="AS92" i="21" s="1"/>
  <c r="AY59" i="21"/>
  <c r="AW52" i="21"/>
  <c r="AS52" i="21" s="1"/>
  <c r="AV160" i="21"/>
  <c r="AV129" i="21"/>
  <c r="AV125" i="21"/>
  <c r="AU106" i="21"/>
  <c r="AW59" i="21"/>
  <c r="AW146" i="21"/>
  <c r="T106" i="21"/>
  <c r="AW103" i="21"/>
  <c r="AS103" i="21" s="1"/>
  <c r="AW95" i="21"/>
  <c r="AS95" i="21" s="1"/>
  <c r="T91" i="21"/>
  <c r="AX59" i="21"/>
  <c r="AX57" i="21"/>
  <c r="AX55" i="21"/>
  <c r="AX53" i="21"/>
  <c r="AX51" i="21"/>
  <c r="AW50" i="21"/>
  <c r="AS50" i="21" s="1"/>
  <c r="AX46" i="21"/>
  <c r="AY45" i="21"/>
  <c r="AW130" i="21"/>
  <c r="AV96" i="21"/>
  <c r="AS96" i="21" s="1"/>
  <c r="AV147" i="21"/>
  <c r="AS147" i="21" s="1"/>
  <c r="AU127" i="21"/>
  <c r="AS127" i="21" s="1"/>
  <c r="AV112" i="21"/>
  <c r="AS112" i="21" s="1"/>
  <c r="AV104" i="21"/>
  <c r="AS104" i="21" s="1"/>
  <c r="AW97" i="21"/>
  <c r="AS97" i="21" s="1"/>
  <c r="AW89" i="21"/>
  <c r="AS89" i="21" s="1"/>
  <c r="AV59" i="21"/>
  <c r="AV57" i="21"/>
  <c r="AV55" i="21"/>
  <c r="AV53" i="21"/>
  <c r="AV51" i="21"/>
  <c r="AV46" i="21"/>
  <c r="AW45" i="21"/>
  <c r="AW126" i="21"/>
  <c r="AV131" i="21"/>
  <c r="AS131" i="21" s="1"/>
  <c r="AV98" i="21"/>
  <c r="AS98" i="21" s="1"/>
  <c r="AV90" i="21"/>
  <c r="AS90" i="21" s="1"/>
  <c r="AY73" i="21"/>
  <c r="AY71" i="21"/>
  <c r="AY69" i="21"/>
  <c r="AY67" i="21"/>
  <c r="AY65" i="21"/>
  <c r="AV45" i="21"/>
  <c r="AX73" i="21"/>
  <c r="AX71" i="21"/>
  <c r="AX69" i="21"/>
  <c r="AX67" i="21"/>
  <c r="AX65" i="21"/>
  <c r="AW64" i="21"/>
  <c r="AS64" i="21" s="1"/>
  <c r="AW107" i="21"/>
  <c r="AS107" i="21" s="1"/>
  <c r="AW73" i="21"/>
  <c r="AW72" i="21"/>
  <c r="AS72" i="21" s="1"/>
  <c r="AW71" i="21"/>
  <c r="AW70" i="21"/>
  <c r="AS70" i="21" s="1"/>
  <c r="AW69" i="21"/>
  <c r="AW68" i="21"/>
  <c r="AS68" i="21" s="1"/>
  <c r="AW67" i="21"/>
  <c r="AW66" i="21"/>
  <c r="AS66" i="21" s="1"/>
  <c r="AW65" i="21"/>
  <c r="AW21" i="15"/>
  <c r="AS21" i="15" s="1"/>
  <c r="AP96" i="19"/>
  <c r="AO96" i="19"/>
  <c r="AM96" i="19" s="1"/>
  <c r="AQ11" i="19"/>
  <c r="AP11" i="19"/>
  <c r="AR11" i="19"/>
  <c r="AP102" i="19"/>
  <c r="AO102" i="19"/>
  <c r="AQ102" i="19"/>
  <c r="AR102" i="19"/>
  <c r="AO95" i="19"/>
  <c r="AM95" i="19" s="1"/>
  <c r="AP95" i="19"/>
  <c r="AP48" i="19"/>
  <c r="AO48" i="19"/>
  <c r="AO97" i="19"/>
  <c r="AP97" i="19"/>
  <c r="AO23" i="19"/>
  <c r="AM23" i="19" s="1"/>
  <c r="AQ10" i="19"/>
  <c r="AR10" i="19"/>
  <c r="AP10" i="19"/>
  <c r="AO10" i="19"/>
  <c r="AP4" i="19"/>
  <c r="AO4" i="19"/>
  <c r="AO91" i="19"/>
  <c r="AQ91" i="19"/>
  <c r="AP91" i="19"/>
  <c r="AO5" i="19"/>
  <c r="AM5" i="19" s="1"/>
  <c r="AP5" i="19"/>
  <c r="AP84" i="19"/>
  <c r="AO84" i="19"/>
  <c r="AM84" i="19" s="1"/>
  <c r="AP79" i="19"/>
  <c r="AO79" i="19"/>
  <c r="AM56" i="19"/>
  <c r="AQ9" i="19"/>
  <c r="AR9" i="19"/>
  <c r="AO9" i="19"/>
  <c r="AP9" i="19"/>
  <c r="AQ22" i="19"/>
  <c r="AR22" i="19"/>
  <c r="AP22" i="19"/>
  <c r="AO22" i="19"/>
  <c r="AP90" i="19"/>
  <c r="AR90" i="19"/>
  <c r="AQ90" i="19"/>
  <c r="AP23" i="19"/>
  <c r="AM48" i="19"/>
  <c r="AO16" i="19"/>
  <c r="AR23" i="19"/>
  <c r="AP16" i="19"/>
  <c r="AQ16" i="19"/>
  <c r="AO21" i="19"/>
  <c r="AO11" i="19"/>
  <c r="AM11" i="19" s="1"/>
  <c r="AS16" i="19"/>
  <c r="AP21" i="19"/>
  <c r="AM45" i="19"/>
  <c r="AO56" i="19"/>
  <c r="AR21" i="19"/>
  <c r="AO85" i="19"/>
  <c r="AM85" i="19" s="1"/>
  <c r="AR6" i="20"/>
  <c r="AP45" i="20"/>
  <c r="AR5" i="20"/>
  <c r="AU6" i="21"/>
  <c r="AS6" i="21" s="1"/>
  <c r="AU14" i="21"/>
  <c r="AS14" i="21" s="1"/>
  <c r="AS27" i="21"/>
  <c r="U12" i="21"/>
  <c r="AV16" i="21"/>
  <c r="AS16" i="21" s="1"/>
  <c r="AV15" i="21"/>
  <c r="AS15" i="21" s="1"/>
  <c r="AV28" i="21"/>
  <c r="AU28" i="21"/>
  <c r="T27" i="21"/>
  <c r="U27" i="21" s="1"/>
  <c r="AV12" i="21"/>
  <c r="AV20" i="21"/>
  <c r="AU12" i="21"/>
  <c r="AV32" i="21"/>
  <c r="AS32" i="21" s="1"/>
  <c r="AV31" i="21"/>
  <c r="AS31" i="21" s="1"/>
  <c r="AU20" i="21"/>
  <c r="AU30" i="21"/>
  <c r="AS30" i="21" s="1"/>
  <c r="AS19" i="21"/>
  <c r="T14" i="21"/>
  <c r="U13" i="21"/>
  <c r="AS11" i="21"/>
  <c r="AV33" i="21"/>
  <c r="AS33" i="21" s="1"/>
  <c r="AV25" i="21"/>
  <c r="AS25" i="21" s="1"/>
  <c r="AV17" i="21"/>
  <c r="AS17" i="21" s="1"/>
  <c r="AV7" i="21"/>
  <c r="AS7" i="21" s="1"/>
  <c r="AV34" i="21"/>
  <c r="AS34" i="21" s="1"/>
  <c r="AV26" i="21"/>
  <c r="AS26" i="21" s="1"/>
  <c r="AV18" i="21"/>
  <c r="AS18" i="21" s="1"/>
  <c r="AV29" i="21"/>
  <c r="AS29" i="21" s="1"/>
  <c r="AV13" i="21"/>
  <c r="AS13" i="21" s="1"/>
  <c r="AR93" i="20"/>
  <c r="AP93" i="20" s="1"/>
  <c r="AS51" i="20"/>
  <c r="AR51" i="20"/>
  <c r="AS4" i="20"/>
  <c r="AR4" i="20"/>
  <c r="AR85" i="20"/>
  <c r="AS85" i="20"/>
  <c r="AR58" i="20"/>
  <c r="AS58" i="20"/>
  <c r="AR41" i="20"/>
  <c r="AS41" i="20"/>
  <c r="AR62" i="20"/>
  <c r="AS62" i="20"/>
  <c r="AR37" i="20"/>
  <c r="AS37" i="20"/>
  <c r="AR24" i="20"/>
  <c r="AS24" i="20"/>
  <c r="AR59" i="20"/>
  <c r="AS59" i="20"/>
  <c r="AR35" i="20"/>
  <c r="AS35" i="20"/>
  <c r="AR63" i="20"/>
  <c r="AS63" i="20"/>
  <c r="AR92" i="20"/>
  <c r="AS92" i="20"/>
  <c r="AS86" i="20"/>
  <c r="AP86" i="20" s="1"/>
  <c r="AR87" i="20"/>
  <c r="AS33" i="20"/>
  <c r="AP33" i="20" s="1"/>
  <c r="AS55" i="20"/>
  <c r="AP55" i="20" s="1"/>
  <c r="AR47" i="20"/>
  <c r="AP47" i="20" s="1"/>
  <c r="AP29" i="20"/>
  <c r="AS39" i="20"/>
  <c r="AP39" i="20" s="1"/>
  <c r="AR94" i="20"/>
  <c r="AX199" i="15"/>
  <c r="AU203" i="15"/>
  <c r="AU199" i="15"/>
  <c r="AW203" i="15"/>
  <c r="AV203" i="15"/>
  <c r="AU207" i="15"/>
  <c r="AY203" i="15"/>
  <c r="AY207" i="15"/>
  <c r="AX207" i="15"/>
  <c r="AW207" i="15"/>
  <c r="AV207" i="15"/>
  <c r="AU427" i="15"/>
  <c r="AY427" i="15"/>
  <c r="AX427" i="15"/>
  <c r="AY199" i="15"/>
  <c r="AW427" i="15"/>
  <c r="AS210" i="15"/>
  <c r="AW199" i="15"/>
  <c r="AU211" i="15"/>
  <c r="AY211" i="15"/>
  <c r="AX211" i="15"/>
  <c r="AW211" i="15"/>
  <c r="AS232" i="15"/>
  <c r="BD246" i="15"/>
  <c r="AS419" i="15"/>
  <c r="AW70" i="15"/>
  <c r="AX88" i="15"/>
  <c r="BC153" i="15"/>
  <c r="AW86" i="15"/>
  <c r="AX154" i="15"/>
  <c r="AZ154" i="15"/>
  <c r="AV37" i="15"/>
  <c r="BC245" i="15"/>
  <c r="AW326" i="15"/>
  <c r="AX368" i="15"/>
  <c r="AV153" i="15"/>
  <c r="AV155" i="15"/>
  <c r="AU327" i="15"/>
  <c r="BA368" i="15"/>
  <c r="AX166" i="15"/>
  <c r="AU77" i="15"/>
  <c r="AY354" i="15"/>
  <c r="AW369" i="15"/>
  <c r="AY86" i="15"/>
  <c r="AS265" i="15"/>
  <c r="AX406" i="15"/>
  <c r="AY155" i="15"/>
  <c r="AW288" i="15"/>
  <c r="AS69" i="15"/>
  <c r="AY247" i="15"/>
  <c r="AU278" i="15"/>
  <c r="AW492" i="15"/>
  <c r="AU338" i="15"/>
  <c r="AZ400" i="15"/>
  <c r="AV407" i="15"/>
  <c r="AW331" i="15"/>
  <c r="AU368" i="15"/>
  <c r="AW370" i="15"/>
  <c r="AV471" i="15"/>
  <c r="AU72" i="15"/>
  <c r="BB123" i="15"/>
  <c r="BD154" i="15"/>
  <c r="AZ386" i="15"/>
  <c r="AY157" i="15"/>
  <c r="AS25" i="15"/>
  <c r="AZ348" i="15"/>
  <c r="AV83" i="15"/>
  <c r="BC85" i="15"/>
  <c r="BD296" i="15"/>
  <c r="BA329" i="15"/>
  <c r="AU332" i="15"/>
  <c r="AW411" i="15"/>
  <c r="BD83" i="15"/>
  <c r="AU139" i="15"/>
  <c r="AU248" i="15"/>
  <c r="BA332" i="15"/>
  <c r="AZ411" i="15"/>
  <c r="AU356" i="15"/>
  <c r="BC363" i="15"/>
  <c r="AV6" i="15"/>
  <c r="AS6" i="15" s="1"/>
  <c r="AU283" i="15"/>
  <c r="BA356" i="15"/>
  <c r="AU439" i="15"/>
  <c r="AU492" i="15"/>
  <c r="AV79" i="15"/>
  <c r="BB239" i="15"/>
  <c r="AY77" i="15"/>
  <c r="AU86" i="15"/>
  <c r="AX119" i="15"/>
  <c r="AS310" i="15"/>
  <c r="BB321" i="15"/>
  <c r="AW350" i="15"/>
  <c r="BB369" i="15"/>
  <c r="BB406" i="15"/>
  <c r="AZ412" i="15"/>
  <c r="AW109" i="15"/>
  <c r="AZ108" i="15"/>
  <c r="BC96" i="15"/>
  <c r="AV97" i="15"/>
  <c r="AV70" i="15"/>
  <c r="AW72" i="15"/>
  <c r="AZ77" i="15"/>
  <c r="BD79" i="15"/>
  <c r="AV81" i="15"/>
  <c r="AW85" i="15"/>
  <c r="AZ86" i="15"/>
  <c r="BA88" i="15"/>
  <c r="AS92" i="15"/>
  <c r="BA123" i="15"/>
  <c r="AY154" i="15"/>
  <c r="AW155" i="15"/>
  <c r="AY166" i="15"/>
  <c r="BC278" i="15"/>
  <c r="AY332" i="15"/>
  <c r="AX350" i="15"/>
  <c r="AY366" i="15"/>
  <c r="AU370" i="15"/>
  <c r="BD383" i="15"/>
  <c r="BD404" i="15"/>
  <c r="AX409" i="15"/>
  <c r="AY471" i="15"/>
  <c r="AW237" i="15"/>
  <c r="AY350" i="15"/>
  <c r="AW36" i="15"/>
  <c r="BA153" i="15"/>
  <c r="BA154" i="15"/>
  <c r="AV165" i="15"/>
  <c r="BA166" i="15"/>
  <c r="AU168" i="15"/>
  <c r="AS175" i="15"/>
  <c r="AW217" i="15"/>
  <c r="AV234" i="15"/>
  <c r="AX237" i="15"/>
  <c r="AZ246" i="15"/>
  <c r="AZ248" i="15"/>
  <c r="AY318" i="15"/>
  <c r="AW336" i="15"/>
  <c r="AZ350" i="15"/>
  <c r="BB366" i="15"/>
  <c r="AX369" i="15"/>
  <c r="AX370" i="15"/>
  <c r="BB377" i="15"/>
  <c r="BA412" i="15"/>
  <c r="BA366" i="15"/>
  <c r="AS132" i="15"/>
  <c r="AU134" i="15"/>
  <c r="AS134" i="15" s="1"/>
  <c r="AS138" i="15"/>
  <c r="BB153" i="15"/>
  <c r="BB154" i="15"/>
  <c r="BC165" i="15"/>
  <c r="AW168" i="15"/>
  <c r="AX240" i="15"/>
  <c r="AX259" i="15"/>
  <c r="BC325" i="15"/>
  <c r="BA350" i="15"/>
  <c r="AV368" i="15"/>
  <c r="AY369" i="15"/>
  <c r="BC412" i="15"/>
  <c r="BB472" i="15"/>
  <c r="AV29" i="15"/>
  <c r="AX168" i="15"/>
  <c r="BA259" i="15"/>
  <c r="AU322" i="15"/>
  <c r="BB350" i="15"/>
  <c r="AV408" i="15"/>
  <c r="AW9" i="15"/>
  <c r="AS9" i="15" s="1"/>
  <c r="AX29" i="15"/>
  <c r="AZ122" i="15"/>
  <c r="AW148" i="15"/>
  <c r="AS230" i="15"/>
  <c r="AU238" i="15"/>
  <c r="BB259" i="15"/>
  <c r="AV301" i="15"/>
  <c r="AV312" i="15"/>
  <c r="AS312" i="15" s="1"/>
  <c r="AX347" i="15"/>
  <c r="BD350" i="15"/>
  <c r="AY356" i="15"/>
  <c r="BD359" i="15"/>
  <c r="BC365" i="15"/>
  <c r="AV367" i="15"/>
  <c r="BC369" i="15"/>
  <c r="BD375" i="15"/>
  <c r="AW382" i="15"/>
  <c r="AV400" i="15"/>
  <c r="AZ408" i="15"/>
  <c r="AZ166" i="15"/>
  <c r="AW166" i="15"/>
  <c r="AS345" i="15"/>
  <c r="AW354" i="15"/>
  <c r="AX367" i="15"/>
  <c r="BC368" i="15"/>
  <c r="AX400" i="15"/>
  <c r="AU471" i="15"/>
  <c r="BA117" i="15"/>
  <c r="AW117" i="15"/>
  <c r="AU118" i="15"/>
  <c r="BB187" i="15"/>
  <c r="AZ187" i="15"/>
  <c r="AW187" i="15"/>
  <c r="BA224" i="15"/>
  <c r="AU224" i="15"/>
  <c r="AX224" i="15"/>
  <c r="BC224" i="15"/>
  <c r="BB224" i="15"/>
  <c r="AV87" i="15"/>
  <c r="AW12" i="15"/>
  <c r="AS12" i="15" s="1"/>
  <c r="AW29" i="15"/>
  <c r="AW87" i="15"/>
  <c r="AW97" i="15"/>
  <c r="BD123" i="15"/>
  <c r="AY234" i="15"/>
  <c r="AV237" i="15"/>
  <c r="BA246" i="15"/>
  <c r="AW248" i="15"/>
  <c r="AY259" i="15"/>
  <c r="BD278" i="15"/>
  <c r="BB288" i="15"/>
  <c r="AY301" i="15"/>
  <c r="BC326" i="15"/>
  <c r="BC347" i="15"/>
  <c r="BB348" i="15"/>
  <c r="BA354" i="15"/>
  <c r="BD363" i="15"/>
  <c r="BB368" i="15"/>
  <c r="AZ369" i="15"/>
  <c r="AX381" i="15"/>
  <c r="AX386" i="15"/>
  <c r="AY400" i="15"/>
  <c r="AX408" i="15"/>
  <c r="BA411" i="15"/>
  <c r="BD412" i="15"/>
  <c r="BA441" i="15"/>
  <c r="AX471" i="15"/>
  <c r="BD163" i="15"/>
  <c r="AY202" i="15"/>
  <c r="AZ29" i="15"/>
  <c r="BD77" i="15"/>
  <c r="AX79" i="15"/>
  <c r="AX82" i="15"/>
  <c r="AY87" i="15"/>
  <c r="AV163" i="15"/>
  <c r="AU164" i="15"/>
  <c r="BB166" i="15"/>
  <c r="AY168" i="15"/>
  <c r="AV192" i="15"/>
  <c r="BB202" i="15"/>
  <c r="AV278" i="15"/>
  <c r="AU280" i="15"/>
  <c r="AU296" i="15"/>
  <c r="AY297" i="15"/>
  <c r="AV350" i="15"/>
  <c r="BC353" i="15"/>
  <c r="AZ359" i="15"/>
  <c r="AW363" i="15"/>
  <c r="AU365" i="15"/>
  <c r="BD368" i="15"/>
  <c r="AX374" i="15"/>
  <c r="BA381" i="15"/>
  <c r="AU383" i="15"/>
  <c r="AX384" i="15"/>
  <c r="BA386" i="15"/>
  <c r="AU389" i="15"/>
  <c r="BB400" i="15"/>
  <c r="AY407" i="15"/>
  <c r="BB408" i="15"/>
  <c r="AW410" i="15"/>
  <c r="AV439" i="15"/>
  <c r="BB471" i="15"/>
  <c r="AX473" i="15"/>
  <c r="AW486" i="15"/>
  <c r="AU495" i="15"/>
  <c r="AS495" i="15" s="1"/>
  <c r="BC348" i="15"/>
  <c r="AU28" i="15"/>
  <c r="BD29" i="15"/>
  <c r="AY79" i="15"/>
  <c r="BA82" i="15"/>
  <c r="BD85" i="15"/>
  <c r="BC86" i="15"/>
  <c r="BA87" i="15"/>
  <c r="BC88" i="15"/>
  <c r="AV154" i="15"/>
  <c r="AU159" i="15"/>
  <c r="AY163" i="15"/>
  <c r="AV164" i="15"/>
  <c r="BC166" i="15"/>
  <c r="AZ168" i="15"/>
  <c r="AW171" i="15"/>
  <c r="AS190" i="15"/>
  <c r="AX235" i="15"/>
  <c r="BC237" i="15"/>
  <c r="AX245" i="15"/>
  <c r="AW278" i="15"/>
  <c r="AU279" i="15"/>
  <c r="AS287" i="15"/>
  <c r="AU293" i="15"/>
  <c r="AW296" i="15"/>
  <c r="BB297" i="15"/>
  <c r="AV300" i="15"/>
  <c r="AV322" i="15"/>
  <c r="AW332" i="15"/>
  <c r="AW337" i="15"/>
  <c r="AS346" i="15"/>
  <c r="BA359" i="15"/>
  <c r="AX363" i="15"/>
  <c r="AU364" i="15"/>
  <c r="AW368" i="15"/>
  <c r="AY374" i="15"/>
  <c r="AX377" i="15"/>
  <c r="AV380" i="15"/>
  <c r="BB381" i="15"/>
  <c r="AV383" i="15"/>
  <c r="AY384" i="15"/>
  <c r="AW389" i="15"/>
  <c r="BD400" i="15"/>
  <c r="BB407" i="15"/>
  <c r="BD408" i="15"/>
  <c r="AU412" i="15"/>
  <c r="AS420" i="15"/>
  <c r="AZ439" i="15"/>
  <c r="BC471" i="15"/>
  <c r="AV483" i="15"/>
  <c r="AU493" i="15"/>
  <c r="AX87" i="15"/>
  <c r="AY381" i="15"/>
  <c r="AV17" i="15"/>
  <c r="AS17" i="15" s="1"/>
  <c r="AW20" i="15"/>
  <c r="AS20" i="15" s="1"/>
  <c r="AV28" i="15"/>
  <c r="BA79" i="15"/>
  <c r="BB82" i="15"/>
  <c r="BB87" i="15"/>
  <c r="AZ96" i="15"/>
  <c r="BB98" i="15"/>
  <c r="AW154" i="15"/>
  <c r="AY159" i="15"/>
  <c r="AZ163" i="15"/>
  <c r="AX164" i="15"/>
  <c r="AV166" i="15"/>
  <c r="BD166" i="15"/>
  <c r="AX171" i="15"/>
  <c r="AS231" i="15"/>
  <c r="AV233" i="15"/>
  <c r="AY278" i="15"/>
  <c r="AV279" i="15"/>
  <c r="AX296" i="15"/>
  <c r="AU330" i="15"/>
  <c r="BC337" i="15"/>
  <c r="AW348" i="15"/>
  <c r="AU349" i="15"/>
  <c r="AY357" i="15"/>
  <c r="AY363" i="15"/>
  <c r="AW364" i="15"/>
  <c r="AX383" i="15"/>
  <c r="AZ389" i="15"/>
  <c r="AU404" i="15"/>
  <c r="BD407" i="15"/>
  <c r="AX412" i="15"/>
  <c r="AV418" i="15"/>
  <c r="AS418" i="15" s="1"/>
  <c r="AU433" i="15"/>
  <c r="AV493" i="15"/>
  <c r="AV14" i="15"/>
  <c r="AS14" i="15" s="1"/>
  <c r="BB79" i="15"/>
  <c r="BD87" i="15"/>
  <c r="AS94" i="15"/>
  <c r="AW144" i="15"/>
  <c r="BA159" i="15"/>
  <c r="AV162" i="15"/>
  <c r="BA163" i="15"/>
  <c r="AY164" i="15"/>
  <c r="BD225" i="15"/>
  <c r="AZ278" i="15"/>
  <c r="AX279" i="15"/>
  <c r="BA296" i="15"/>
  <c r="AU326" i="15"/>
  <c r="AZ332" i="15"/>
  <c r="AX348" i="15"/>
  <c r="AW349" i="15"/>
  <c r="AY351" i="15"/>
  <c r="AV362" i="15"/>
  <c r="BA363" i="15"/>
  <c r="AX364" i="15"/>
  <c r="AY368" i="15"/>
  <c r="AY372" i="15"/>
  <c r="BC380" i="15"/>
  <c r="AZ383" i="15"/>
  <c r="BD389" i="15"/>
  <c r="AV404" i="15"/>
  <c r="AV363" i="15"/>
  <c r="BB147" i="15"/>
  <c r="AZ162" i="15"/>
  <c r="BC163" i="15"/>
  <c r="AV201" i="15"/>
  <c r="AS214" i="15"/>
  <c r="AV217" i="15"/>
  <c r="BB278" i="15"/>
  <c r="AY279" i="15"/>
  <c r="BB296" i="15"/>
  <c r="AW321" i="15"/>
  <c r="AV326" i="15"/>
  <c r="AV347" i="15"/>
  <c r="AY348" i="15"/>
  <c r="AX349" i="15"/>
  <c r="BB363" i="15"/>
  <c r="AY364" i="15"/>
  <c r="AV382" i="15"/>
  <c r="BA383" i="15"/>
  <c r="AW400" i="15"/>
  <c r="BA404" i="15"/>
  <c r="AZ472" i="15"/>
  <c r="AS32" i="15"/>
  <c r="AV19" i="15"/>
  <c r="AS19" i="15" s="1"/>
  <c r="AV27" i="15"/>
  <c r="AX37" i="15"/>
  <c r="AU37" i="15"/>
  <c r="AY36" i="15"/>
  <c r="AW78" i="15"/>
  <c r="AU78" i="15"/>
  <c r="AU196" i="15"/>
  <c r="AZ195" i="15"/>
  <c r="BC194" i="15"/>
  <c r="AY196" i="15"/>
  <c r="AY195" i="15"/>
  <c r="AW196" i="15"/>
  <c r="AX195" i="15"/>
  <c r="AV196" i="15"/>
  <c r="AW195" i="15"/>
  <c r="BC195" i="15"/>
  <c r="BA105" i="15"/>
  <c r="AU106" i="15"/>
  <c r="AV104" i="15"/>
  <c r="AZ105" i="15"/>
  <c r="AV11" i="15"/>
  <c r="AS11" i="15" s="1"/>
  <c r="AW27" i="15"/>
  <c r="AS34" i="15"/>
  <c r="BB110" i="15"/>
  <c r="AZ110" i="15"/>
  <c r="AZ128" i="15"/>
  <c r="AU128" i="15"/>
  <c r="AY146" i="15"/>
  <c r="AZ146" i="15"/>
  <c r="AX146" i="15"/>
  <c r="AW146" i="15"/>
  <c r="AV170" i="15"/>
  <c r="AU170" i="15"/>
  <c r="BC168" i="15"/>
  <c r="AY169" i="15"/>
  <c r="AY223" i="15"/>
  <c r="AZ223" i="15"/>
  <c r="AX223" i="15"/>
  <c r="AW223" i="15"/>
  <c r="AV223" i="15"/>
  <c r="BD223" i="15"/>
  <c r="AU223" i="15"/>
  <c r="BB223" i="15"/>
  <c r="AY194" i="15"/>
  <c r="BA194" i="15"/>
  <c r="AZ194" i="15"/>
  <c r="AX194" i="15"/>
  <c r="AW194" i="15"/>
  <c r="AU194" i="15"/>
  <c r="AS35" i="15"/>
  <c r="AZ36" i="15"/>
  <c r="AW37" i="15"/>
  <c r="BA95" i="15"/>
  <c r="AZ95" i="15"/>
  <c r="AX95" i="15"/>
  <c r="AW95" i="15"/>
  <c r="AY120" i="15"/>
  <c r="AW121" i="15"/>
  <c r="AV121" i="15"/>
  <c r="BB120" i="15"/>
  <c r="AW169" i="15"/>
  <c r="BB195" i="15"/>
  <c r="AU262" i="15"/>
  <c r="AS262" i="15" s="1"/>
  <c r="AY282" i="15"/>
  <c r="AV282" i="15"/>
  <c r="AX281" i="15"/>
  <c r="BA281" i="15"/>
  <c r="AY281" i="15"/>
  <c r="AW281" i="15"/>
  <c r="AW282" i="15"/>
  <c r="AU282" i="15"/>
  <c r="BC280" i="15"/>
  <c r="BB281" i="15"/>
  <c r="BA36" i="15"/>
  <c r="AY37" i="15"/>
  <c r="AZ76" i="15"/>
  <c r="AV76" i="15"/>
  <c r="AU76" i="15"/>
  <c r="BD76" i="15"/>
  <c r="AZ80" i="15"/>
  <c r="BC80" i="15"/>
  <c r="BB80" i="15"/>
  <c r="BA80" i="15"/>
  <c r="AX80" i="15"/>
  <c r="AV80" i="15"/>
  <c r="BC83" i="15"/>
  <c r="AU83" i="15"/>
  <c r="BB83" i="15"/>
  <c r="BA83" i="15"/>
  <c r="AZ83" i="15"/>
  <c r="AY83" i="15"/>
  <c r="AW83" i="15"/>
  <c r="AW119" i="15"/>
  <c r="AZ119" i="15"/>
  <c r="AY142" i="15"/>
  <c r="AZ142" i="15"/>
  <c r="AX142" i="15"/>
  <c r="AW142" i="15"/>
  <c r="AZ169" i="15"/>
  <c r="AV280" i="15"/>
  <c r="AV5" i="15"/>
  <c r="AS5" i="15" s="1"/>
  <c r="AV13" i="15"/>
  <c r="AS13" i="15" s="1"/>
  <c r="AS33" i="15"/>
  <c r="BB36" i="15"/>
  <c r="BC78" i="15"/>
  <c r="AW105" i="15"/>
  <c r="AV109" i="15"/>
  <c r="BC108" i="15"/>
  <c r="BB108" i="15"/>
  <c r="AY108" i="15"/>
  <c r="AY112" i="15"/>
  <c r="BC110" i="15"/>
  <c r="BD111" i="15"/>
  <c r="BA111" i="15"/>
  <c r="AU133" i="15"/>
  <c r="AV133" i="15"/>
  <c r="AY193" i="15"/>
  <c r="AU193" i="15"/>
  <c r="AW192" i="15"/>
  <c r="BA223" i="15"/>
  <c r="BC319" i="15"/>
  <c r="AX319" i="15"/>
  <c r="AY319" i="15"/>
  <c r="BB183" i="15"/>
  <c r="AZ183" i="15"/>
  <c r="AX183" i="15"/>
  <c r="AY233" i="15"/>
  <c r="AU233" i="15"/>
  <c r="BD233" i="15"/>
  <c r="BB233" i="15"/>
  <c r="BA233" i="15"/>
  <c r="AZ233" i="15"/>
  <c r="AW233" i="15"/>
  <c r="AW8" i="15"/>
  <c r="AS8" i="15" s="1"/>
  <c r="AW16" i="15"/>
  <c r="AS16" i="15" s="1"/>
  <c r="BC36" i="15"/>
  <c r="BA107" i="15"/>
  <c r="AZ107" i="15"/>
  <c r="AX107" i="15"/>
  <c r="AZ120" i="15"/>
  <c r="BD140" i="15"/>
  <c r="BA140" i="15"/>
  <c r="AW140" i="15"/>
  <c r="BA146" i="15"/>
  <c r="AU158" i="15"/>
  <c r="AV158" i="15"/>
  <c r="BC156" i="15"/>
  <c r="AV156" i="15"/>
  <c r="BB157" i="15"/>
  <c r="BA157" i="15"/>
  <c r="AX157" i="15"/>
  <c r="AV178" i="15"/>
  <c r="AW178" i="15"/>
  <c r="AV194" i="15"/>
  <c r="BC197" i="15"/>
  <c r="BD198" i="15"/>
  <c r="AZ198" i="15"/>
  <c r="AW198" i="15"/>
  <c r="BC223" i="15"/>
  <c r="AU253" i="15"/>
  <c r="BB302" i="15"/>
  <c r="AX302" i="15"/>
  <c r="AU302" i="15"/>
  <c r="BD302" i="15"/>
  <c r="BA302" i="15"/>
  <c r="AY302" i="15"/>
  <c r="AW302" i="15"/>
  <c r="BA77" i="15"/>
  <c r="AZ79" i="15"/>
  <c r="AZ82" i="15"/>
  <c r="BA85" i="15"/>
  <c r="AX86" i="15"/>
  <c r="AU87" i="15"/>
  <c r="BC87" i="15"/>
  <c r="AY88" i="15"/>
  <c r="AS93" i="15"/>
  <c r="BC98" i="15"/>
  <c r="AY100" i="15"/>
  <c r="AV116" i="15"/>
  <c r="AY139" i="15"/>
  <c r="BD148" i="15"/>
  <c r="AS152" i="15"/>
  <c r="BD159" i="15"/>
  <c r="AX162" i="15"/>
  <c r="BA187" i="15"/>
  <c r="AY235" i="15"/>
  <c r="AV238" i="15"/>
  <c r="AZ237" i="15"/>
  <c r="BC236" i="15"/>
  <c r="BD245" i="15"/>
  <c r="AX248" i="15"/>
  <c r="BD297" i="15"/>
  <c r="BC327" i="15"/>
  <c r="AZ362" i="15"/>
  <c r="AX362" i="15"/>
  <c r="AW362" i="15"/>
  <c r="AU371" i="15"/>
  <c r="BD371" i="15"/>
  <c r="BB371" i="15"/>
  <c r="BA371" i="15"/>
  <c r="AX371" i="15"/>
  <c r="AX379" i="15"/>
  <c r="BA378" i="15"/>
  <c r="AY379" i="15"/>
  <c r="AY378" i="15"/>
  <c r="AV377" i="15"/>
  <c r="AW379" i="15"/>
  <c r="AW378" i="15"/>
  <c r="AV379" i="15"/>
  <c r="AV378" i="15"/>
  <c r="BB378" i="15"/>
  <c r="AY388" i="15"/>
  <c r="BC387" i="15"/>
  <c r="AV386" i="15"/>
  <c r="AX388" i="15"/>
  <c r="BB387" i="15"/>
  <c r="AW388" i="15"/>
  <c r="BA387" i="15"/>
  <c r="AV388" i="15"/>
  <c r="AZ387" i="15"/>
  <c r="BC386" i="15"/>
  <c r="AU388" i="15"/>
  <c r="AY387" i="15"/>
  <c r="BD387" i="15"/>
  <c r="AV387" i="15"/>
  <c r="BC401" i="15"/>
  <c r="AU401" i="15"/>
  <c r="BB401" i="15"/>
  <c r="BA401" i="15"/>
  <c r="AZ401" i="15"/>
  <c r="AY401" i="15"/>
  <c r="BD401" i="15"/>
  <c r="AV401" i="15"/>
  <c r="AU487" i="15"/>
  <c r="AW487" i="15"/>
  <c r="AV487" i="15"/>
  <c r="BA162" i="15"/>
  <c r="AV221" i="15"/>
  <c r="BA248" i="15"/>
  <c r="AX293" i="15"/>
  <c r="BD300" i="15"/>
  <c r="AV299" i="15"/>
  <c r="AW300" i="15"/>
  <c r="AW320" i="15"/>
  <c r="AV330" i="15"/>
  <c r="AU336" i="15"/>
  <c r="BC336" i="15"/>
  <c r="BD338" i="15"/>
  <c r="BC338" i="15"/>
  <c r="AZ347" i="15"/>
  <c r="BC409" i="15"/>
  <c r="AU409" i="15"/>
  <c r="BB409" i="15"/>
  <c r="BA409" i="15"/>
  <c r="AZ409" i="15"/>
  <c r="AY409" i="15"/>
  <c r="BD409" i="15"/>
  <c r="AV409" i="15"/>
  <c r="AU79" i="15"/>
  <c r="BC79" i="15"/>
  <c r="BB86" i="15"/>
  <c r="AY96" i="15"/>
  <c r="BA99" i="15"/>
  <c r="BC122" i="15"/>
  <c r="AX159" i="15"/>
  <c r="BD168" i="15"/>
  <c r="AW221" i="15"/>
  <c r="BC234" i="15"/>
  <c r="AV236" i="15"/>
  <c r="AY237" i="15"/>
  <c r="AW238" i="15"/>
  <c r="AW242" i="15"/>
  <c r="AV246" i="15"/>
  <c r="BB248" i="15"/>
  <c r="AY283" i="15"/>
  <c r="BA283" i="15"/>
  <c r="AW283" i="15"/>
  <c r="AZ293" i="15"/>
  <c r="AW298" i="15"/>
  <c r="AY320" i="15"/>
  <c r="BC321" i="15"/>
  <c r="BA321" i="15"/>
  <c r="AU321" i="15"/>
  <c r="BC330" i="15"/>
  <c r="AY361" i="15"/>
  <c r="AV361" i="15"/>
  <c r="BD360" i="15"/>
  <c r="AX360" i="15"/>
  <c r="AW485" i="15"/>
  <c r="AU485" i="15"/>
  <c r="BB99" i="15"/>
  <c r="AS181" i="15"/>
  <c r="BD234" i="15"/>
  <c r="BA237" i="15"/>
  <c r="AX238" i="15"/>
  <c r="BA242" i="15"/>
  <c r="AV245" i="15"/>
  <c r="BD248" i="15"/>
  <c r="AV296" i="15"/>
  <c r="AV297" i="15"/>
  <c r="AY298" i="15"/>
  <c r="BC300" i="15"/>
  <c r="AU325" i="15"/>
  <c r="AU362" i="15"/>
  <c r="AW371" i="15"/>
  <c r="BD378" i="15"/>
  <c r="AX387" i="15"/>
  <c r="AY403" i="15"/>
  <c r="AZ403" i="15"/>
  <c r="AX403" i="15"/>
  <c r="AW403" i="15"/>
  <c r="BA403" i="15"/>
  <c r="AS458" i="15"/>
  <c r="AW77" i="15"/>
  <c r="AU82" i="15"/>
  <c r="AU88" i="15"/>
  <c r="BB96" i="15"/>
  <c r="AZ117" i="15"/>
  <c r="AV144" i="15"/>
  <c r="AX153" i="15"/>
  <c r="AU155" i="15"/>
  <c r="AZ159" i="15"/>
  <c r="AS229" i="15"/>
  <c r="BB237" i="15"/>
  <c r="AY238" i="15"/>
  <c r="BA239" i="15"/>
  <c r="AX239" i="15"/>
  <c r="AW245" i="15"/>
  <c r="AS252" i="15"/>
  <c r="BD318" i="15"/>
  <c r="BA318" i="15"/>
  <c r="AW325" i="15"/>
  <c r="AS344" i="15"/>
  <c r="AY358" i="15"/>
  <c r="AX357" i="15"/>
  <c r="AW358" i="15"/>
  <c r="AV358" i="15"/>
  <c r="BB357" i="15"/>
  <c r="AV356" i="15"/>
  <c r="AY360" i="15"/>
  <c r="AY371" i="15"/>
  <c r="AW401" i="15"/>
  <c r="AW82" i="15"/>
  <c r="AU85" i="15"/>
  <c r="AV88" i="15"/>
  <c r="BB293" i="15"/>
  <c r="AY293" i="15"/>
  <c r="AU298" i="15"/>
  <c r="AW297" i="15"/>
  <c r="AZ297" i="15"/>
  <c r="BC296" i="15"/>
  <c r="BC320" i="15"/>
  <c r="AZ320" i="15"/>
  <c r="AU320" i="15"/>
  <c r="BA330" i="15"/>
  <c r="AY330" i="15"/>
  <c r="AW330" i="15"/>
  <c r="AW347" i="15"/>
  <c r="BD347" i="15"/>
  <c r="AU347" i="15"/>
  <c r="BB347" i="15"/>
  <c r="AY347" i="15"/>
  <c r="AV359" i="15"/>
  <c r="BC360" i="15"/>
  <c r="BA362" i="15"/>
  <c r="AZ371" i="15"/>
  <c r="AX373" i="15"/>
  <c r="AW373" i="15"/>
  <c r="AX401" i="15"/>
  <c r="BD473" i="15"/>
  <c r="AV473" i="15"/>
  <c r="BC473" i="15"/>
  <c r="AU473" i="15"/>
  <c r="BB473" i="15"/>
  <c r="BA473" i="15"/>
  <c r="AZ473" i="15"/>
  <c r="AW473" i="15"/>
  <c r="BA278" i="15"/>
  <c r="AW279" i="15"/>
  <c r="AV353" i="15"/>
  <c r="BD354" i="15"/>
  <c r="BC362" i="15"/>
  <c r="AZ363" i="15"/>
  <c r="AV365" i="15"/>
  <c r="AZ366" i="15"/>
  <c r="AW367" i="15"/>
  <c r="AW374" i="15"/>
  <c r="BA377" i="15"/>
  <c r="AW386" i="15"/>
  <c r="BA389" i="15"/>
  <c r="BC404" i="15"/>
  <c r="BA406" i="15"/>
  <c r="BA407" i="15"/>
  <c r="AY408" i="15"/>
  <c r="AX411" i="15"/>
  <c r="AS432" i="15"/>
  <c r="AS455" i="15"/>
  <c r="AY472" i="15"/>
  <c r="AW483" i="15"/>
  <c r="AU486" i="15"/>
  <c r="AX331" i="15"/>
  <c r="AU337" i="15"/>
  <c r="BC366" i="15"/>
  <c r="BA374" i="15"/>
  <c r="AS393" i="15"/>
  <c r="AU396" i="15"/>
  <c r="AX439" i="15"/>
  <c r="AX441" i="15"/>
  <c r="BD471" i="15"/>
  <c r="BB374" i="15"/>
  <c r="AV396" i="15"/>
  <c r="AY296" i="15"/>
  <c r="AY329" i="15"/>
  <c r="AW366" i="15"/>
  <c r="BD374" i="15"/>
  <c r="AX389" i="15"/>
  <c r="AX404" i="15"/>
  <c r="AW407" i="15"/>
  <c r="BC439" i="15"/>
  <c r="BB441" i="15"/>
  <c r="AX366" i="15"/>
  <c r="AU367" i="15"/>
  <c r="AY389" i="15"/>
  <c r="AZ404" i="15"/>
  <c r="AX407" i="15"/>
  <c r="AW408" i="15"/>
  <c r="AV412" i="15"/>
  <c r="AV434" i="15"/>
  <c r="AS434" i="15" s="1"/>
  <c r="BD439" i="15"/>
  <c r="AS446" i="15"/>
  <c r="AW471" i="15"/>
  <c r="AW472" i="15"/>
  <c r="AV482" i="15"/>
  <c r="AS482" i="15" s="1"/>
  <c r="AX472" i="15"/>
  <c r="AS18" i="20"/>
  <c r="AU18" i="20"/>
  <c r="AT18" i="20"/>
  <c r="AR18" i="20"/>
  <c r="AU73" i="20"/>
  <c r="AT73" i="20"/>
  <c r="AS73" i="20"/>
  <c r="AR73" i="20"/>
  <c r="AS14" i="20"/>
  <c r="AV14" i="20"/>
  <c r="AU14" i="20"/>
  <c r="AT14" i="20"/>
  <c r="AR14" i="20"/>
  <c r="AU77" i="20"/>
  <c r="AT77" i="20"/>
  <c r="AS77" i="20"/>
  <c r="AR77" i="20"/>
  <c r="AS32" i="20"/>
  <c r="AR32" i="20"/>
  <c r="AU68" i="20"/>
  <c r="AT68" i="20"/>
  <c r="AS68" i="20"/>
  <c r="AR68" i="20"/>
  <c r="AU72" i="20"/>
  <c r="AT72" i="20"/>
  <c r="AS72" i="20"/>
  <c r="AR72" i="20"/>
  <c r="AU76" i="20"/>
  <c r="AT76" i="20"/>
  <c r="AS76" i="20"/>
  <c r="AR76" i="20"/>
  <c r="AU80" i="20"/>
  <c r="AT80" i="20"/>
  <c r="AS80" i="20"/>
  <c r="AR80" i="20"/>
  <c r="AS19" i="20"/>
  <c r="AU19" i="20"/>
  <c r="AT19" i="20"/>
  <c r="AR19" i="20"/>
  <c r="AS46" i="20"/>
  <c r="AR46" i="20"/>
  <c r="AS49" i="20"/>
  <c r="AR49" i="20"/>
  <c r="AT100" i="20"/>
  <c r="AS100" i="20"/>
  <c r="AR100" i="20"/>
  <c r="AV100" i="20"/>
  <c r="AU100" i="20"/>
  <c r="AU70" i="20"/>
  <c r="AT70" i="20"/>
  <c r="AS70" i="20"/>
  <c r="AR70" i="20"/>
  <c r="AU74" i="20"/>
  <c r="AT74" i="20"/>
  <c r="AS74" i="20"/>
  <c r="AR74" i="20"/>
  <c r="AU78" i="20"/>
  <c r="AT78" i="20"/>
  <c r="AS78" i="20"/>
  <c r="AR78" i="20"/>
  <c r="AS57" i="20"/>
  <c r="AR57" i="20"/>
  <c r="AS40" i="20"/>
  <c r="AR40" i="20"/>
  <c r="AS36" i="20"/>
  <c r="AR36" i="20"/>
  <c r="AS50" i="20"/>
  <c r="AR50" i="20"/>
  <c r="AS48" i="20"/>
  <c r="AR48" i="20"/>
  <c r="AU69" i="20"/>
  <c r="AT69" i="20"/>
  <c r="AS69" i="20"/>
  <c r="AR69" i="20"/>
  <c r="AS31" i="20"/>
  <c r="AR31" i="20"/>
  <c r="AS61" i="20"/>
  <c r="AR61" i="20"/>
  <c r="AU67" i="20"/>
  <c r="AT67" i="20"/>
  <c r="AS67" i="20"/>
  <c r="AR67" i="20"/>
  <c r="AU71" i="20"/>
  <c r="AT71" i="20"/>
  <c r="AS71" i="20"/>
  <c r="AR71" i="20"/>
  <c r="AU75" i="20"/>
  <c r="AT75" i="20"/>
  <c r="AS75" i="20"/>
  <c r="AR75" i="20"/>
  <c r="AU79" i="20"/>
  <c r="AT79" i="20"/>
  <c r="AS79" i="20"/>
  <c r="AR79" i="20"/>
  <c r="AS105" i="20"/>
  <c r="AR105" i="20"/>
  <c r="AR9" i="20"/>
  <c r="AS15" i="20"/>
  <c r="AS9" i="20"/>
  <c r="AT15" i="20"/>
  <c r="AR15" i="20"/>
  <c r="AT9" i="20"/>
  <c r="AU15" i="20"/>
  <c r="AR25" i="20"/>
  <c r="AP25" i="20" s="1"/>
  <c r="AR30" i="20"/>
  <c r="AP30" i="20" s="1"/>
  <c r="AR34" i="20"/>
  <c r="AP34" i="20" s="1"/>
  <c r="AR38" i="20"/>
  <c r="AP38" i="20" s="1"/>
  <c r="AR42" i="20"/>
  <c r="AP42" i="20" s="1"/>
  <c r="AR56" i="20"/>
  <c r="AP56" i="20" s="1"/>
  <c r="AR60" i="20"/>
  <c r="AP60" i="20" s="1"/>
  <c r="AP41" i="19"/>
  <c r="AO41" i="19"/>
  <c r="AO39" i="19"/>
  <c r="AP39" i="19"/>
  <c r="AP68" i="19"/>
  <c r="AO68" i="19"/>
  <c r="AQ68" i="19"/>
  <c r="AR68" i="19"/>
  <c r="AP72" i="19"/>
  <c r="AO72" i="19"/>
  <c r="AQ72" i="19"/>
  <c r="AR72" i="19"/>
  <c r="AP67" i="19"/>
  <c r="AO67" i="19"/>
  <c r="AQ67" i="19"/>
  <c r="AR67" i="19"/>
  <c r="AR17" i="19"/>
  <c r="AS17" i="19"/>
  <c r="AQ17" i="19"/>
  <c r="AO17" i="19"/>
  <c r="AP17" i="19"/>
  <c r="AO60" i="19"/>
  <c r="AP60" i="19"/>
  <c r="AP71" i="19"/>
  <c r="AO71" i="19"/>
  <c r="AQ71" i="19"/>
  <c r="AR71" i="19"/>
  <c r="AQ89" i="19"/>
  <c r="AP89" i="19"/>
  <c r="AO89" i="19"/>
  <c r="AR89" i="19"/>
  <c r="AS89" i="19"/>
  <c r="AP30" i="19"/>
  <c r="AO30" i="19"/>
  <c r="AP65" i="19"/>
  <c r="AO65" i="19"/>
  <c r="AQ65" i="19"/>
  <c r="AR65" i="19"/>
  <c r="AP69" i="19"/>
  <c r="AO69" i="19"/>
  <c r="AQ69" i="19"/>
  <c r="AR69" i="19"/>
  <c r="AP47" i="19"/>
  <c r="AO47" i="19"/>
  <c r="AM47" i="19" s="1"/>
  <c r="AO37" i="19"/>
  <c r="AP37" i="19"/>
  <c r="AP78" i="19"/>
  <c r="AO78" i="19"/>
  <c r="AO28" i="19"/>
  <c r="AP28" i="19"/>
  <c r="AP35" i="19"/>
  <c r="AO35" i="19"/>
  <c r="AM35" i="19" s="1"/>
  <c r="AP66" i="19"/>
  <c r="AO66" i="19"/>
  <c r="AQ66" i="19"/>
  <c r="AR66" i="19"/>
  <c r="AP70" i="19"/>
  <c r="AO70" i="19"/>
  <c r="AQ70" i="19"/>
  <c r="AR70" i="19"/>
  <c r="AO18" i="19"/>
  <c r="AO36" i="19"/>
  <c r="AM36" i="19" s="1"/>
  <c r="AO40" i="19"/>
  <c r="AM40" i="19" s="1"/>
  <c r="AS90" i="19"/>
  <c r="AR91" i="19"/>
  <c r="AP18" i="19"/>
  <c r="AS91" i="19"/>
  <c r="AQ18" i="19"/>
  <c r="AO6" i="19"/>
  <c r="AM6" i="19" s="1"/>
  <c r="AR18" i="19"/>
  <c r="AO46" i="19"/>
  <c r="AM46" i="19" s="1"/>
  <c r="AO77" i="19"/>
  <c r="AM77" i="19" s="1"/>
  <c r="AO83" i="19"/>
  <c r="AM83" i="19" s="1"/>
  <c r="AO29" i="19"/>
  <c r="AM29" i="19" s="1"/>
  <c r="AO38" i="19"/>
  <c r="AM38" i="19" s="1"/>
  <c r="AO42" i="19"/>
  <c r="AM42" i="19" s="1"/>
  <c r="AO90" i="19"/>
  <c r="AS32" i="18"/>
  <c r="AS33" i="18"/>
  <c r="AS34" i="18"/>
  <c r="AQ8" i="18"/>
  <c r="AQ11" i="18"/>
  <c r="AQ27" i="18"/>
  <c r="AO27" i="18" s="1"/>
  <c r="AR8" i="18"/>
  <c r="AR11" i="18"/>
  <c r="AQ54" i="18"/>
  <c r="AQ4" i="18"/>
  <c r="AO4" i="18" s="1"/>
  <c r="AS8" i="18"/>
  <c r="AS11" i="18"/>
  <c r="AQ16" i="18"/>
  <c r="AO16" i="18" s="1"/>
  <c r="AR54" i="18"/>
  <c r="AT8" i="18"/>
  <c r="AQ22" i="18"/>
  <c r="AO22" i="18" s="1"/>
  <c r="AS54" i="18"/>
  <c r="AO36" i="17"/>
  <c r="AM36" i="17" s="1"/>
  <c r="AO42" i="17"/>
  <c r="AM42" i="17" s="1"/>
  <c r="AO67" i="17"/>
  <c r="AM67" i="17" s="1"/>
  <c r="AP71" i="17"/>
  <c r="AR72" i="17"/>
  <c r="AO14" i="17"/>
  <c r="AO5" i="17"/>
  <c r="AM5" i="17" s="1"/>
  <c r="AP14" i="17"/>
  <c r="AO28" i="17"/>
  <c r="AM28" i="17" s="1"/>
  <c r="AP13" i="17"/>
  <c r="AQ14" i="17"/>
  <c r="AO20" i="17"/>
  <c r="AM20" i="17" s="1"/>
  <c r="AO38" i="17"/>
  <c r="AM38" i="17" s="1"/>
  <c r="AO46" i="17"/>
  <c r="AM46" i="17" s="1"/>
  <c r="AQ62" i="17"/>
  <c r="AQ63" i="17"/>
  <c r="AV115" i="16"/>
  <c r="AV71" i="16"/>
  <c r="AV120" i="16"/>
  <c r="AV73" i="16"/>
  <c r="AX17" i="16"/>
  <c r="AX23" i="16"/>
  <c r="AV23" i="16" s="1"/>
  <c r="AZ24" i="16"/>
  <c r="BA26" i="16"/>
  <c r="AZ27" i="16"/>
  <c r="BA29" i="16"/>
  <c r="AZ30" i="16"/>
  <c r="BA32" i="16"/>
  <c r="AZ43" i="16"/>
  <c r="BA53" i="16"/>
  <c r="AY136" i="16"/>
  <c r="AY8" i="16"/>
  <c r="AX9" i="16"/>
  <c r="AY11" i="16"/>
  <c r="AX12" i="16"/>
  <c r="AY14" i="16"/>
  <c r="AX15" i="16"/>
  <c r="BC26" i="16"/>
  <c r="BC29" i="16"/>
  <c r="BC32" i="16"/>
  <c r="AY35" i="16"/>
  <c r="AV35" i="16" s="1"/>
  <c r="AX89" i="16"/>
  <c r="AX121" i="16"/>
  <c r="AX7" i="16"/>
  <c r="AZ8" i="16"/>
  <c r="AY9" i="16"/>
  <c r="AX10" i="16"/>
  <c r="AZ11" i="16"/>
  <c r="AY12" i="16"/>
  <c r="AX13" i="16"/>
  <c r="AZ14" i="16"/>
  <c r="AY15" i="16"/>
  <c r="AX16" i="16"/>
  <c r="AV16" i="16" s="1"/>
  <c r="AY121" i="16"/>
  <c r="AX11" i="16"/>
  <c r="AX14" i="16"/>
  <c r="AZ9" i="16"/>
  <c r="AZ12" i="16"/>
  <c r="AZ15" i="16"/>
  <c r="AY34" i="16"/>
  <c r="AY55" i="16"/>
  <c r="AV55" i="16" s="1"/>
  <c r="AY65" i="16"/>
  <c r="AV65" i="16" s="1"/>
  <c r="AY75" i="16"/>
  <c r="AV75" i="16" s="1"/>
  <c r="AX80" i="16"/>
  <c r="AZ89" i="16"/>
  <c r="AX97" i="16"/>
  <c r="AV97" i="16" s="1"/>
  <c r="AX104" i="16"/>
  <c r="AV104" i="16" s="1"/>
  <c r="AY120" i="16"/>
  <c r="AZ121" i="16"/>
  <c r="AX128" i="16"/>
  <c r="AX6" i="16"/>
  <c r="AV6" i="16" s="1"/>
  <c r="AZ7" i="16"/>
  <c r="BA9" i="16"/>
  <c r="AZ10" i="16"/>
  <c r="BA12" i="16"/>
  <c r="AZ13" i="16"/>
  <c r="BA15" i="16"/>
  <c r="AY25" i="16"/>
  <c r="AX26" i="16"/>
  <c r="AV26" i="16" s="1"/>
  <c r="AY28" i="16"/>
  <c r="AX29" i="16"/>
  <c r="AY31" i="16"/>
  <c r="AX32" i="16"/>
  <c r="AY45" i="16"/>
  <c r="AV45" i="16" s="1"/>
  <c r="AY52" i="16"/>
  <c r="AX53" i="16"/>
  <c r="AY62" i="16"/>
  <c r="AX63" i="16"/>
  <c r="AZ80" i="16"/>
  <c r="AX8" i="16"/>
  <c r="BC8" i="16"/>
  <c r="BC11" i="16"/>
  <c r="BC14" i="16"/>
  <c r="AX24" i="16"/>
  <c r="AZ25" i="16"/>
  <c r="AX27" i="16"/>
  <c r="AZ28" i="16"/>
  <c r="AX30" i="16"/>
  <c r="AZ31" i="16"/>
  <c r="AY42" i="16"/>
  <c r="AX51" i="16"/>
  <c r="AZ52" i="16"/>
  <c r="AZ62" i="16"/>
  <c r="AZ72" i="16"/>
  <c r="AY206" i="15"/>
  <c r="AX206" i="15"/>
  <c r="AW206" i="15"/>
  <c r="BC206" i="15"/>
  <c r="BB206" i="15"/>
  <c r="BA206" i="15"/>
  <c r="AZ206" i="15"/>
  <c r="AV206" i="15"/>
  <c r="BD206" i="15"/>
  <c r="AW84" i="15"/>
  <c r="AY103" i="15"/>
  <c r="AW102" i="15"/>
  <c r="BC101" i="15"/>
  <c r="AV103" i="15"/>
  <c r="BB102" i="15"/>
  <c r="AU103" i="15"/>
  <c r="BA102" i="15"/>
  <c r="AZ102" i="15"/>
  <c r="AY127" i="15"/>
  <c r="AW126" i="15"/>
  <c r="BC125" i="15"/>
  <c r="AV127" i="15"/>
  <c r="BB126" i="15"/>
  <c r="AU127" i="15"/>
  <c r="BA126" i="15"/>
  <c r="AZ126" i="15"/>
  <c r="AW149" i="15"/>
  <c r="BD149" i="15"/>
  <c r="AV149" i="15"/>
  <c r="BC149" i="15"/>
  <c r="AU149" i="15"/>
  <c r="BB149" i="15"/>
  <c r="BA149" i="15"/>
  <c r="AZ149" i="15"/>
  <c r="AU116" i="15"/>
  <c r="AW145" i="15"/>
  <c r="BD145" i="15"/>
  <c r="AV145" i="15"/>
  <c r="BC145" i="15"/>
  <c r="AU145" i="15"/>
  <c r="BB145" i="15"/>
  <c r="BA145" i="15"/>
  <c r="AZ145" i="15"/>
  <c r="AW243" i="15"/>
  <c r="AV243" i="15"/>
  <c r="AY244" i="15"/>
  <c r="BD243" i="15"/>
  <c r="AX244" i="15"/>
  <c r="BC243" i="15"/>
  <c r="AW244" i="15"/>
  <c r="BB243" i="15"/>
  <c r="AV244" i="15"/>
  <c r="BA243" i="15"/>
  <c r="AV242" i="15"/>
  <c r="AU244" i="15"/>
  <c r="AZ243" i="15"/>
  <c r="BC242" i="15"/>
  <c r="AY243" i="15"/>
  <c r="AX243" i="15"/>
  <c r="AW394" i="15"/>
  <c r="AV394" i="15"/>
  <c r="AU394" i="15"/>
  <c r="BD78" i="15"/>
  <c r="AV78" i="15"/>
  <c r="AX81" i="15"/>
  <c r="AY84" i="15"/>
  <c r="AW100" i="15"/>
  <c r="BC99" i="15"/>
  <c r="AZ99" i="15"/>
  <c r="AY99" i="15"/>
  <c r="AX99" i="15"/>
  <c r="AV98" i="15"/>
  <c r="AU101" i="15"/>
  <c r="AZ101" i="15"/>
  <c r="AY101" i="15"/>
  <c r="AX101" i="15"/>
  <c r="AW112" i="15"/>
  <c r="BC111" i="15"/>
  <c r="AZ111" i="15"/>
  <c r="AY111" i="15"/>
  <c r="AX111" i="15"/>
  <c r="AV110" i="15"/>
  <c r="AU113" i="15"/>
  <c r="AZ113" i="15"/>
  <c r="AY113" i="15"/>
  <c r="AX113" i="15"/>
  <c r="AW124" i="15"/>
  <c r="BC123" i="15"/>
  <c r="AZ123" i="15"/>
  <c r="AY123" i="15"/>
  <c r="AX123" i="15"/>
  <c r="AV122" i="15"/>
  <c r="AU125" i="15"/>
  <c r="AZ125" i="15"/>
  <c r="AY125" i="15"/>
  <c r="AX125" i="15"/>
  <c r="AW128" i="15"/>
  <c r="AW141" i="15"/>
  <c r="BD141" i="15"/>
  <c r="AV141" i="15"/>
  <c r="BB141" i="15"/>
  <c r="BA141" i="15"/>
  <c r="AZ141" i="15"/>
  <c r="AX156" i="15"/>
  <c r="AW160" i="15"/>
  <c r="AY161" i="15"/>
  <c r="BD160" i="15"/>
  <c r="AV160" i="15"/>
  <c r="AX161" i="15"/>
  <c r="BC160" i="15"/>
  <c r="AW161" i="15"/>
  <c r="BB160" i="15"/>
  <c r="AV161" i="15"/>
  <c r="BA160" i="15"/>
  <c r="AU161" i="15"/>
  <c r="AZ160" i="15"/>
  <c r="AW191" i="15"/>
  <c r="BD191" i="15"/>
  <c r="AZ191" i="15"/>
  <c r="AX191" i="15"/>
  <c r="AU191" i="15"/>
  <c r="BB191" i="15"/>
  <c r="AY115" i="15"/>
  <c r="AW114" i="15"/>
  <c r="BC113" i="15"/>
  <c r="AV115" i="15"/>
  <c r="BB114" i="15"/>
  <c r="AU115" i="15"/>
  <c r="BA114" i="15"/>
  <c r="AZ114" i="15"/>
  <c r="AX84" i="15"/>
  <c r="AU104" i="15"/>
  <c r="AX184" i="15"/>
  <c r="AW184" i="15"/>
  <c r="BA184" i="15"/>
  <c r="BD184" i="15"/>
  <c r="BC184" i="15"/>
  <c r="BB184" i="15"/>
  <c r="AZ184" i="15"/>
  <c r="AY184" i="15"/>
  <c r="AW294" i="15"/>
  <c r="AY295" i="15"/>
  <c r="BD294" i="15"/>
  <c r="AV294" i="15"/>
  <c r="AX295" i="15"/>
  <c r="BC294" i="15"/>
  <c r="AV295" i="15"/>
  <c r="BA294" i="15"/>
  <c r="AU295" i="15"/>
  <c r="AZ294" i="15"/>
  <c r="AW295" i="15"/>
  <c r="BC293" i="15"/>
  <c r="BB294" i="15"/>
  <c r="AY294" i="15"/>
  <c r="AX294" i="15"/>
  <c r="AV293" i="15"/>
  <c r="AY29" i="15"/>
  <c r="AV36" i="15"/>
  <c r="BD36" i="15"/>
  <c r="AX76" i="15"/>
  <c r="BC77" i="15"/>
  <c r="AX78" i="15"/>
  <c r="AU80" i="15"/>
  <c r="BD80" i="15"/>
  <c r="AY81" i="15"/>
  <c r="BA84" i="15"/>
  <c r="AV85" i="15"/>
  <c r="AU97" i="15"/>
  <c r="BA96" i="15"/>
  <c r="AX96" i="15"/>
  <c r="AV95" i="15"/>
  <c r="AY97" i="15"/>
  <c r="AW96" i="15"/>
  <c r="BC95" i="15"/>
  <c r="AX97" i="15"/>
  <c r="BD96" i="15"/>
  <c r="AV96" i="15"/>
  <c r="AX105" i="15"/>
  <c r="AY106" i="15"/>
  <c r="AU109" i="15"/>
  <c r="BA108" i="15"/>
  <c r="AX108" i="15"/>
  <c r="AV107" i="15"/>
  <c r="AY109" i="15"/>
  <c r="AW108" i="15"/>
  <c r="BC107" i="15"/>
  <c r="AX109" i="15"/>
  <c r="BD108" i="15"/>
  <c r="AV108" i="15"/>
  <c r="AX116" i="15"/>
  <c r="AX117" i="15"/>
  <c r="AY118" i="15"/>
  <c r="AU121" i="15"/>
  <c r="BA120" i="15"/>
  <c r="AX120" i="15"/>
  <c r="AV119" i="15"/>
  <c r="AY121" i="15"/>
  <c r="AW120" i="15"/>
  <c r="BC119" i="15"/>
  <c r="AX121" i="15"/>
  <c r="BD120" i="15"/>
  <c r="AV120" i="15"/>
  <c r="AY128" i="15"/>
  <c r="BB139" i="15"/>
  <c r="AU147" i="15"/>
  <c r="AV159" i="15"/>
  <c r="AW104" i="15"/>
  <c r="BB104" i="15"/>
  <c r="BA104" i="15"/>
  <c r="AZ104" i="15"/>
  <c r="BA143" i="15"/>
  <c r="AZ143" i="15"/>
  <c r="AY143" i="15"/>
  <c r="AX143" i="15"/>
  <c r="AW143" i="15"/>
  <c r="BD143" i="15"/>
  <c r="AV143" i="15"/>
  <c r="AW81" i="15"/>
  <c r="AW222" i="15"/>
  <c r="BD222" i="15"/>
  <c r="AV222" i="15"/>
  <c r="BC222" i="15"/>
  <c r="AU222" i="15"/>
  <c r="BA222" i="15"/>
  <c r="AZ222" i="15"/>
  <c r="BB222" i="15"/>
  <c r="AY222" i="15"/>
  <c r="AX222" i="15"/>
  <c r="AY76" i="15"/>
  <c r="AY78" i="15"/>
  <c r="AZ81" i="15"/>
  <c r="BB84" i="15"/>
  <c r="BA98" i="15"/>
  <c r="AX98" i="15"/>
  <c r="AW98" i="15"/>
  <c r="BD98" i="15"/>
  <c r="AV101" i="15"/>
  <c r="AV102" i="15"/>
  <c r="AW103" i="15"/>
  <c r="AY104" i="15"/>
  <c r="BA110" i="15"/>
  <c r="AX110" i="15"/>
  <c r="AW110" i="15"/>
  <c r="BD110" i="15"/>
  <c r="AV113" i="15"/>
  <c r="AV114" i="15"/>
  <c r="AW115" i="15"/>
  <c r="BA122" i="15"/>
  <c r="AX122" i="15"/>
  <c r="AW122" i="15"/>
  <c r="BD122" i="15"/>
  <c r="AV125" i="15"/>
  <c r="AV126" i="15"/>
  <c r="AW127" i="15"/>
  <c r="BC140" i="15"/>
  <c r="AU140" i="15"/>
  <c r="BB140" i="15"/>
  <c r="AZ140" i="15"/>
  <c r="AY140" i="15"/>
  <c r="AX140" i="15"/>
  <c r="AU143" i="15"/>
  <c r="BC148" i="15"/>
  <c r="AU148" i="15"/>
  <c r="BB148" i="15"/>
  <c r="BA148" i="15"/>
  <c r="AZ148" i="15"/>
  <c r="AY148" i="15"/>
  <c r="AX148" i="15"/>
  <c r="AX160" i="15"/>
  <c r="AZ185" i="15"/>
  <c r="AY185" i="15"/>
  <c r="BC185" i="15"/>
  <c r="AU185" i="15"/>
  <c r="BD185" i="15"/>
  <c r="BB185" i="15"/>
  <c r="BA185" i="15"/>
  <c r="AX185" i="15"/>
  <c r="AW185" i="15"/>
  <c r="AV185" i="15"/>
  <c r="AW116" i="15"/>
  <c r="BB116" i="15"/>
  <c r="BA116" i="15"/>
  <c r="AZ116" i="15"/>
  <c r="AV10" i="15"/>
  <c r="AS10" i="15" s="1"/>
  <c r="AV18" i="15"/>
  <c r="AS18" i="15" s="1"/>
  <c r="AU26" i="15"/>
  <c r="BA29" i="15"/>
  <c r="BA76" i="15"/>
  <c r="AV77" i="15"/>
  <c r="AZ78" i="15"/>
  <c r="BA81" i="15"/>
  <c r="BD82" i="15"/>
  <c r="AV82" i="15"/>
  <c r="BC84" i="15"/>
  <c r="AX85" i="15"/>
  <c r="AY95" i="15"/>
  <c r="BD95" i="15"/>
  <c r="BB95" i="15"/>
  <c r="AU100" i="15"/>
  <c r="AW101" i="15"/>
  <c r="AX102" i="15"/>
  <c r="AX103" i="15"/>
  <c r="BC104" i="15"/>
  <c r="AY107" i="15"/>
  <c r="BD107" i="15"/>
  <c r="AU107" i="15"/>
  <c r="BB107" i="15"/>
  <c r="AU112" i="15"/>
  <c r="AW113" i="15"/>
  <c r="AX114" i="15"/>
  <c r="AX115" i="15"/>
  <c r="BC116" i="15"/>
  <c r="AY119" i="15"/>
  <c r="BD119" i="15"/>
  <c r="AU119" i="15"/>
  <c r="BB119" i="15"/>
  <c r="AU124" i="15"/>
  <c r="AW125" i="15"/>
  <c r="AX126" i="15"/>
  <c r="AX127" i="15"/>
  <c r="AU141" i="15"/>
  <c r="BB143" i="15"/>
  <c r="BC144" i="15"/>
  <c r="AU144" i="15"/>
  <c r="BB144" i="15"/>
  <c r="BA144" i="15"/>
  <c r="AZ144" i="15"/>
  <c r="AY144" i="15"/>
  <c r="AX144" i="15"/>
  <c r="AX149" i="15"/>
  <c r="AY160" i="15"/>
  <c r="AZ182" i="15"/>
  <c r="BD102" i="15"/>
  <c r="BD126" i="15"/>
  <c r="AZ333" i="15"/>
  <c r="AX333" i="15"/>
  <c r="BD333" i="15"/>
  <c r="AV333" i="15"/>
  <c r="BC333" i="15"/>
  <c r="BB333" i="15"/>
  <c r="AY333" i="15"/>
  <c r="AW333" i="15"/>
  <c r="BA333" i="15"/>
  <c r="AU333" i="15"/>
  <c r="BB186" i="15"/>
  <c r="BA186" i="15"/>
  <c r="AW186" i="15"/>
  <c r="AZ186" i="15"/>
  <c r="AY186" i="15"/>
  <c r="AX186" i="15"/>
  <c r="AV186" i="15"/>
  <c r="AU186" i="15"/>
  <c r="AV7" i="15"/>
  <c r="AS7" i="15" s="1"/>
  <c r="AV15" i="15"/>
  <c r="AS15" i="15" s="1"/>
  <c r="AV26" i="15"/>
  <c r="BB29" i="15"/>
  <c r="AV71" i="15"/>
  <c r="AS71" i="15" s="1"/>
  <c r="BB76" i="15"/>
  <c r="BA78" i="15"/>
  <c r="BC81" i="15"/>
  <c r="AU84" i="15"/>
  <c r="BD84" i="15"/>
  <c r="AY85" i="15"/>
  <c r="AU98" i="15"/>
  <c r="AV99" i="15"/>
  <c r="AV100" i="15"/>
  <c r="BA101" i="15"/>
  <c r="AY102" i="15"/>
  <c r="BD104" i="15"/>
  <c r="AY105" i="15"/>
  <c r="AX106" i="15"/>
  <c r="BD105" i="15"/>
  <c r="AV105" i="15"/>
  <c r="AW106" i="15"/>
  <c r="BC105" i="15"/>
  <c r="AV106" i="15"/>
  <c r="BB105" i="15"/>
  <c r="AU110" i="15"/>
  <c r="AV111" i="15"/>
  <c r="AV112" i="15"/>
  <c r="BA113" i="15"/>
  <c r="AY114" i="15"/>
  <c r="BD116" i="15"/>
  <c r="AY117" i="15"/>
  <c r="AX118" i="15"/>
  <c r="BD117" i="15"/>
  <c r="AV117" i="15"/>
  <c r="AW118" i="15"/>
  <c r="BC117" i="15"/>
  <c r="AV118" i="15"/>
  <c r="BB117" i="15"/>
  <c r="AU122" i="15"/>
  <c r="AV123" i="15"/>
  <c r="AV124" i="15"/>
  <c r="BA125" i="15"/>
  <c r="AY126" i="15"/>
  <c r="AX128" i="15"/>
  <c r="BD128" i="15"/>
  <c r="BB128" i="15"/>
  <c r="BA128" i="15"/>
  <c r="BA139" i="15"/>
  <c r="AZ139" i="15"/>
  <c r="AX139" i="15"/>
  <c r="AW139" i="15"/>
  <c r="BD139" i="15"/>
  <c r="AV139" i="15"/>
  <c r="AX141" i="15"/>
  <c r="BC143" i="15"/>
  <c r="AX145" i="15"/>
  <c r="AY149" i="15"/>
  <c r="AW156" i="15"/>
  <c r="BD156" i="15"/>
  <c r="AU156" i="15"/>
  <c r="BB156" i="15"/>
  <c r="BA156" i="15"/>
  <c r="AZ156" i="15"/>
  <c r="AW176" i="15"/>
  <c r="AV176" i="15"/>
  <c r="AU176" i="15"/>
  <c r="AU184" i="15"/>
  <c r="BC186" i="15"/>
  <c r="AV216" i="15"/>
  <c r="AU216" i="15"/>
  <c r="BD114" i="15"/>
  <c r="BB182" i="15"/>
  <c r="BA182" i="15"/>
  <c r="AW182" i="15"/>
  <c r="AY182" i="15"/>
  <c r="AX182" i="15"/>
  <c r="AV182" i="15"/>
  <c r="AU182" i="15"/>
  <c r="BD182" i="15"/>
  <c r="AU29" i="15"/>
  <c r="BC76" i="15"/>
  <c r="AX77" i="15"/>
  <c r="BB78" i="15"/>
  <c r="AY80" i="15"/>
  <c r="AU81" i="15"/>
  <c r="BD81" i="15"/>
  <c r="AY82" i="15"/>
  <c r="AV84" i="15"/>
  <c r="AZ85" i="15"/>
  <c r="AW88" i="15"/>
  <c r="BB88" i="15"/>
  <c r="AZ88" i="15"/>
  <c r="AU95" i="15"/>
  <c r="AY98" i="15"/>
  <c r="AW99" i="15"/>
  <c r="AX100" i="15"/>
  <c r="BB101" i="15"/>
  <c r="BC102" i="15"/>
  <c r="AY110" i="15"/>
  <c r="AW111" i="15"/>
  <c r="AX112" i="15"/>
  <c r="BB113" i="15"/>
  <c r="BC114" i="15"/>
  <c r="AY122" i="15"/>
  <c r="AW123" i="15"/>
  <c r="AX124" i="15"/>
  <c r="BB125" i="15"/>
  <c r="BC126" i="15"/>
  <c r="AV140" i="15"/>
  <c r="AY141" i="15"/>
  <c r="AY145" i="15"/>
  <c r="BA147" i="15"/>
  <c r="AZ147" i="15"/>
  <c r="AY147" i="15"/>
  <c r="AX147" i="15"/>
  <c r="AW147" i="15"/>
  <c r="BD147" i="15"/>
  <c r="AV147" i="15"/>
  <c r="AV184" i="15"/>
  <c r="BD186" i="15"/>
  <c r="AY191" i="15"/>
  <c r="AV86" i="15"/>
  <c r="BD86" i="15"/>
  <c r="AU135" i="15"/>
  <c r="BB142" i="15"/>
  <c r="BB146" i="15"/>
  <c r="AU153" i="15"/>
  <c r="BC157" i="15"/>
  <c r="AX158" i="15"/>
  <c r="AW159" i="15"/>
  <c r="BB162" i="15"/>
  <c r="AW163" i="15"/>
  <c r="AV168" i="15"/>
  <c r="BA169" i="15"/>
  <c r="AW170" i="15"/>
  <c r="AZ171" i="15"/>
  <c r="AU177" i="15"/>
  <c r="AS177" i="15" s="1"/>
  <c r="BA183" i="15"/>
  <c r="AZ192" i="15"/>
  <c r="AW193" i="15"/>
  <c r="BC198" i="15"/>
  <c r="BB198" i="15"/>
  <c r="BA198" i="15"/>
  <c r="AX198" i="15"/>
  <c r="AV197" i="15"/>
  <c r="BC221" i="15"/>
  <c r="AU221" i="15"/>
  <c r="BB221" i="15"/>
  <c r="BA221" i="15"/>
  <c r="AY221" i="15"/>
  <c r="AX221" i="15"/>
  <c r="BC225" i="15"/>
  <c r="AU225" i="15"/>
  <c r="BB225" i="15"/>
  <c r="BA225" i="15"/>
  <c r="AZ225" i="15"/>
  <c r="AY225" i="15"/>
  <c r="AX225" i="15"/>
  <c r="AV135" i="15"/>
  <c r="AU142" i="15"/>
  <c r="BC142" i="15"/>
  <c r="AU146" i="15"/>
  <c r="BC146" i="15"/>
  <c r="BD153" i="15"/>
  <c r="AV157" i="15"/>
  <c r="BD157" i="15"/>
  <c r="AY158" i="15"/>
  <c r="AU162" i="15"/>
  <c r="BC162" i="15"/>
  <c r="AX163" i="15"/>
  <c r="BB169" i="15"/>
  <c r="AX170" i="15"/>
  <c r="BA171" i="15"/>
  <c r="BC191" i="15"/>
  <c r="BA192" i="15"/>
  <c r="AX193" i="15"/>
  <c r="BD236" i="15"/>
  <c r="AU236" i="15"/>
  <c r="BB236" i="15"/>
  <c r="BA236" i="15"/>
  <c r="AZ236" i="15"/>
  <c r="AY236" i="15"/>
  <c r="AV142" i="15"/>
  <c r="BD142" i="15"/>
  <c r="AV146" i="15"/>
  <c r="BD146" i="15"/>
  <c r="AW153" i="15"/>
  <c r="AW157" i="15"/>
  <c r="BD162" i="15"/>
  <c r="BC169" i="15"/>
  <c r="BD187" i="15"/>
  <c r="AV187" i="15"/>
  <c r="BC187" i="15"/>
  <c r="AU187" i="15"/>
  <c r="AY187" i="15"/>
  <c r="BC192" i="15"/>
  <c r="AW202" i="15"/>
  <c r="BC201" i="15"/>
  <c r="BD202" i="15"/>
  <c r="AV202" i="15"/>
  <c r="BC202" i="15"/>
  <c r="BA202" i="15"/>
  <c r="AZ202" i="15"/>
  <c r="AW215" i="15"/>
  <c r="AV215" i="15"/>
  <c r="AU215" i="15"/>
  <c r="AU241" i="15"/>
  <c r="BD240" i="15"/>
  <c r="AV240" i="15"/>
  <c r="AY241" i="15"/>
  <c r="BC240" i="15"/>
  <c r="AX241" i="15"/>
  <c r="BB240" i="15"/>
  <c r="AW241" i="15"/>
  <c r="BA240" i="15"/>
  <c r="AV241" i="15"/>
  <c r="AZ240" i="15"/>
  <c r="AY240" i="15"/>
  <c r="AV239" i="15"/>
  <c r="BD335" i="15"/>
  <c r="AV335" i="15"/>
  <c r="BB335" i="15"/>
  <c r="AZ335" i="15"/>
  <c r="BC335" i="15"/>
  <c r="BA335" i="15"/>
  <c r="AY335" i="15"/>
  <c r="AW335" i="15"/>
  <c r="AU335" i="15"/>
  <c r="AX335" i="15"/>
  <c r="AW162" i="15"/>
  <c r="BD183" i="15"/>
  <c r="AV183" i="15"/>
  <c r="BC183" i="15"/>
  <c r="AU183" i="15"/>
  <c r="AY183" i="15"/>
  <c r="AW299" i="15"/>
  <c r="AU299" i="15"/>
  <c r="BD299" i="15"/>
  <c r="BB299" i="15"/>
  <c r="AZ299" i="15"/>
  <c r="AY299" i="15"/>
  <c r="BA299" i="15"/>
  <c r="AX299" i="15"/>
  <c r="AY153" i="15"/>
  <c r="AY170" i="15"/>
  <c r="BD169" i="15"/>
  <c r="AV169" i="15"/>
  <c r="AY171" i="15"/>
  <c r="BD171" i="15"/>
  <c r="AY192" i="15"/>
  <c r="AX192" i="15"/>
  <c r="AV191" i="15"/>
  <c r="AV193" i="15"/>
  <c r="BB192" i="15"/>
  <c r="BD323" i="15"/>
  <c r="AV323" i="15"/>
  <c r="BB323" i="15"/>
  <c r="AZ323" i="15"/>
  <c r="BC323" i="15"/>
  <c r="BA323" i="15"/>
  <c r="AX323" i="15"/>
  <c r="AW323" i="15"/>
  <c r="AY323" i="15"/>
  <c r="AU323" i="15"/>
  <c r="BC154" i="15"/>
  <c r="AZ157" i="15"/>
  <c r="BB163" i="15"/>
  <c r="BB168" i="15"/>
  <c r="AX169" i="15"/>
  <c r="AU171" i="15"/>
  <c r="AU178" i="15"/>
  <c r="AW183" i="15"/>
  <c r="AX187" i="15"/>
  <c r="AV198" i="15"/>
  <c r="AZ221" i="15"/>
  <c r="AW225" i="15"/>
  <c r="AW236" i="15"/>
  <c r="AW240" i="15"/>
  <c r="AW303" i="15"/>
  <c r="AX304" i="15"/>
  <c r="BC303" i="15"/>
  <c r="AV304" i="15"/>
  <c r="BA303" i="15"/>
  <c r="AV303" i="15"/>
  <c r="AV302" i="15"/>
  <c r="BB303" i="15"/>
  <c r="AY304" i="15"/>
  <c r="AZ303" i="15"/>
  <c r="BC302" i="15"/>
  <c r="AW304" i="15"/>
  <c r="AU304" i="15"/>
  <c r="BD303" i="15"/>
  <c r="AY303" i="15"/>
  <c r="BB194" i="15"/>
  <c r="AV195" i="15"/>
  <c r="BD195" i="15"/>
  <c r="AX196" i="15"/>
  <c r="AV224" i="15"/>
  <c r="BD224" i="15"/>
  <c r="AW234" i="15"/>
  <c r="BD239" i="15"/>
  <c r="AU242" i="15"/>
  <c r="BD242" i="15"/>
  <c r="BA305" i="15"/>
  <c r="BA317" i="15"/>
  <c r="AX328" i="15"/>
  <c r="BD328" i="15"/>
  <c r="AV328" i="15"/>
  <c r="BB328" i="15"/>
  <c r="AY328" i="15"/>
  <c r="AW328" i="15"/>
  <c r="AU328" i="15"/>
  <c r="BC328" i="15"/>
  <c r="AU334" i="15"/>
  <c r="AW224" i="15"/>
  <c r="BC233" i="15"/>
  <c r="AX234" i="15"/>
  <c r="AW239" i="15"/>
  <c r="AZ245" i="15"/>
  <c r="AY245" i="15"/>
  <c r="AX247" i="15"/>
  <c r="BC246" i="15"/>
  <c r="AW247" i="15"/>
  <c r="BB246" i="15"/>
  <c r="BA280" i="15"/>
  <c r="AZ280" i="15"/>
  <c r="AY280" i="15"/>
  <c r="AW280" i="15"/>
  <c r="BD280" i="15"/>
  <c r="BB322" i="15"/>
  <c r="AZ322" i="15"/>
  <c r="AX322" i="15"/>
  <c r="BD322" i="15"/>
  <c r="BC322" i="15"/>
  <c r="AY322" i="15"/>
  <c r="AW322" i="15"/>
  <c r="AX324" i="15"/>
  <c r="BD324" i="15"/>
  <c r="AV324" i="15"/>
  <c r="BB324" i="15"/>
  <c r="BC324" i="15"/>
  <c r="BA324" i="15"/>
  <c r="AZ324" i="15"/>
  <c r="AW324" i="15"/>
  <c r="AU324" i="15"/>
  <c r="BD331" i="15"/>
  <c r="AV331" i="15"/>
  <c r="BB331" i="15"/>
  <c r="AZ331" i="15"/>
  <c r="AU331" i="15"/>
  <c r="BA331" i="15"/>
  <c r="AY331" i="15"/>
  <c r="AY224" i="15"/>
  <c r="AZ234" i="15"/>
  <c r="AU235" i="15"/>
  <c r="AY239" i="15"/>
  <c r="AX242" i="15"/>
  <c r="AZ305" i="15"/>
  <c r="AX305" i="15"/>
  <c r="AU305" i="15"/>
  <c r="AY305" i="15"/>
  <c r="AW305" i="15"/>
  <c r="BD305" i="15"/>
  <c r="AZ317" i="15"/>
  <c r="AX317" i="15"/>
  <c r="BD317" i="15"/>
  <c r="AV317" i="15"/>
  <c r="AY317" i="15"/>
  <c r="AW317" i="15"/>
  <c r="AU317" i="15"/>
  <c r="BC317" i="15"/>
  <c r="BB334" i="15"/>
  <c r="AZ334" i="15"/>
  <c r="AX334" i="15"/>
  <c r="BD334" i="15"/>
  <c r="BC334" i="15"/>
  <c r="BA334" i="15"/>
  <c r="AW334" i="15"/>
  <c r="AV334" i="15"/>
  <c r="AZ224" i="15"/>
  <c r="BA234" i="15"/>
  <c r="AV235" i="15"/>
  <c r="AZ239" i="15"/>
  <c r="AY242" i="15"/>
  <c r="BA245" i="15"/>
  <c r="AX246" i="15"/>
  <c r="AU247" i="15"/>
  <c r="AZ288" i="15"/>
  <c r="AY288" i="15"/>
  <c r="AX288" i="15"/>
  <c r="AU288" i="15"/>
  <c r="BD288" i="15"/>
  <c r="BD327" i="15"/>
  <c r="AV327" i="15"/>
  <c r="BB327" i="15"/>
  <c r="AZ327" i="15"/>
  <c r="AY327" i="15"/>
  <c r="AX327" i="15"/>
  <c r="AW327" i="15"/>
  <c r="BD339" i="15"/>
  <c r="AV339" i="15"/>
  <c r="BC339" i="15"/>
  <c r="AU339" i="15"/>
  <c r="BB339" i="15"/>
  <c r="BA339" i="15"/>
  <c r="AZ339" i="15"/>
  <c r="AY339" i="15"/>
  <c r="AX339" i="15"/>
  <c r="BA195" i="15"/>
  <c r="BB234" i="15"/>
  <c r="AZ242" i="15"/>
  <c r="BB245" i="15"/>
  <c r="AY246" i="15"/>
  <c r="AV247" i="15"/>
  <c r="AW259" i="15"/>
  <c r="BD259" i="15"/>
  <c r="AZ259" i="15"/>
  <c r="AX280" i="15"/>
  <c r="AZ328" i="15"/>
  <c r="BB283" i="15"/>
  <c r="AW293" i="15"/>
  <c r="AU311" i="15"/>
  <c r="BC318" i="15"/>
  <c r="BA319" i="15"/>
  <c r="AZ325" i="15"/>
  <c r="AX325" i="15"/>
  <c r="BD325" i="15"/>
  <c r="AV325" i="15"/>
  <c r="BB329" i="15"/>
  <c r="AX336" i="15"/>
  <c r="BD336" i="15"/>
  <c r="AV336" i="15"/>
  <c r="BB336" i="15"/>
  <c r="AY340" i="15"/>
  <c r="BD283" i="15"/>
  <c r="AU301" i="15"/>
  <c r="AZ300" i="15"/>
  <c r="AX300" i="15"/>
  <c r="BC299" i="15"/>
  <c r="AW311" i="15"/>
  <c r="BB326" i="15"/>
  <c r="AZ326" i="15"/>
  <c r="AX326" i="15"/>
  <c r="AZ337" i="15"/>
  <c r="AX337" i="15"/>
  <c r="BD337" i="15"/>
  <c r="AV337" i="15"/>
  <c r="BB338" i="15"/>
  <c r="BA338" i="15"/>
  <c r="AZ338" i="15"/>
  <c r="AX338" i="15"/>
  <c r="AX351" i="15"/>
  <c r="BC350" i="15"/>
  <c r="AW351" i="15"/>
  <c r="AY352" i="15"/>
  <c r="BD351" i="15"/>
  <c r="AV351" i="15"/>
  <c r="AX352" i="15"/>
  <c r="BC351" i="15"/>
  <c r="AW352" i="15"/>
  <c r="BB351" i="15"/>
  <c r="AV352" i="15"/>
  <c r="BA351" i="15"/>
  <c r="AW313" i="15"/>
  <c r="AU313" i="15"/>
  <c r="BB318" i="15"/>
  <c r="AZ318" i="15"/>
  <c r="AX318" i="15"/>
  <c r="BD319" i="15"/>
  <c r="AV319" i="15"/>
  <c r="BB319" i="15"/>
  <c r="AZ319" i="15"/>
  <c r="AZ329" i="15"/>
  <c r="AX329" i="15"/>
  <c r="BD329" i="15"/>
  <c r="AV329" i="15"/>
  <c r="AX340" i="15"/>
  <c r="AW340" i="15"/>
  <c r="BD340" i="15"/>
  <c r="AV340" i="15"/>
  <c r="BC340" i="15"/>
  <c r="AU340" i="15"/>
  <c r="BB340" i="15"/>
  <c r="BA340" i="15"/>
  <c r="AZ351" i="15"/>
  <c r="AX375" i="15"/>
  <c r="BC374" i="15"/>
  <c r="AW375" i="15"/>
  <c r="AX376" i="15"/>
  <c r="BC375" i="15"/>
  <c r="AW376" i="15"/>
  <c r="BB375" i="15"/>
  <c r="AV376" i="15"/>
  <c r="BA375" i="15"/>
  <c r="AY375" i="15"/>
  <c r="AY376" i="15"/>
  <c r="AV375" i="15"/>
  <c r="AU376" i="15"/>
  <c r="AV374" i="15"/>
  <c r="AW440" i="15"/>
  <c r="BD440" i="15"/>
  <c r="AV440" i="15"/>
  <c r="BC440" i="15"/>
  <c r="AU440" i="15"/>
  <c r="BB440" i="15"/>
  <c r="BA440" i="15"/>
  <c r="AZ440" i="15"/>
  <c r="AY440" i="15"/>
  <c r="AX440" i="15"/>
  <c r="BC281" i="15"/>
  <c r="AX282" i="15"/>
  <c r="AX283" i="15"/>
  <c r="BA293" i="15"/>
  <c r="AX298" i="15"/>
  <c r="BC297" i="15"/>
  <c r="AV298" i="15"/>
  <c r="BA297" i="15"/>
  <c r="BA300" i="15"/>
  <c r="AW301" i="15"/>
  <c r="AV318" i="15"/>
  <c r="AU319" i="15"/>
  <c r="AX320" i="15"/>
  <c r="BD320" i="15"/>
  <c r="AV320" i="15"/>
  <c r="BB320" i="15"/>
  <c r="BA325" i="15"/>
  <c r="AY326" i="15"/>
  <c r="AU329" i="15"/>
  <c r="BB330" i="15"/>
  <c r="AZ330" i="15"/>
  <c r="AX330" i="15"/>
  <c r="AZ336" i="15"/>
  <c r="AY337" i="15"/>
  <c r="AW338" i="15"/>
  <c r="AV281" i="15"/>
  <c r="BD281" i="15"/>
  <c r="BB300" i="15"/>
  <c r="AX301" i="15"/>
  <c r="AW318" i="15"/>
  <c r="AW319" i="15"/>
  <c r="AZ321" i="15"/>
  <c r="AX321" i="15"/>
  <c r="BD321" i="15"/>
  <c r="AV321" i="15"/>
  <c r="BB325" i="15"/>
  <c r="BA326" i="15"/>
  <c r="AW329" i="15"/>
  <c r="AX332" i="15"/>
  <c r="BD332" i="15"/>
  <c r="AV332" i="15"/>
  <c r="BB332" i="15"/>
  <c r="BA336" i="15"/>
  <c r="BA337" i="15"/>
  <c r="AY338" i="15"/>
  <c r="AV348" i="15"/>
  <c r="BD348" i="15"/>
  <c r="AY349" i="15"/>
  <c r="BB354" i="15"/>
  <c r="BC356" i="15"/>
  <c r="BA357" i="15"/>
  <c r="BC359" i="15"/>
  <c r="BA360" i="15"/>
  <c r="BD365" i="15"/>
  <c r="BA365" i="15"/>
  <c r="AZ365" i="15"/>
  <c r="AY365" i="15"/>
  <c r="AW405" i="15"/>
  <c r="BD405" i="15"/>
  <c r="AV405" i="15"/>
  <c r="BC405" i="15"/>
  <c r="AU405" i="15"/>
  <c r="BB405" i="15"/>
  <c r="BA405" i="15"/>
  <c r="AZ405" i="15"/>
  <c r="AW380" i="15"/>
  <c r="BD380" i="15"/>
  <c r="AU380" i="15"/>
  <c r="BB380" i="15"/>
  <c r="BA380" i="15"/>
  <c r="AZ380" i="15"/>
  <c r="BD410" i="15"/>
  <c r="AV410" i="15"/>
  <c r="BC410" i="15"/>
  <c r="AU410" i="15"/>
  <c r="BB410" i="15"/>
  <c r="BA410" i="15"/>
  <c r="AZ410" i="15"/>
  <c r="AY410" i="15"/>
  <c r="AX413" i="15"/>
  <c r="BC354" i="15"/>
  <c r="AZ354" i="15"/>
  <c r="AU358" i="15"/>
  <c r="AZ357" i="15"/>
  <c r="AW357" i="15"/>
  <c r="AX358" i="15"/>
  <c r="BC357" i="15"/>
  <c r="AW360" i="15"/>
  <c r="AW361" i="15"/>
  <c r="BB360" i="15"/>
  <c r="AU361" i="15"/>
  <c r="AZ360" i="15"/>
  <c r="AV373" i="15"/>
  <c r="BA372" i="15"/>
  <c r="AU373" i="15"/>
  <c r="AZ372" i="15"/>
  <c r="AX372" i="15"/>
  <c r="BC371" i="15"/>
  <c r="AW372" i="15"/>
  <c r="AY373" i="15"/>
  <c r="BD372" i="15"/>
  <c r="AV372" i="15"/>
  <c r="AW402" i="15"/>
  <c r="AZ302" i="15"/>
  <c r="AV354" i="15"/>
  <c r="AW356" i="15"/>
  <c r="BB356" i="15"/>
  <c r="AZ356" i="15"/>
  <c r="BB359" i="15"/>
  <c r="AY359" i="15"/>
  <c r="AW359" i="15"/>
  <c r="AY362" i="15"/>
  <c r="BD362" i="15"/>
  <c r="BB362" i="15"/>
  <c r="AW365" i="15"/>
  <c r="BC372" i="15"/>
  <c r="AW384" i="15"/>
  <c r="AY385" i="15"/>
  <c r="BD384" i="15"/>
  <c r="AV384" i="15"/>
  <c r="AX385" i="15"/>
  <c r="BC384" i="15"/>
  <c r="AW385" i="15"/>
  <c r="BB384" i="15"/>
  <c r="AV385" i="15"/>
  <c r="BA384" i="15"/>
  <c r="AU385" i="15"/>
  <c r="AZ384" i="15"/>
  <c r="AW413" i="15"/>
  <c r="BD413" i="15"/>
  <c r="AV413" i="15"/>
  <c r="BC413" i="15"/>
  <c r="AU413" i="15"/>
  <c r="BB413" i="15"/>
  <c r="BA413" i="15"/>
  <c r="AZ413" i="15"/>
  <c r="AW435" i="15"/>
  <c r="AV435" i="15"/>
  <c r="AU435" i="15"/>
  <c r="BA348" i="15"/>
  <c r="AX354" i="15"/>
  <c r="AX356" i="15"/>
  <c r="AV357" i="15"/>
  <c r="AX359" i="15"/>
  <c r="AV360" i="15"/>
  <c r="BB365" i="15"/>
  <c r="AV371" i="15"/>
  <c r="AX380" i="15"/>
  <c r="BD402" i="15"/>
  <c r="AV402" i="15"/>
  <c r="BC402" i="15"/>
  <c r="AU402" i="15"/>
  <c r="BB402" i="15"/>
  <c r="BA402" i="15"/>
  <c r="AZ402" i="15"/>
  <c r="AY402" i="15"/>
  <c r="AX405" i="15"/>
  <c r="AS447" i="15"/>
  <c r="AW484" i="15"/>
  <c r="AV484" i="15"/>
  <c r="AU484" i="15"/>
  <c r="AU377" i="15"/>
  <c r="BC377" i="15"/>
  <c r="AX378" i="15"/>
  <c r="BC381" i="15"/>
  <c r="AX382" i="15"/>
  <c r="AW383" i="15"/>
  <c r="BB386" i="15"/>
  <c r="BA400" i="15"/>
  <c r="BB403" i="15"/>
  <c r="AW404" i="15"/>
  <c r="AU406" i="15"/>
  <c r="BC406" i="15"/>
  <c r="BA408" i="15"/>
  <c r="BB411" i="15"/>
  <c r="AW412" i="15"/>
  <c r="AV433" i="15"/>
  <c r="AW439" i="15"/>
  <c r="AU441" i="15"/>
  <c r="BC441" i="15"/>
  <c r="BA472" i="15"/>
  <c r="AU491" i="15"/>
  <c r="BD377" i="15"/>
  <c r="AV381" i="15"/>
  <c r="BD381" i="15"/>
  <c r="AY382" i="15"/>
  <c r="AU386" i="15"/>
  <c r="AU395" i="15"/>
  <c r="AS395" i="15" s="1"/>
  <c r="AU403" i="15"/>
  <c r="BC403" i="15"/>
  <c r="AV406" i="15"/>
  <c r="BD406" i="15"/>
  <c r="AU411" i="15"/>
  <c r="BC411" i="15"/>
  <c r="AV441" i="15"/>
  <c r="BD441" i="15"/>
  <c r="AV491" i="15"/>
  <c r="AV366" i="15"/>
  <c r="BD366" i="15"/>
  <c r="BA369" i="15"/>
  <c r="AV370" i="15"/>
  <c r="AZ374" i="15"/>
  <c r="AW377" i="15"/>
  <c r="AZ378" i="15"/>
  <c r="AU379" i="15"/>
  <c r="AW381" i="15"/>
  <c r="AY383" i="15"/>
  <c r="BD386" i="15"/>
  <c r="AU400" i="15"/>
  <c r="AV403" i="15"/>
  <c r="BD403" i="15"/>
  <c r="AY404" i="15"/>
  <c r="AW406" i="15"/>
  <c r="AZ407" i="15"/>
  <c r="AU408" i="15"/>
  <c r="AV411" i="15"/>
  <c r="BD411" i="15"/>
  <c r="AY412" i="15"/>
  <c r="AY439" i="15"/>
  <c r="AW441" i="15"/>
  <c r="AZ471" i="15"/>
  <c r="AU472" i="15"/>
  <c r="BC472" i="15"/>
  <c r="AV485" i="15"/>
  <c r="AU494" i="15"/>
  <c r="AS494" i="15" s="1"/>
  <c r="AV472" i="15"/>
  <c r="AY377" i="15"/>
  <c r="AY406" i="15"/>
  <c r="BA439" i="15"/>
  <c r="AY441" i="15"/>
  <c r="AV369" i="15"/>
  <c r="BD369" i="15"/>
  <c r="BC378" i="15"/>
  <c r="AZ381" i="15"/>
  <c r="AU407" i="15"/>
  <c r="AM50" i="17" l="1"/>
  <c r="AM62" i="17"/>
  <c r="AV60" i="16"/>
  <c r="AV61" i="16"/>
  <c r="AV56" i="16"/>
  <c r="AV42" i="16"/>
  <c r="AS212" i="15"/>
  <c r="AM10" i="17"/>
  <c r="AM9" i="17"/>
  <c r="AM51" i="17"/>
  <c r="AV70" i="16"/>
  <c r="AV53" i="16"/>
  <c r="AV51" i="16"/>
  <c r="AV34" i="16"/>
  <c r="AV32" i="16"/>
  <c r="AM63" i="17"/>
  <c r="AM13" i="17"/>
  <c r="AO32" i="18"/>
  <c r="AO33" i="18"/>
  <c r="AS65" i="15"/>
  <c r="AO8" i="18"/>
  <c r="AO34" i="18"/>
  <c r="AV30" i="16"/>
  <c r="AV72" i="16"/>
  <c r="AV63" i="16"/>
  <c r="AV14" i="16"/>
  <c r="AV11" i="16"/>
  <c r="AV10" i="16"/>
  <c r="AV136" i="16"/>
  <c r="AV43" i="16"/>
  <c r="AV17" i="16"/>
  <c r="AV46" i="16"/>
  <c r="AV123" i="16"/>
  <c r="AS229" i="21"/>
  <c r="T195" i="21"/>
  <c r="U127" i="21"/>
  <c r="T128" i="21"/>
  <c r="U231" i="21"/>
  <c r="T232" i="21"/>
  <c r="AS160" i="21"/>
  <c r="AS173" i="21"/>
  <c r="AS233" i="21"/>
  <c r="AS187" i="21"/>
  <c r="U216" i="21"/>
  <c r="T217" i="21"/>
  <c r="AS193" i="21"/>
  <c r="AS199" i="21"/>
  <c r="AS181" i="21"/>
  <c r="AS185" i="21"/>
  <c r="AS201" i="21"/>
  <c r="AS197" i="21"/>
  <c r="AS179" i="21"/>
  <c r="AS195" i="21"/>
  <c r="AS183" i="21"/>
  <c r="AS57" i="21"/>
  <c r="AS174" i="21"/>
  <c r="T181" i="21"/>
  <c r="U180" i="21"/>
  <c r="U69" i="21"/>
  <c r="T71" i="21"/>
  <c r="U55" i="21"/>
  <c r="T57" i="21"/>
  <c r="AS51" i="21"/>
  <c r="AS133" i="21"/>
  <c r="AS53" i="21"/>
  <c r="AS71" i="21"/>
  <c r="AS55" i="21"/>
  <c r="AS151" i="21"/>
  <c r="AS129" i="21"/>
  <c r="AS46" i="21"/>
  <c r="AS67" i="21"/>
  <c r="AS145" i="21"/>
  <c r="AS149" i="21"/>
  <c r="AS69" i="21"/>
  <c r="AS106" i="21"/>
  <c r="AS143" i="21"/>
  <c r="AS73" i="21"/>
  <c r="AS59" i="21"/>
  <c r="AS125" i="21"/>
  <c r="AS65" i="21"/>
  <c r="AS45" i="21"/>
  <c r="T92" i="21"/>
  <c r="U91" i="21"/>
  <c r="U106" i="21"/>
  <c r="T107" i="21"/>
  <c r="AM102" i="19"/>
  <c r="AM60" i="19"/>
  <c r="AM16" i="19"/>
  <c r="AM17" i="19"/>
  <c r="AM97" i="19"/>
  <c r="AM41" i="19"/>
  <c r="AM21" i="19"/>
  <c r="AM79" i="19"/>
  <c r="AM78" i="19"/>
  <c r="AM91" i="19"/>
  <c r="AM71" i="19"/>
  <c r="AM22" i="19"/>
  <c r="AM4" i="19"/>
  <c r="AM89" i="19"/>
  <c r="AM9" i="19"/>
  <c r="AM10" i="19"/>
  <c r="AP63" i="20"/>
  <c r="AP37" i="20"/>
  <c r="AP92" i="20"/>
  <c r="AP24" i="20"/>
  <c r="AP51" i="20"/>
  <c r="T28" i="21"/>
  <c r="U28" i="21" s="1"/>
  <c r="AS28" i="21"/>
  <c r="AS20" i="21"/>
  <c r="AS12" i="21"/>
  <c r="T15" i="21"/>
  <c r="U14" i="21"/>
  <c r="AP62" i="20"/>
  <c r="AP40" i="20"/>
  <c r="AP49" i="20"/>
  <c r="AP80" i="20"/>
  <c r="AP72" i="20"/>
  <c r="AP32" i="20"/>
  <c r="AP50" i="20"/>
  <c r="AP57" i="20"/>
  <c r="AP74" i="20"/>
  <c r="AP46" i="20"/>
  <c r="AP105" i="20"/>
  <c r="AP18" i="20"/>
  <c r="AS211" i="15"/>
  <c r="AP58" i="20"/>
  <c r="AP85" i="20"/>
  <c r="AP5" i="20"/>
  <c r="AP35" i="20"/>
  <c r="AP4" i="20"/>
  <c r="AP31" i="20"/>
  <c r="AP59" i="20"/>
  <c r="AP9" i="20"/>
  <c r="AP75" i="20"/>
  <c r="AP67" i="20"/>
  <c r="AP69" i="20"/>
  <c r="AP41" i="20"/>
  <c r="AS66" i="15"/>
  <c r="AS433" i="15"/>
  <c r="AS70" i="15"/>
  <c r="AS424" i="15"/>
  <c r="AS72" i="15"/>
  <c r="AS204" i="15"/>
  <c r="AS208" i="15"/>
  <c r="AS492" i="15"/>
  <c r="AS200" i="15"/>
  <c r="AS483" i="15"/>
  <c r="AS27" i="15"/>
  <c r="AS493" i="15"/>
  <c r="AS39" i="15"/>
  <c r="AS164" i="15"/>
  <c r="AS248" i="15"/>
  <c r="AS53" i="15"/>
  <c r="AS50" i="15"/>
  <c r="AS60" i="15"/>
  <c r="AS48" i="15"/>
  <c r="AS367" i="15"/>
  <c r="AS364" i="15"/>
  <c r="AS353" i="15"/>
  <c r="AS155" i="15"/>
  <c r="AS389" i="15"/>
  <c r="AS368" i="15"/>
  <c r="AS272" i="15"/>
  <c r="AS46" i="15"/>
  <c r="AS28" i="15"/>
  <c r="AS166" i="15"/>
  <c r="AS486" i="15"/>
  <c r="AS270" i="15"/>
  <c r="AS154" i="15"/>
  <c r="AS237" i="15"/>
  <c r="AS223" i="15"/>
  <c r="AS167" i="15"/>
  <c r="AS44" i="15"/>
  <c r="AS383" i="15"/>
  <c r="AS363" i="15"/>
  <c r="AS421" i="15"/>
  <c r="AS260" i="15"/>
  <c r="AS233" i="15"/>
  <c r="AS388" i="15"/>
  <c r="AS238" i="15"/>
  <c r="AS217" i="15"/>
  <c r="AS279" i="15"/>
  <c r="AS51" i="15"/>
  <c r="AS485" i="15"/>
  <c r="AS425" i="15"/>
  <c r="AS350" i="15"/>
  <c r="AS194" i="15"/>
  <c r="AS62" i="15"/>
  <c r="AS87" i="15"/>
  <c r="AS370" i="15"/>
  <c r="AS382" i="15"/>
  <c r="AS313" i="15"/>
  <c r="AS278" i="15"/>
  <c r="AS336" i="15"/>
  <c r="AS77" i="15"/>
  <c r="AS371" i="15"/>
  <c r="AS281" i="15"/>
  <c r="AS216" i="15"/>
  <c r="AS79" i="15"/>
  <c r="AS487" i="15"/>
  <c r="AS43" i="15"/>
  <c r="AS407" i="15"/>
  <c r="AS258" i="15"/>
  <c r="AS196" i="15"/>
  <c r="AS163" i="15"/>
  <c r="AS159" i="15"/>
  <c r="AS404" i="15"/>
  <c r="AS266" i="15"/>
  <c r="AS387" i="15"/>
  <c r="AS296" i="15"/>
  <c r="AS57" i="15"/>
  <c r="AS360" i="15"/>
  <c r="AS349" i="15"/>
  <c r="AS311" i="15"/>
  <c r="AS347" i="15"/>
  <c r="AS82" i="15"/>
  <c r="AS41" i="15"/>
  <c r="AS178" i="15"/>
  <c r="AS158" i="15"/>
  <c r="AS123" i="15"/>
  <c r="AS140" i="15"/>
  <c r="AS439" i="15"/>
  <c r="AS405" i="15"/>
  <c r="AS267" i="15"/>
  <c r="AS202" i="15"/>
  <c r="AS108" i="15"/>
  <c r="AS206" i="15"/>
  <c r="AS246" i="15"/>
  <c r="AS374" i="15"/>
  <c r="AS427" i="15"/>
  <c r="AS337" i="15"/>
  <c r="AS300" i="15"/>
  <c r="AS269" i="15"/>
  <c r="AS276" i="15"/>
  <c r="AS242" i="15"/>
  <c r="AS195" i="15"/>
  <c r="AS198" i="15"/>
  <c r="AS215" i="15"/>
  <c r="AS192" i="15"/>
  <c r="AS135" i="15"/>
  <c r="AS122" i="15"/>
  <c r="AS117" i="15"/>
  <c r="AS105" i="15"/>
  <c r="AS96" i="15"/>
  <c r="AS318" i="15"/>
  <c r="AS335" i="15"/>
  <c r="AS102" i="15"/>
  <c r="AS409" i="15"/>
  <c r="AS64" i="15"/>
  <c r="AS356" i="15"/>
  <c r="AS283" i="15"/>
  <c r="AS338" i="15"/>
  <c r="AS293" i="15"/>
  <c r="AS257" i="15"/>
  <c r="AS327" i="15"/>
  <c r="AS322" i="15"/>
  <c r="AS302" i="15"/>
  <c r="AS146" i="15"/>
  <c r="AS221" i="15"/>
  <c r="AS86" i="15"/>
  <c r="AS128" i="15"/>
  <c r="AS118" i="15"/>
  <c r="AS26" i="15"/>
  <c r="AS126" i="15"/>
  <c r="AS76" i="15"/>
  <c r="AS396" i="15"/>
  <c r="AS63" i="15"/>
  <c r="AS37" i="15"/>
  <c r="AS365" i="15"/>
  <c r="AS428" i="15"/>
  <c r="AS408" i="15"/>
  <c r="AS354" i="15"/>
  <c r="AS282" i="15"/>
  <c r="AS351" i="15"/>
  <c r="AS326" i="15"/>
  <c r="AS325" i="15"/>
  <c r="AS234" i="15"/>
  <c r="AS169" i="15"/>
  <c r="AS240" i="15"/>
  <c r="AS88" i="15"/>
  <c r="AS85" i="15"/>
  <c r="AS160" i="15"/>
  <c r="AS471" i="15"/>
  <c r="AS423" i="15"/>
  <c r="AS381" i="15"/>
  <c r="AS366" i="15"/>
  <c r="AS384" i="15"/>
  <c r="AS362" i="15"/>
  <c r="AS321" i="15"/>
  <c r="AS375" i="15"/>
  <c r="AS274" i="15"/>
  <c r="AS162" i="15"/>
  <c r="AS142" i="15"/>
  <c r="AS170" i="15"/>
  <c r="AS401" i="15"/>
  <c r="AS133" i="15"/>
  <c r="AS59" i="15"/>
  <c r="AS261" i="15"/>
  <c r="AS379" i="15"/>
  <c r="AS359" i="15"/>
  <c r="AS320" i="15"/>
  <c r="AS297" i="15"/>
  <c r="AS273" i="15"/>
  <c r="AS245" i="15"/>
  <c r="AS171" i="15"/>
  <c r="AS99" i="15"/>
  <c r="AS120" i="15"/>
  <c r="AS412" i="15"/>
  <c r="AS157" i="15"/>
  <c r="AS114" i="15"/>
  <c r="AS378" i="15"/>
  <c r="AS386" i="15"/>
  <c r="AS484" i="15"/>
  <c r="AS332" i="15"/>
  <c r="AS330" i="15"/>
  <c r="AS298" i="15"/>
  <c r="AS352" i="15"/>
  <c r="AS253" i="15"/>
  <c r="AS111" i="15"/>
  <c r="AS98" i="15"/>
  <c r="AS473" i="15"/>
  <c r="AS55" i="15"/>
  <c r="AS83" i="15"/>
  <c r="AP99" i="20"/>
  <c r="AP100" i="20"/>
  <c r="AP73" i="20"/>
  <c r="AP104" i="20"/>
  <c r="AP78" i="20"/>
  <c r="AP70" i="20"/>
  <c r="AP14" i="20"/>
  <c r="AP15" i="20"/>
  <c r="AP77" i="20"/>
  <c r="AP79" i="20"/>
  <c r="AP71" i="20"/>
  <c r="AP61" i="20"/>
  <c r="AP48" i="20"/>
  <c r="AP36" i="20"/>
  <c r="AP19" i="20"/>
  <c r="AP76" i="20"/>
  <c r="AP68" i="20"/>
  <c r="AM37" i="19"/>
  <c r="AM67" i="19"/>
  <c r="AM39" i="19"/>
  <c r="AM18" i="19"/>
  <c r="AM28" i="19"/>
  <c r="AM30" i="19"/>
  <c r="AM90" i="19"/>
  <c r="AM65" i="19"/>
  <c r="AM66" i="19"/>
  <c r="AM69" i="19"/>
  <c r="AM68" i="19"/>
  <c r="AM70" i="19"/>
  <c r="AM72" i="19"/>
  <c r="AO11" i="18"/>
  <c r="AM14" i="17"/>
  <c r="AV29" i="16"/>
  <c r="AV9" i="16"/>
  <c r="AV27" i="16"/>
  <c r="AV28" i="16"/>
  <c r="AV80" i="16"/>
  <c r="AV24" i="16"/>
  <c r="AV25" i="16"/>
  <c r="AV52" i="16"/>
  <c r="AV15" i="16"/>
  <c r="AV62" i="16"/>
  <c r="AV7" i="16"/>
  <c r="AV121" i="16"/>
  <c r="AV12" i="16"/>
  <c r="AV8" i="16"/>
  <c r="AV31" i="16"/>
  <c r="AV13" i="16"/>
  <c r="AV89" i="16"/>
  <c r="AS334" i="15"/>
  <c r="AS358" i="15"/>
  <c r="AS348" i="15"/>
  <c r="AS301" i="15"/>
  <c r="AS288" i="15"/>
  <c r="AS305" i="15"/>
  <c r="AS235" i="15"/>
  <c r="AS209" i="15"/>
  <c r="AS299" i="15"/>
  <c r="AS183" i="15"/>
  <c r="AS239" i="15"/>
  <c r="AS187" i="15"/>
  <c r="AS225" i="15"/>
  <c r="AS29" i="15"/>
  <c r="AS139" i="15"/>
  <c r="AS106" i="15"/>
  <c r="AS84" i="15"/>
  <c r="AS148" i="15"/>
  <c r="AS61" i="15"/>
  <c r="AS52" i="15"/>
  <c r="AS42" i="15"/>
  <c r="AS295" i="15"/>
  <c r="AS113" i="15"/>
  <c r="AS394" i="15"/>
  <c r="AS116" i="15"/>
  <c r="AS207" i="15"/>
  <c r="AS400" i="15"/>
  <c r="AS411" i="15"/>
  <c r="AS385" i="15"/>
  <c r="AS372" i="15"/>
  <c r="AS373" i="15"/>
  <c r="AS422" i="15"/>
  <c r="AS410" i="15"/>
  <c r="AS255" i="15"/>
  <c r="AS277" i="15"/>
  <c r="AS280" i="15"/>
  <c r="AS328" i="15"/>
  <c r="AS156" i="15"/>
  <c r="AS186" i="15"/>
  <c r="AS333" i="15"/>
  <c r="AS222" i="15"/>
  <c r="AS109" i="15"/>
  <c r="AS441" i="15"/>
  <c r="AS369" i="15"/>
  <c r="AS402" i="15"/>
  <c r="AS413" i="15"/>
  <c r="AS355" i="15"/>
  <c r="AS380" i="15"/>
  <c r="AS319" i="15"/>
  <c r="AS324" i="15"/>
  <c r="AS303" i="15"/>
  <c r="AS236" i="15"/>
  <c r="AS153" i="15"/>
  <c r="AS95" i="15"/>
  <c r="AS184" i="15"/>
  <c r="AS165" i="15"/>
  <c r="AS124" i="15"/>
  <c r="AS143" i="15"/>
  <c r="AS58" i="15"/>
  <c r="AS49" i="15"/>
  <c r="AS40" i="15"/>
  <c r="AS104" i="15"/>
  <c r="AS244" i="15"/>
  <c r="AS199" i="15"/>
  <c r="AS426" i="15"/>
  <c r="AS329" i="15"/>
  <c r="AS376" i="15"/>
  <c r="AS259" i="15"/>
  <c r="AS339" i="15"/>
  <c r="AS247" i="15"/>
  <c r="AS304" i="15"/>
  <c r="AS168" i="15"/>
  <c r="AS81" i="15"/>
  <c r="AS176" i="15"/>
  <c r="AS144" i="15"/>
  <c r="AS112" i="15"/>
  <c r="AS121" i="15"/>
  <c r="AS80" i="15"/>
  <c r="AS201" i="15"/>
  <c r="AS101" i="15"/>
  <c r="AS145" i="15"/>
  <c r="AS127" i="15"/>
  <c r="AS103" i="15"/>
  <c r="AS472" i="15"/>
  <c r="AS491" i="15"/>
  <c r="AS406" i="15"/>
  <c r="AS435" i="15"/>
  <c r="AS440" i="15"/>
  <c r="AS224" i="15"/>
  <c r="AS254" i="15"/>
  <c r="AS197" i="15"/>
  <c r="AS119" i="15"/>
  <c r="AS100" i="15"/>
  <c r="AS56" i="15"/>
  <c r="AS47" i="15"/>
  <c r="AS38" i="15"/>
  <c r="AS161" i="15"/>
  <c r="AS243" i="15"/>
  <c r="AS149" i="15"/>
  <c r="AS340" i="15"/>
  <c r="AS268" i="15"/>
  <c r="AS331" i="15"/>
  <c r="AS323" i="15"/>
  <c r="AS241" i="15"/>
  <c r="AS203" i="15"/>
  <c r="AS182" i="15"/>
  <c r="AS107" i="15"/>
  <c r="AS205" i="15"/>
  <c r="AS294" i="15"/>
  <c r="AS191" i="15"/>
  <c r="AS125" i="15"/>
  <c r="AS403" i="15"/>
  <c r="AS377" i="15"/>
  <c r="AS357" i="15"/>
  <c r="AS361" i="15"/>
  <c r="AS271" i="15"/>
  <c r="AS256" i="15"/>
  <c r="AS317" i="15"/>
  <c r="AS193" i="15"/>
  <c r="AS275" i="15"/>
  <c r="AS110" i="15"/>
  <c r="AS141" i="15"/>
  <c r="AS185" i="15"/>
  <c r="AS147" i="15"/>
  <c r="AS97" i="15"/>
  <c r="AS54" i="15"/>
  <c r="AS45" i="15"/>
  <c r="AS36" i="15"/>
  <c r="AS115" i="15"/>
  <c r="AS78" i="15"/>
  <c r="T129" i="21" l="1"/>
  <c r="U128" i="21"/>
  <c r="U195" i="21"/>
  <c r="T196" i="21"/>
  <c r="U232" i="21"/>
  <c r="T233" i="21"/>
  <c r="U217" i="21"/>
  <c r="T218" i="21"/>
  <c r="T182" i="21"/>
  <c r="U181" i="21"/>
  <c r="U71" i="21"/>
  <c r="T73" i="21"/>
  <c r="U57" i="21"/>
  <c r="T59" i="21"/>
  <c r="T108" i="21"/>
  <c r="U107" i="21"/>
  <c r="T93" i="21"/>
  <c r="U92" i="21"/>
  <c r="T29" i="21"/>
  <c r="T30" i="21" s="1"/>
  <c r="T16" i="21"/>
  <c r="U15" i="21"/>
  <c r="U196" i="21" l="1"/>
  <c r="T197" i="21"/>
  <c r="U129" i="21"/>
  <c r="T130" i="21"/>
  <c r="U233" i="21"/>
  <c r="T234" i="21"/>
  <c r="U218" i="21"/>
  <c r="T219" i="21"/>
  <c r="U182" i="21"/>
  <c r="T183" i="21"/>
  <c r="T75" i="21"/>
  <c r="U75" i="21" s="1"/>
  <c r="U73" i="21"/>
  <c r="U59" i="21"/>
  <c r="T61" i="21"/>
  <c r="U61" i="21" s="1"/>
  <c r="U29" i="21"/>
  <c r="T94" i="21"/>
  <c r="U93" i="21"/>
  <c r="T109" i="21"/>
  <c r="U108" i="21"/>
  <c r="T17" i="21"/>
  <c r="U16" i="21"/>
  <c r="T31" i="21"/>
  <c r="U30" i="21"/>
  <c r="U130" i="21" l="1"/>
  <c r="T131" i="21"/>
  <c r="T198" i="21"/>
  <c r="U197" i="21"/>
  <c r="T220" i="21"/>
  <c r="U219" i="21"/>
  <c r="T235" i="21"/>
  <c r="U234" i="21"/>
  <c r="T184" i="21"/>
  <c r="U183" i="21"/>
  <c r="T110" i="21"/>
  <c r="U109" i="21"/>
  <c r="T95" i="21"/>
  <c r="U94" i="21"/>
  <c r="T32" i="21"/>
  <c r="U31" i="21"/>
  <c r="T18" i="21"/>
  <c r="U17" i="21"/>
  <c r="U198" i="21" l="1"/>
  <c r="T199" i="21"/>
  <c r="U131" i="21"/>
  <c r="T132" i="21"/>
  <c r="T236" i="21"/>
  <c r="U235" i="21"/>
  <c r="T221" i="21"/>
  <c r="U220" i="21"/>
  <c r="U184" i="21"/>
  <c r="T185" i="21"/>
  <c r="T96" i="21"/>
  <c r="U95" i="21"/>
  <c r="T111" i="21"/>
  <c r="U110" i="21"/>
  <c r="U18" i="21"/>
  <c r="T19" i="21"/>
  <c r="T33" i="21"/>
  <c r="U32" i="21"/>
  <c r="U199" i="21" l="1"/>
  <c r="T200" i="21"/>
  <c r="T133" i="21"/>
  <c r="U132" i="21"/>
  <c r="U236" i="21"/>
  <c r="T237" i="21"/>
  <c r="U221" i="21"/>
  <c r="T222" i="21"/>
  <c r="U185" i="21"/>
  <c r="T186" i="21"/>
  <c r="T97" i="21"/>
  <c r="U96" i="21"/>
  <c r="T112" i="21"/>
  <c r="U111" i="21"/>
  <c r="T34" i="21"/>
  <c r="U33" i="21"/>
  <c r="U19" i="21"/>
  <c r="T20" i="21"/>
  <c r="U133" i="21" l="1"/>
  <c r="T134" i="21"/>
  <c r="U200" i="21"/>
  <c r="T201" i="21"/>
  <c r="T223" i="21"/>
  <c r="U222" i="21"/>
  <c r="U237" i="21"/>
  <c r="T238" i="21"/>
  <c r="T187" i="21"/>
  <c r="U186" i="21"/>
  <c r="U97" i="21"/>
  <c r="T98" i="21"/>
  <c r="U112" i="21"/>
  <c r="T113" i="21"/>
  <c r="U20" i="21"/>
  <c r="T21" i="21"/>
  <c r="U34" i="21"/>
  <c r="T35" i="21"/>
  <c r="U201" i="21" l="1"/>
  <c r="T202" i="21"/>
  <c r="U202" i="21" s="1"/>
  <c r="T203" i="21"/>
  <c r="U203" i="21" s="1"/>
  <c r="T135" i="21"/>
  <c r="U135" i="21" s="1"/>
  <c r="U134" i="21"/>
  <c r="T224" i="21"/>
  <c r="U223" i="21"/>
  <c r="T239" i="21"/>
  <c r="U239" i="21" s="1"/>
  <c r="U238" i="21"/>
  <c r="U187" i="21"/>
  <c r="T188" i="21"/>
  <c r="U113" i="21"/>
  <c r="T114" i="21"/>
  <c r="U114" i="21" s="1"/>
  <c r="U98" i="21"/>
  <c r="T99" i="21"/>
  <c r="U35" i="21"/>
  <c r="T36" i="21"/>
  <c r="U36" i="21" s="1"/>
  <c r="T22" i="21"/>
  <c r="U22" i="21" s="1"/>
  <c r="U21" i="21"/>
  <c r="T225" i="21" l="1"/>
  <c r="U225" i="21" s="1"/>
  <c r="U224" i="21"/>
  <c r="T189" i="21"/>
  <c r="U189" i="21" s="1"/>
  <c r="U188" i="21"/>
  <c r="U99" i="21"/>
  <c r="T100" i="21"/>
  <c r="U100" i="21" s="1"/>
</calcChain>
</file>

<file path=xl/sharedStrings.xml><?xml version="1.0" encoding="utf-8"?>
<sst xmlns="http://schemas.openxmlformats.org/spreadsheetml/2006/main" count="17456" uniqueCount="1379">
  <si>
    <t>Design</t>
  </si>
  <si>
    <t>Mode</t>
  </si>
  <si>
    <t>IB</t>
  </si>
  <si>
    <t>PBIST</t>
  </si>
  <si>
    <t>SSA</t>
  </si>
  <si>
    <t>LSA</t>
  </si>
  <si>
    <t>ROM</t>
  </si>
  <si>
    <t>ALL</t>
  </si>
  <si>
    <t>MBIST</t>
  </si>
  <si>
    <t>COLD FB</t>
  </si>
  <si>
    <t>HOT FB</t>
  </si>
  <si>
    <t>Module</t>
  </si>
  <si>
    <t>BEGIN</t>
  </si>
  <si>
    <t>PRE</t>
  </si>
  <si>
    <t>STRESS</t>
  </si>
  <si>
    <t>POST</t>
  </si>
  <si>
    <t>END KS</t>
  </si>
  <si>
    <t>END VMAX</t>
  </si>
  <si>
    <t>END HFM</t>
  </si>
  <si>
    <t>END TFM</t>
  </si>
  <si>
    <t>END XTFM</t>
  </si>
  <si>
    <t>END</t>
  </si>
  <si>
    <t>CCF</t>
  </si>
  <si>
    <t>21/61</t>
  </si>
  <si>
    <t>CORE</t>
  </si>
  <si>
    <t>VPU</t>
  </si>
  <si>
    <t>DE_IPU</t>
  </si>
  <si>
    <t>SOC</t>
  </si>
  <si>
    <t>ATOM</t>
  </si>
  <si>
    <t>20/60</t>
  </si>
  <si>
    <t>COMMON</t>
  </si>
  <si>
    <t>Examples</t>
  </si>
  <si>
    <t>FB</t>
  </si>
  <si>
    <t>Counter</t>
  </si>
  <si>
    <t>PHEOBIN</t>
  </si>
  <si>
    <t>CoreSSAPreHvqkFailure</t>
  </si>
  <si>
    <t>Base number</t>
  </si>
  <si>
    <t>2000-2099</t>
  </si>
  <si>
    <t>2100-2199</t>
  </si>
  <si>
    <t>2200-2299</t>
  </si>
  <si>
    <t>LNC</t>
  </si>
  <si>
    <t>2300-2399</t>
  </si>
  <si>
    <t>2400-2499</t>
  </si>
  <si>
    <t>2500-2699</t>
  </si>
  <si>
    <t>eoghanTemplate</t>
  </si>
  <si>
    <t>realWorldTemplate</t>
  </si>
  <si>
    <t>Notes</t>
  </si>
  <si>
    <t>TP_BEGIN</t>
  </si>
  <si>
    <t>COMPOSITE</t>
  </si>
  <si>
    <t>COMPOSITE_BEGIN</t>
  </si>
  <si>
    <t>COMPOSITE_END</t>
  </si>
  <si>
    <t>TP_END</t>
  </si>
  <si>
    <t>mbistRepairCORE</t>
  </si>
  <si>
    <t>PrimeMbistVminSearchTestMethod</t>
  </si>
  <si>
    <t>mbistRepairSOC</t>
  </si>
  <si>
    <t>mbistPostRepair</t>
  </si>
  <si>
    <t>mbistRaster</t>
  </si>
  <si>
    <t>MbistRasterTC</t>
  </si>
  <si>
    <t>Files not setup yet</t>
  </si>
  <si>
    <t>fuseConfig</t>
  </si>
  <si>
    <t>PrimePatConfigTestMethod</t>
  </si>
  <si>
    <t>patConfig</t>
  </si>
  <si>
    <t>vminTc</t>
  </si>
  <si>
    <t>PrimeVminSearchTestMethod</t>
  </si>
  <si>
    <t>Need to update based on existing products</t>
  </si>
  <si>
    <t>vminTc_Prepost</t>
  </si>
  <si>
    <t>vminTc_1P6</t>
  </si>
  <si>
    <t>vminTc_XFM</t>
  </si>
  <si>
    <t>vminTc_SDT</t>
  </si>
  <si>
    <t>LNLVminSearch</t>
  </si>
  <si>
    <t>vminTc_VPU_REC</t>
  </si>
  <si>
    <t>LNLVminSearchF</t>
  </si>
  <si>
    <t>vminTc_VPU_REC_FLAG</t>
  </si>
  <si>
    <t>RecoveryUpdate</t>
  </si>
  <si>
    <t>hvqk</t>
  </si>
  <si>
    <t>PrimeHvqkTestMethod</t>
  </si>
  <si>
    <t>Need to compare to existing product</t>
  </si>
  <si>
    <t>hvqkEvg</t>
  </si>
  <si>
    <t>iCHVQKTest</t>
  </si>
  <si>
    <t>hvqkEvgSDT</t>
  </si>
  <si>
    <t>capturePackets</t>
  </si>
  <si>
    <t>iCCapturePacketsTest</t>
  </si>
  <si>
    <t>pbistRepair</t>
  </si>
  <si>
    <t>iCRepairTest</t>
  </si>
  <si>
    <t>pbistRepair2Fuse</t>
  </si>
  <si>
    <t>vfdmUserFunc</t>
  </si>
  <si>
    <t>iCUserFuncTest</t>
  </si>
  <si>
    <t>vfdmRun</t>
  </si>
  <si>
    <t>iCVFDMTest</t>
  </si>
  <si>
    <t>hsrPre</t>
  </si>
  <si>
    <t>iCHSRTest</t>
  </si>
  <si>
    <t>hsrPost</t>
  </si>
  <si>
    <t>pbistLsaHry</t>
  </si>
  <si>
    <t>PrimeLSARasterTestMethod</t>
  </si>
  <si>
    <t>pbistLsaRaster</t>
  </si>
  <si>
    <t>auxiliary</t>
  </si>
  <si>
    <t>AuxiliaryTC</t>
  </si>
  <si>
    <t>evgScreen</t>
  </si>
  <si>
    <t>iCScreenTest</t>
  </si>
  <si>
    <t>primeShmoo</t>
  </si>
  <si>
    <t>PrimeShmooTestMethod</t>
  </si>
  <si>
    <t>Setting up files</t>
  </si>
  <si>
    <t>primeShmoo_Stress</t>
  </si>
  <si>
    <t>DTS_Reads</t>
  </si>
  <si>
    <t>CtvTM</t>
  </si>
  <si>
    <t>vfdmSetup</t>
  </si>
  <si>
    <t>mbistRepairSetup</t>
  </si>
  <si>
    <t>pbistRepairSetup</t>
  </si>
  <si>
    <t>auxExpression</t>
  </si>
  <si>
    <t>setDff</t>
  </si>
  <si>
    <t>PrimeSetDffTestMethod</t>
  </si>
  <si>
    <t>aux_recovery</t>
  </si>
  <si>
    <t>FUNC</t>
  </si>
  <si>
    <t>PrimeFunctionalTestMethod</t>
  </si>
  <si>
    <t>MODULE 1</t>
  </si>
  <si>
    <t>TEST NAME 1</t>
  </si>
  <si>
    <t>MODULE 2</t>
  </si>
  <si>
    <t>TEST NAME 2</t>
  </si>
  <si>
    <t>COUNTER</t>
  </si>
  <si>
    <t>USED COUNTERS</t>
  </si>
  <si>
    <t>arr_ccf</t>
  </si>
  <si>
    <t>ALL_CCF_HVQK_K_STRESS_TITO_CLRS_MAX_LFM_1200_CBO</t>
  </si>
  <si>
    <t>arr_vpu</t>
  </si>
  <si>
    <t>LSA_VPU_HVQK_E_STRESS_TITO_VPU_NOM_LFM_1900_TILE0</t>
  </si>
  <si>
    <t>ALL_CCF_HVQK_K_STRESS_TITO_CLRS_MAX_LFM_1200_SBO</t>
  </si>
  <si>
    <t>LSA_VPU_HVQK_E_STRESS_TITO_VPU_NOM_LFM_1900_TILE1</t>
  </si>
  <si>
    <t>SSA_CCF_HVQK_K_STRESS_TITO_SAN_MAX_LFM_1200_PMA</t>
  </si>
  <si>
    <t>LSA_VPU_HVQK_E_STRESS_TITO_VPU_NOM_LFM_1900_TILE2</t>
  </si>
  <si>
    <t>ALL_CCF_SHMOO_E_STRESS_TITO_CLRS_MAX_LFM_1200_CBO</t>
  </si>
  <si>
    <t>LSA_VPU_HVQK_E_STRESS_TITO_VPU_NOM_LFM_1900_TILE3</t>
  </si>
  <si>
    <t>ALL_CCF_SHMOO_E_STRESS_TITO_CLRS_MAX_LFM_1200_SBO</t>
  </si>
  <si>
    <t>LSA_VPU_HVQK_E_STRESS_TITO_VPU_NOM_LFM_1900_TILE4</t>
  </si>
  <si>
    <t>SSA_CCF_SHMOO_E_STRESS_TITO_SAN_MAX_LFM_1200_PMA</t>
  </si>
  <si>
    <t>LSA_VPU_HVQK_E_STRESS_TITO_VPU_NOM_LFM_1900_TILE5</t>
  </si>
  <si>
    <t>arr_core</t>
  </si>
  <si>
    <t>XSA_CORE_HVQK_K_STRESS_TITO_CRSA_NOM_LFM_1500_MCLK</t>
  </si>
  <si>
    <t>SSA_VPU_HVQK_E_STRESS_TITO_VPU_NOM_LFM_1900_TILE0</t>
  </si>
  <si>
    <t>SSA_CORE_HVQK_K_STRESS_TITO_SAN_NOM_LFM_1500_PMUCS_SBCLK</t>
  </si>
  <si>
    <t>SSA_VPU_HVQK_E_STRESS_TITO_VPU_NOM_LFM_1900_TILE1</t>
  </si>
  <si>
    <t>XSA_CORE_SHMOO_E_STRESS_TITO_CRSA_NOM_LFM_1500_MCLK</t>
  </si>
  <si>
    <t>SSA_VPU_HVQK_E_STRESS_TITO_VPU_NOM_LFM_1900_TILE2</t>
  </si>
  <si>
    <t>SSA_CORE_SHMOO_E_STRESS_TITO_SAN_NOM_LFM_1500_PMUCS_SBCLK</t>
  </si>
  <si>
    <t>SSA_VPU_HVQK_E_STRESS_TITO_VPU_NOM_LFM_1900_TILE3</t>
  </si>
  <si>
    <t>CTRL_X_AUX_E_STRESS_X_X_X_X_SSA_VPU0</t>
  </si>
  <si>
    <t>CTRL_X_AUX_K_POSTHVQK_X_X_X_X_LSA_VPU0</t>
  </si>
  <si>
    <t>LSA_VPU_VMIN_K_POSTHVQK_TITO_VPU_NOM_LFM_1900_CPU</t>
  </si>
  <si>
    <t>LSA_VPU_VMIN_K_SDTEND_TITO_VPU_NOM_LFM_1900_CPU</t>
  </si>
  <si>
    <t>LSA_VPU_VMIN_K_POSTHVQK_TITO_VPU_NOM_LFM_1900_BTR</t>
  </si>
  <si>
    <t>LSA_VPU_VMIN_K_SDTEND_TITO_VPU_NOM_LFM_1900_BTR</t>
  </si>
  <si>
    <t>SSA_VPU_VMIN_K_POSTHVQK_TITO_VPU_NOM_LFM_1900_CPU</t>
  </si>
  <si>
    <t>SSA_VPU_VMIN_K_SDTEND_TITO_VPU_NOM_LFM_1900_CPU</t>
  </si>
  <si>
    <t>Flow</t>
  </si>
  <si>
    <t>Template</t>
  </si>
  <si>
    <t>TemplateLookup</t>
  </si>
  <si>
    <t>TestName</t>
  </si>
  <si>
    <t>IP</t>
  </si>
  <si>
    <t>TestType</t>
  </si>
  <si>
    <t>EdcKill</t>
  </si>
  <si>
    <t>DFT</t>
  </si>
  <si>
    <t>PowerRail</t>
  </si>
  <si>
    <t>VoltageCorner</t>
  </si>
  <si>
    <t>FreqCorner</t>
  </si>
  <si>
    <t>FreqNum</t>
  </si>
  <si>
    <t>NameEnding</t>
  </si>
  <si>
    <t>Levels</t>
  </si>
  <si>
    <t>Timings</t>
  </si>
  <si>
    <t>plist</t>
  </si>
  <si>
    <t>bypassGlobal</t>
  </si>
  <si>
    <t>killEnabled</t>
  </si>
  <si>
    <t>Supply</t>
  </si>
  <si>
    <t>TestMode</t>
  </si>
  <si>
    <t>BisrMode</t>
  </si>
  <si>
    <t>StartVoltage</t>
  </si>
  <si>
    <t>EndVoltage</t>
  </si>
  <si>
    <t>printToItuff</t>
  </si>
  <si>
    <t>iTuffExt</t>
  </si>
  <si>
    <t>ScreenTestSet</t>
  </si>
  <si>
    <t>ScreenTestFile</t>
  </si>
  <si>
    <t>VFDM</t>
  </si>
  <si>
    <t>VFDMToken</t>
  </si>
  <si>
    <t>SetPoint</t>
  </si>
  <si>
    <t>RegEx</t>
  </si>
  <si>
    <t>postinstance</t>
  </si>
  <si>
    <t>Expression</t>
  </si>
  <si>
    <t>resultToken</t>
  </si>
  <si>
    <t>TokenName</t>
  </si>
  <si>
    <t>TokenValue</t>
  </si>
  <si>
    <t>jsonPatConfig</t>
  </si>
  <si>
    <t>jsonSetPoint</t>
  </si>
  <si>
    <t>SetPointsPlistMode</t>
  </si>
  <si>
    <t>SetPointsPreInstance</t>
  </si>
  <si>
    <t>portCount</t>
  </si>
  <si>
    <t>passPorts</t>
  </si>
  <si>
    <t>Port0</t>
  </si>
  <si>
    <t>Port1</t>
  </si>
  <si>
    <t>Port2</t>
  </si>
  <si>
    <t>Port3</t>
  </si>
  <si>
    <t>Port4</t>
  </si>
  <si>
    <t>Port5</t>
  </si>
  <si>
    <t>Port6</t>
  </si>
  <si>
    <t>Port7</t>
  </si>
  <si>
    <t>Port8</t>
  </si>
  <si>
    <t>Port9</t>
  </si>
  <si>
    <t>TP</t>
  </si>
  <si>
    <t>INIT</t>
  </si>
  <si>
    <t>XSA</t>
  </si>
  <si>
    <t>SCREEN</t>
  </si>
  <si>
    <t>E</t>
  </si>
  <si>
    <t>X</t>
  </si>
  <si>
    <t>RESET</t>
  </si>
  <si>
    <t>REPAIR_GSDS</t>
  </si>
  <si>
    <t>BASE::x</t>
  </si>
  <si>
    <t>x</t>
  </si>
  <si>
    <t>ResetRepairGSDS</t>
  </si>
  <si>
    <t>./Modules/ARR_COMMON/InputFiles/ResetGSDSTest.txt</t>
  </si>
  <si>
    <t>CTRL</t>
  </si>
  <si>
    <t>SSKTR</t>
  </si>
  <si>
    <t>SSKTR_CORE0</t>
  </si>
  <si>
    <t>1,2</t>
  </si>
  <si>
    <t>SCORE0R</t>
  </si>
  <si>
    <t>SCORE0R_CORE0</t>
  </si>
  <si>
    <t>SCORE1R</t>
  </si>
  <si>
    <t>SCORE1R_CORE0</t>
  </si>
  <si>
    <t>SCORE2R</t>
  </si>
  <si>
    <t>SCORE2R_CORE0</t>
  </si>
  <si>
    <t>SCORE3R</t>
  </si>
  <si>
    <t>SCORE3R_CORE0</t>
  </si>
  <si>
    <t>SMEMSSR</t>
  </si>
  <si>
    <t>SMEMSSR_CORE0</t>
  </si>
  <si>
    <t>SDFXR</t>
  </si>
  <si>
    <t>SDFXR_CORE0</t>
  </si>
  <si>
    <t>SDISPR</t>
  </si>
  <si>
    <t>SDISPR_CORE0</t>
  </si>
  <si>
    <t>SGTR</t>
  </si>
  <si>
    <t>SGTR_CORE0</t>
  </si>
  <si>
    <t>SIAXR</t>
  </si>
  <si>
    <t>SIAXR_CORE0</t>
  </si>
  <si>
    <t>SIPUR</t>
  </si>
  <si>
    <t>SIPUR_CORE0</t>
  </si>
  <si>
    <t>SCBO0R</t>
  </si>
  <si>
    <t>SCBO0R_CORE0</t>
  </si>
  <si>
    <t>SCBO1R</t>
  </si>
  <si>
    <t>SCBO1R_CORE0</t>
  </si>
  <si>
    <t>SMEDIAR</t>
  </si>
  <si>
    <t>SMEDIAR_CORE0</t>
  </si>
  <si>
    <t>SHBO0R</t>
  </si>
  <si>
    <t>SHBO0R_CORE0</t>
  </si>
  <si>
    <t>SHBO1R</t>
  </si>
  <si>
    <t>SHBO1R_CORE0</t>
  </si>
  <si>
    <t>SVPUR</t>
  </si>
  <si>
    <t>SVPUR_CORE0</t>
  </si>
  <si>
    <t>GFX</t>
  </si>
  <si>
    <t>PATMOD</t>
  </si>
  <si>
    <t>K</t>
  </si>
  <si>
    <t>IPU_WAITSTAGE</t>
  </si>
  <si>
    <t>ARR_COMMON/InputFiles/IPU_WaitStage.setpoints.json</t>
  </si>
  <si>
    <t>SetPoint1</t>
  </si>
  <si>
    <t>Global</t>
  </si>
  <si>
    <t>REP_SETUP</t>
  </si>
  <si>
    <t>FUSECONFIG</t>
  </si>
  <si>
    <t>TITO</t>
  </si>
  <si>
    <t>REPAIR</t>
  </si>
  <si>
    <t>VFDM_RESET</t>
  </si>
  <si>
    <t>(LNL_pre.*Marr.*)|(LNL_pre.*MAarr.*)|(LNL_pre.*Mgt.*)|(LNL_pre.*fun.*)</t>
  </si>
  <si>
    <t>REPAIR_DFF</t>
  </si>
  <si>
    <t>ResetRepairDFF</t>
  </si>
  <si>
    <t>./Modules/ARR_COMMON/InputFiles/ResetDFFTest.txt</t>
  </si>
  <si>
    <t>BASE::SBF_nom_lvl</t>
  </si>
  <si>
    <t>BASE::cpu_ctf_timing_tclk100_cclk100_bclk400</t>
  </si>
  <si>
    <t>array_mbist_soc_begin_tito_hbo0_bp2_ssa_bhry_list</t>
  </si>
  <si>
    <t>VCCIA_HC</t>
  </si>
  <si>
    <t>HRY</t>
  </si>
  <si>
    <t>uncompress</t>
  </si>
  <si>
    <t>1,2,3,4</t>
  </si>
  <si>
    <t>1,2,3,4,5</t>
  </si>
  <si>
    <t>endRepSetup</t>
  </si>
  <si>
    <t>REPAIRABLE</t>
  </si>
  <si>
    <t>CCF_REPAIRABLE</t>
  </si>
  <si>
    <t>RESET_FREQ</t>
  </si>
  <si>
    <t>ARR_COMMON/InputFiles/dummy.setpoints.json</t>
  </si>
  <si>
    <t>Dummy</t>
  </si>
  <si>
    <t>ARR_CCF:core_ratio:0.5GHz,ARR_CCF:ring_ratio:0.5GHz,ARR_CCF:ring_subrutine:0.5GHz</t>
  </si>
  <si>
    <t>CCF_BISR</t>
  </si>
  <si>
    <t>CLRS</t>
  </si>
  <si>
    <t>NOM</t>
  </si>
  <si>
    <t>LFM</t>
  </si>
  <si>
    <t>CBO0_LLC_DAT_BISR_PMA0_BP0</t>
  </si>
  <si>
    <t>ARR_COMMON::cpu_ctf_timing_tclk100_cclk100_bclk400_12p5ns_ccf</t>
  </si>
  <si>
    <t>array_mbist_soc_begin_tito_pma0_bp0_bira_list</t>
  </si>
  <si>
    <t>RASTER</t>
  </si>
  <si>
    <t>CBO0_LLC_DAT_RASTER</t>
  </si>
  <si>
    <t>rast</t>
  </si>
  <si>
    <t>CBO0_LLC_TAG_BISR_PMA0_BP2</t>
  </si>
  <si>
    <t>array_mbist_soc_begin_tito_pma0_bp2_bira_list</t>
  </si>
  <si>
    <t>CBO0_LLC_TAG_RASTER</t>
  </si>
  <si>
    <t>SAN</t>
  </si>
  <si>
    <t>CBO0_SAR_BISR_PMA0_BP6</t>
  </si>
  <si>
    <t>array_mbist_soc_begin_tito_pma0_bp6_bira_list</t>
  </si>
  <si>
    <t>VCCSA_HC</t>
  </si>
  <si>
    <t>CBO0_SAR_RASTER</t>
  </si>
  <si>
    <t>CLR</t>
  </si>
  <si>
    <t>CBO0_LSA_ALL_PMA0_BP4</t>
  </si>
  <si>
    <t>array_mbist_soc_begin_tito_pma0_bp4_bira_list</t>
  </si>
  <si>
    <t>CBO0_LSA_ALL_STEP0</t>
  </si>
  <si>
    <t>array_mbist_soc_rastersar_tito_lsa_cbo0_par_0_list</t>
  </si>
  <si>
    <t>CBO0_LSA_ALL_STEP1</t>
  </si>
  <si>
    <t>array_mbist_soc_rastersar_tito_lsa_cbo0_par_1_list</t>
  </si>
  <si>
    <t>CBO1_LLC_DAT_BISR_PMA0_BP1</t>
  </si>
  <si>
    <t>array_mbist_soc_begin_tito_pma0_bp1_bira_list</t>
  </si>
  <si>
    <t>CBO1_LLC_DAT_RASTER</t>
  </si>
  <si>
    <t>CBO1_LLC_TAG_BISR_PMA0_BP3</t>
  </si>
  <si>
    <t>array_mbist_soc_begin_tito_pma0_bp3_bira_list</t>
  </si>
  <si>
    <t>CBO1_LLC_TAG_RASTER</t>
  </si>
  <si>
    <t>CBO1_LSA_ALL_PMA0_BP5</t>
  </si>
  <si>
    <t>array_mbist_soc_begin_tito_pma0_bp5_bira_list</t>
  </si>
  <si>
    <t>CBO1_LSA_ALL_STEP0</t>
  </si>
  <si>
    <t>array_mbist_soc_rastersar_tito_lsa_cbo1_par_0_list</t>
  </si>
  <si>
    <t>CBO1_LSA_ALL_STEP1</t>
  </si>
  <si>
    <t>array_mbist_soc_rastersar_tito_lsa_cbo1_par_1_list</t>
  </si>
  <si>
    <t>CBO2_LLC_DAT_BISR_PMA1_BP0</t>
  </si>
  <si>
    <t>array_mbist_soc_begin_tito_pma1_bp0_bira_list</t>
  </si>
  <si>
    <t>CBO2_LLC_DAT_RASTER</t>
  </si>
  <si>
    <t>CBO2_LLC_TAG_BISR_PMA1_BP2</t>
  </si>
  <si>
    <t>array_mbist_soc_begin_tito_pma1_bp2_bira_list</t>
  </si>
  <si>
    <t>CBO2_LLC_TAG_RASTER</t>
  </si>
  <si>
    <t>CBO2_SAR_BISR_PMA1_BP6</t>
  </si>
  <si>
    <t>array_mbist_soc_begin_tito_pma1_bp6_bira_list</t>
  </si>
  <si>
    <t>CBO2_SAR_RASTER</t>
  </si>
  <si>
    <t>CBO2_LSA_ALL_PMA1_BP4</t>
  </si>
  <si>
    <t>array_mbist_soc_begin_tito_pma1_bp4_bira_list</t>
  </si>
  <si>
    <t>CBO2_LSA_ALL_STEP0</t>
  </si>
  <si>
    <t>array_mbist_soc_rastersar_tito_lsa_cbo2_par_0_list</t>
  </si>
  <si>
    <t>CBO2_LSA_ALL_STEP1</t>
  </si>
  <si>
    <t>array_mbist_soc_rastersar_tito_lsa_cbo2_par_1_list</t>
  </si>
  <si>
    <t>CBO3_LLC_DAT_BISR_PMA1_BP1</t>
  </si>
  <si>
    <t>array_mbist_soc_begin_tito_pma1_bp1_bira_list</t>
  </si>
  <si>
    <t>CBO3_LLC_DAT_RASTER</t>
  </si>
  <si>
    <t>CBO3_LLC_TAG_BISR_PMA1_BP3</t>
  </si>
  <si>
    <t>array_mbist_soc_begin_tito_pma1_bp3_bira_list</t>
  </si>
  <si>
    <t>CBO3_LLC_TAG_RASTER</t>
  </si>
  <si>
    <t>CBO3_LSA_ALL_PMA1_BP5</t>
  </si>
  <si>
    <t>array_mbist_soc_begin_tito_pma1_bp5_bira_list</t>
  </si>
  <si>
    <t>CBO3_LSA_ALL_STEP0</t>
  </si>
  <si>
    <t>array_mbist_soc_rastersar_tito_lsa_cbo3_par_0_list</t>
  </si>
  <si>
    <t>CBO3_LSA_ALL_STEP1</t>
  </si>
  <si>
    <t>array_mbist_soc_rastersar_tito_lsa_cbo3_par_1_list</t>
  </si>
  <si>
    <t>endCcfBisr</t>
  </si>
  <si>
    <t>CCF_VFDM</t>
  </si>
  <si>
    <t>JOIN_BISR</t>
  </si>
  <si>
    <t>array_pbist_hry_tito_atom_direct_lsa_list</t>
  </si>
  <si>
    <t>CombineGSDSccf</t>
  </si>
  <si>
    <t>./Modules/ARR_COMMON/InputFiles/CombineGSDSccf.txt</t>
  </si>
  <si>
    <t>SCBO0R,SCBO1R</t>
  </si>
  <si>
    <t>UF</t>
  </si>
  <si>
    <t>VFDM_UF</t>
  </si>
  <si>
    <t>LNL_pre.*0I0r_Marr_.*</t>
  </si>
  <si>
    <t>GSDS_UF!SetGSDS G.U.S.DEFECTREPAIR_MBIST=1</t>
  </si>
  <si>
    <t>MAX</t>
  </si>
  <si>
    <t>VFDM_SORT</t>
  </si>
  <si>
    <t>endCcfVfdn</t>
  </si>
  <si>
    <t>CCF_POST_REPAIR</t>
  </si>
  <si>
    <t>CBO0_LLC_DAT_POST_REPAIR_PMA0_BP0</t>
  </si>
  <si>
    <t>array_mbist_soc_begin_tito_pma0_bp0_bhry_list</t>
  </si>
  <si>
    <t>PostRepair</t>
  </si>
  <si>
    <t>CBO0_LLC_TAG_POST_REPAIR_PMA0_BP2</t>
  </si>
  <si>
    <t>array_mbist_soc_begin_tito_pma0_bp2_bhry_list</t>
  </si>
  <si>
    <t>CBO0_SAR_POST_REPAIR_PMA0_BP6</t>
  </si>
  <si>
    <t>array_mbist_soc_begin_tito_pma0_bp6_bhry_list</t>
  </si>
  <si>
    <t>CBO0_LSA_ALL_POST_REPAIR_PMA0_BP4</t>
  </si>
  <si>
    <t>array_mbist_soc_begin_tito_pma0_bp4_bhry_list</t>
  </si>
  <si>
    <t>CBO1_LLC_DAT_POST_REPAIR_PMA0_BP1</t>
  </si>
  <si>
    <t>array_mbist_soc_begin_tito_pma0_bp1_bhry_list</t>
  </si>
  <si>
    <t>CBO1_LLC_TAG_POST_REPAIR_PMA0_BP3</t>
  </si>
  <si>
    <t>array_mbist_soc_begin_tito_pma0_bp3_bhry_list</t>
  </si>
  <si>
    <t>CBO1_LSA_ALL_POST_REPAIR_PMA0_BP5</t>
  </si>
  <si>
    <t>array_mbist_soc_begin_tito_pma0_bp5_bhry_list</t>
  </si>
  <si>
    <t>CBO2_LLC_DAT_POST_REPAIR_PMA1_BP0</t>
  </si>
  <si>
    <t>array_mbist_soc_begin_tito_pma1_bp0_bhry_list</t>
  </si>
  <si>
    <t>CBO2_LLC_TAG_POST_REPAIR_PMA1_BP2</t>
  </si>
  <si>
    <t>array_mbist_soc_begin_tito_pma1_bp2_bhry_list</t>
  </si>
  <si>
    <t>CBO2_SAR_POST_REPAIR_PMA1_BP6</t>
  </si>
  <si>
    <t>array_mbist_soc_begin_tito_pma1_bp6_bhry_list</t>
  </si>
  <si>
    <t>CBO2_LSA_ALL_POST_REPAIR_PMA1_BP4</t>
  </si>
  <si>
    <t>array_mbist_soc_begin_tito_pma1_bp4_bhry_list</t>
  </si>
  <si>
    <t>CBO3_LLC_DAT_POST_REPAIR_PMA1_BP1</t>
  </si>
  <si>
    <t>array_mbist_soc_begin_tito_pma1_bp1_bhry_list</t>
  </si>
  <si>
    <t>CBO3_LLC_TAG_POST_REPAIR_PMA1_BP3</t>
  </si>
  <si>
    <t>array_mbist_soc_begin_tito_pma1_bp3_bhry_list</t>
  </si>
  <si>
    <t>CBO3_LSA_ALL_POST_REPAIR_PMA1_BP5</t>
  </si>
  <si>
    <t>array_mbist_soc_begin_tito_pma1_bp5_bhry_list</t>
  </si>
  <si>
    <t>endCcfPostRep</t>
  </si>
  <si>
    <t>endCcfRep</t>
  </si>
  <si>
    <t>GFX_REPAIRABLE</t>
  </si>
  <si>
    <t>DE:display_clk:312MHz,IPU:ps_clk:200MHz,IPU:is_clk:200MHz,IPU:ratio_modify:0.2GHz,MEDIA:media_clk:400MHz</t>
  </si>
  <si>
    <t>DE_BISR</t>
  </si>
  <si>
    <t>SACD</t>
  </si>
  <si>
    <t>DISP0_BHRY_DEBS_BP0</t>
  </si>
  <si>
    <t>BASE::cpu_ctf_timing_tclk100_cclk200_bclk400</t>
  </si>
  <si>
    <t>array_mbist_soc_begin_tito_debs_bp0_ssa_bhry_list</t>
  </si>
  <si>
    <t>DISP0_BISR_DEBS_BP0</t>
  </si>
  <si>
    <t>array_mbist_soc_begin_tito_debs_bp0_ssa_bira_list</t>
  </si>
  <si>
    <t>RepShareBira</t>
  </si>
  <si>
    <t>DISP0_RASTER_DEBS_BP0</t>
  </si>
  <si>
    <t>DISP1_BHRY_DEBS_BP1</t>
  </si>
  <si>
    <t>array_mbist_soc_begin_tito_debs_bp1_ssa_bhry_list</t>
  </si>
  <si>
    <t>DISP1_BISR_DEBS_BP1</t>
  </si>
  <si>
    <t>array_mbist_soc_begin_tito_debs_bp1_ssa_bira_list</t>
  </si>
  <si>
    <t>DISP1_RASTER_DEBS_BP1</t>
  </si>
  <si>
    <t>DISP2_BHRY_DEBS_BP2</t>
  </si>
  <si>
    <t>array_mbist_soc_begin_tito_debs_bp2_ssa_bhry_list</t>
  </si>
  <si>
    <t>DISP2_BISR_DEBS_BP2</t>
  </si>
  <si>
    <t>array_mbist_soc_begin_tito_debs_bp2_ssa_bira_list</t>
  </si>
  <si>
    <t>DISP2_RASTER_DEBS_BP2</t>
  </si>
  <si>
    <t>DISP3_BHRY_DEBS_BP3</t>
  </si>
  <si>
    <t>array_mbist_soc_begin_tito_debs_bp3_ssa_bhry_list</t>
  </si>
  <si>
    <t>DISP3_BISR_DEBS_BP3</t>
  </si>
  <si>
    <t>array_mbist_soc_begin_tito_debs_bp3_ssa_bira_list</t>
  </si>
  <si>
    <t>DISP3_RASTER_DEBS_BP3</t>
  </si>
  <si>
    <t>DISP4_BHRY_DEBS_BP4</t>
  </si>
  <si>
    <t>array_mbist_soc_begin_tito_debs_bp4_ssa_bhry_list</t>
  </si>
  <si>
    <t>DISP4_BISR_DEBS_BP4</t>
  </si>
  <si>
    <t>array_mbist_soc_begin_tito_debs_bp4_ssa_bira_list</t>
  </si>
  <si>
    <t>DISP4_RASTER_DEBS_BP4</t>
  </si>
  <si>
    <t>DISP5_BHRY_DEBS_BP5</t>
  </si>
  <si>
    <t>array_mbist_soc_begin_tito_debs_bp5_ssa_bhry_list</t>
  </si>
  <si>
    <t>DISP5_BISR_DEBS_BP5</t>
  </si>
  <si>
    <t>array_mbist_soc_begin_tito_debs_bp5_ssa_bira_list</t>
  </si>
  <si>
    <t>DISP5_RASTER_DEBS_BP5</t>
  </si>
  <si>
    <t>array_mbist_soc_begin_tito_debs_bp0_lsa_bhry_list</t>
  </si>
  <si>
    <t>array_mbist_soc_begin_tito_debs_bp0_lsa_bira_list</t>
  </si>
  <si>
    <t>array_mbist_soc_begin_tito_debs_bp1_lsa_bhry_list</t>
  </si>
  <si>
    <t>array_mbist_soc_begin_tito_debs_bp1_lsa_bira_list</t>
  </si>
  <si>
    <t>array_mbist_soc_begin_tito_debs_bp2_lsa_bhry_list</t>
  </si>
  <si>
    <t>array_mbist_soc_begin_tito_debs_bp2_lsa_bira_list</t>
  </si>
  <si>
    <t>array_mbist_soc_begin_tito_debs_bp3_lsa_bhry_list</t>
  </si>
  <si>
    <t>array_mbist_soc_begin_tito_debs_bp3_lsa_bira_list</t>
  </si>
  <si>
    <t>array_mbist_soc_begin_tito_debs_bp4_lsa_bhry_list</t>
  </si>
  <si>
    <t>array_mbist_soc_begin_tito_debs_bp4_lsa_bira_list</t>
  </si>
  <si>
    <t>array_mbist_soc_begin_tito_debs_bp5_lsa_bhry_list</t>
  </si>
  <si>
    <t>array_mbist_soc_begin_tito_debs_bp5_lsa_bira_list</t>
  </si>
  <si>
    <t>endDeBisr</t>
  </si>
  <si>
    <t>DE_VFDM</t>
  </si>
  <si>
    <t>0320</t>
  </si>
  <si>
    <t>JOIN_BISR_DE</t>
  </si>
  <si>
    <t>lnl_dummy_list</t>
  </si>
  <si>
    <t>CombineGSDSgfxDe</t>
  </si>
  <si>
    <t>./Modules/ARR_COMMON/InputFiles/CombineGSDSgfx.txt</t>
  </si>
  <si>
    <t>DISP_VFDM_UF</t>
  </si>
  <si>
    <t>DISP_REPAIR</t>
  </si>
  <si>
    <t>LNL_pre.*0n0t_Marr_.*</t>
  </si>
  <si>
    <t>endDeVfdm</t>
  </si>
  <si>
    <t>DE_POST_REPAIR</t>
  </si>
  <si>
    <t>DISP0_POSTREP_DEBS_BP0</t>
  </si>
  <si>
    <t>DISP1_POSTREP_DEBS_BP1</t>
  </si>
  <si>
    <t>DISP2_POSTREP_DEBS_BP2</t>
  </si>
  <si>
    <t>DISP3_POSTREP_DEBS_BP3</t>
  </si>
  <si>
    <t>DISP4_POSTREP_DEBS_BP4</t>
  </si>
  <si>
    <t>DISP5_POSTREP_DEBS_BP5</t>
  </si>
  <si>
    <t>endDePostRep</t>
  </si>
  <si>
    <t>IPU_BISR</t>
  </si>
  <si>
    <t>SAPS</t>
  </si>
  <si>
    <t>0200</t>
  </si>
  <si>
    <t>IPU0_BHRY_BTRS_BP5</t>
  </si>
  <si>
    <t>array_mbist_soc_begin_tito_btrs_bp5_ssa_bhry_list</t>
  </si>
  <si>
    <t>IPU0_BISR_BTRS_BP5</t>
  </si>
  <si>
    <t>array_mbist_soc_begin_tito_btrs_bp5_ssa_bira_list</t>
  </si>
  <si>
    <t>IPU0_RASTER_BTRS_BP5</t>
  </si>
  <si>
    <t>IPU1_BHRY_BTRS_BP6</t>
  </si>
  <si>
    <t>array_mbist_soc_begin_tito_btrs_bp6_ssa_bhry_list</t>
  </si>
  <si>
    <t>IPU1_BISR_BTRS_BP6</t>
  </si>
  <si>
    <t>array_mbist_soc_begin_tito_btrs_bp6_ssa_bira_list</t>
  </si>
  <si>
    <t>IPU1_RASTER_BTRS_BP6</t>
  </si>
  <si>
    <t>IPU2_BHRY_BTRS_BP3</t>
  </si>
  <si>
    <t>array_mbist_soc_begin_tito_btrs_bp3_ssa_bhry_list</t>
  </si>
  <si>
    <t>IPU2_BISR_BTRS_BP3</t>
  </si>
  <si>
    <t>array_mbist_soc_begin_tito_btrs_bp3_ssa_bira_list</t>
  </si>
  <si>
    <t>IPU2_RASTER_BTRS_BP3</t>
  </si>
  <si>
    <t>IPU_BUTTRESS_BHRY_BTRS_BP4</t>
  </si>
  <si>
    <t>array_mbist_soc_begin_tito_btrs_bp4_lsa_bhry_list</t>
  </si>
  <si>
    <t>IPU_BUTTRESS_BISR_BTRS_BP4</t>
  </si>
  <si>
    <t>array_mbist_soc_begin_tito_btrs_bp4_lsa_bira_list</t>
  </si>
  <si>
    <t>IPU_BUTTRESS_RASTER_BTRS_BP4</t>
  </si>
  <si>
    <t>array_mbist_soc_begin_tito_btrs_bp5_lsa_bhry_list</t>
  </si>
  <si>
    <t>array_mbist_soc_begin_tito_btrs_bp5_lsa_bira_list</t>
  </si>
  <si>
    <t>array_mbist_soc_rastersar_tito_lsa_bffa_par_list</t>
  </si>
  <si>
    <t>array_mbist_soc_begin_tito_btrs_bp6_lsa_bhry_list</t>
  </si>
  <si>
    <t>array_mbist_soc_begin_tito_btrs_bp6_lsa_bira_list</t>
  </si>
  <si>
    <t>array_mbist_soc_begin_tito_btrs_bp3_lsa_bhry_list</t>
  </si>
  <si>
    <t>array_mbist_soc_begin_tito_btrs_bp3_lsa_bira_list</t>
  </si>
  <si>
    <t>endIpuBisr</t>
  </si>
  <si>
    <t>IPU_VFDM</t>
  </si>
  <si>
    <t>JOIN_BISR_IPU</t>
  </si>
  <si>
    <t>CombineGSDSgfxIpu</t>
  </si>
  <si>
    <t>IPU_VFDM_UF</t>
  </si>
  <si>
    <t>IPU_REPAIR</t>
  </si>
  <si>
    <t>LNL_pre.*0o0b_Marr_.*</t>
  </si>
  <si>
    <t>endIpuVfdm</t>
  </si>
  <si>
    <t>IPU_POST_REPAIR</t>
  </si>
  <si>
    <t>IPU0_POST_REPAIR_BTRS_BP5</t>
  </si>
  <si>
    <t>IPU1_POST_REPAIR_BTRS_BP6</t>
  </si>
  <si>
    <t>IPU2_POST_REPAIR_BTRS_BP3</t>
  </si>
  <si>
    <t>IPU_BUTTRESS_POST_REPAIR_BTRS_BP4</t>
  </si>
  <si>
    <t>endIpuPostRep</t>
  </si>
  <si>
    <t>MEDIA_BISR</t>
  </si>
  <si>
    <t>SAME</t>
  </si>
  <si>
    <t>MEDIA1_BHRY_BP1</t>
  </si>
  <si>
    <t>array_mbist_soc_begin_tito_bisr_bp1_ssa_bhry_list</t>
  </si>
  <si>
    <t>MEDIA1_BISR_BISR_BP1</t>
  </si>
  <si>
    <t>array_mbist_soc_begin_tito_bisr_bp1_ssa_bira_list</t>
  </si>
  <si>
    <t>MEDIA1_RASTER_BISR_BP1</t>
  </si>
  <si>
    <t>MEDIA3_BHRY_BP3</t>
  </si>
  <si>
    <t>array_mbist_soc_begin_tito_bisr_bp3_ssa_bhry_list</t>
  </si>
  <si>
    <t>MEDIA3_BISR_BISR_BP3</t>
  </si>
  <si>
    <t>array_mbist_soc_begin_tito_bisr_bp3_ssa_bira_list</t>
  </si>
  <si>
    <t>MEDIA3_RASTER_BISR_BP3</t>
  </si>
  <si>
    <t>MEDIA0_BHRY_BP0</t>
  </si>
  <si>
    <t>array_mbist_soc_begin_tito_bisr_bp0_lsa_bhry_list</t>
  </si>
  <si>
    <t>MEDIA0_BISR_BISR_BP0</t>
  </si>
  <si>
    <t>array_mbist_soc_begin_tito_bisr_bp0_lsa_bira_list</t>
  </si>
  <si>
    <t>MEDIA0_RASTER_BISR_BP0_MDH4</t>
  </si>
  <si>
    <t>array_mbist_soc_rastersar_tito_lsa_mdh4_par_list</t>
  </si>
  <si>
    <t>MEDIA0_RASTER_BISR_BP0_MDC1</t>
  </si>
  <si>
    <t>array_mbist_soc_rastersar_tito_lsa_mdc1_par_list</t>
  </si>
  <si>
    <t>array_mbist_soc_begin_tito_bisr_bp1_lsa_bhry_list</t>
  </si>
  <si>
    <t>array_mbist_soc_begin_tito_bisr_bp1_lsa_bira_list</t>
  </si>
  <si>
    <t>MEDIA1_RASTER_BISR_BP1_MDH4</t>
  </si>
  <si>
    <t>MEDIA1_RASTER_BISR_BP1_MDC1</t>
  </si>
  <si>
    <t>MEDIA2_BHRY_BP2</t>
  </si>
  <si>
    <t>array_mbist_soc_begin_tito_bisr_bp2_lsa_bhry_list</t>
  </si>
  <si>
    <t>MEDIA2_BISR_BISR_BP2</t>
  </si>
  <si>
    <t>array_mbist_soc_begin_tito_bisr_bp2_lsa_bira_list</t>
  </si>
  <si>
    <t>MEDIA2_RASTER_BISR_BP2_MDE2</t>
  </si>
  <si>
    <t>array_mbist_soc_rastersar_tito_lsa_mde2_par_list</t>
  </si>
  <si>
    <t>MEDIA2_RASTER_BISR_BP2_MDD2</t>
  </si>
  <si>
    <t>array_mbist_soc_rastersar_tito_lsa_mdd2_par_list</t>
  </si>
  <si>
    <t>array_mbist_soc_begin_tito_bisr_bp3_lsa_bhry_list</t>
  </si>
  <si>
    <t>array_mbist_soc_begin_tito_bisr_bp3_lsa_bira_list</t>
  </si>
  <si>
    <t>MEDIA3_RASTER_BISR_BP3_MDH4</t>
  </si>
  <si>
    <t>MEDIA3_RASTER_BISR_BP3_MDC1</t>
  </si>
  <si>
    <t>endMediaBisr</t>
  </si>
  <si>
    <t>MEDIA_VFDM</t>
  </si>
  <si>
    <t>JOIN_BISR_MEDIA</t>
  </si>
  <si>
    <t>CombineGSDSgfxMedia</t>
  </si>
  <si>
    <t>MEDIA_VFDM_UF</t>
  </si>
  <si>
    <t>MEDIA_REPAIR</t>
  </si>
  <si>
    <t>LNL_pre.*0q0g_Marr_.*</t>
  </si>
  <si>
    <t>endMediaVfdm</t>
  </si>
  <si>
    <t>MEDIA_POST_REPAIR</t>
  </si>
  <si>
    <t>MEDIA1_POST_REPAIR_BISR_BP1</t>
  </si>
  <si>
    <t>MEDIA3_POST_REPAIR_BISR_BP3</t>
  </si>
  <si>
    <t>MEDIA0_POST_REPAIR_BISR_BP0</t>
  </si>
  <si>
    <t>MEDIA2_POST_REPAIR_BISR_BP2</t>
  </si>
  <si>
    <t>endMediaPostRep</t>
  </si>
  <si>
    <t>endGfxRep</t>
  </si>
  <si>
    <t>SOC_REPAIRABLE</t>
  </si>
  <si>
    <t>ARR_SAN:noc_clk:400MHz,ARR_SAQ:memss_clk:600MHz</t>
  </si>
  <si>
    <t>SOC_BISR</t>
  </si>
  <si>
    <t>PRE_REPAIR_MMM_MEMSS</t>
  </si>
  <si>
    <t>SAQ</t>
  </si>
  <si>
    <t>0600</t>
  </si>
  <si>
    <t>MEMSS0_BHRY_MMM_BP1</t>
  </si>
  <si>
    <t>array_mbist_soc_begin_tito_mmm_bp1_ssa_bhry_list</t>
  </si>
  <si>
    <t>MEMSS0_BISR_MMM_BP1</t>
  </si>
  <si>
    <t>array_mbist_soc_begin_tito_mmm_bp1_ssa_bira_list</t>
  </si>
  <si>
    <t>MEMSS0_RASTER_MMM_BP1</t>
  </si>
  <si>
    <t>MEMSS1_BHRY_MMM_BP2</t>
  </si>
  <si>
    <t>array_mbist_soc_begin_tito_mmm_bp2_ssa_bhry_list</t>
  </si>
  <si>
    <t>MEMSS1_BISR_MMM_BP2</t>
  </si>
  <si>
    <t>array_mbist_soc_begin_tito_mmm_bp2_ssa_bira_list</t>
  </si>
  <si>
    <t>MEMSS1_RASTER_MMM_BP2</t>
  </si>
  <si>
    <t>array_mbist_soc_begin_tito_mmm_bp1_lsa_bhry_list</t>
  </si>
  <si>
    <t>array_mbist_soc_begin_tito_mmm_bp1_lsa_bira_list</t>
  </si>
  <si>
    <t>array_mbist_soc_begin_tito_mmm_bp2_lsa_bhry_list</t>
  </si>
  <si>
    <t>array_mbist_soc_begin_tito_mmm_bp2_lsa_bira_list</t>
  </si>
  <si>
    <t>MEMSS2_BHRY_MMM_BP3</t>
  </si>
  <si>
    <t>array_mbist_soc_begin_tito_mmm_bp3_lsa_bhry_list</t>
  </si>
  <si>
    <t>MEMSS2_BISR_MMM_BP3</t>
  </si>
  <si>
    <t>array_mbist_soc_begin_tito_mmm_bp3_lsa_bira_list</t>
  </si>
  <si>
    <t>MEMSS2_RASTER_MMM_BP3</t>
  </si>
  <si>
    <t>MEMSS3_BHRY_MMM_BP4</t>
  </si>
  <si>
    <t>array_mbist_soc_begin_tito_mmm_bp4_lsa_bhry_list</t>
  </si>
  <si>
    <t>MEMSS3_BISR_MMM_BP4</t>
  </si>
  <si>
    <t>array_mbist_soc_begin_tito_mmm_bp4_lsa_bira_list</t>
  </si>
  <si>
    <t>MEMSS3_RASTER_MMM_BP4</t>
  </si>
  <si>
    <t>endMemss</t>
  </si>
  <si>
    <t>PRE_REPAIR_MMM_DDR</t>
  </si>
  <si>
    <t>array_mbist_soc_begin_tito_mmm_bp5_ssa_bira_list</t>
  </si>
  <si>
    <t>DDRPHY0_BISR_MMM_BP5</t>
  </si>
  <si>
    <t>DDRPHY0_RASTER_MMM_BP5</t>
  </si>
  <si>
    <t>array_mbist_soc_begin_tito_mmm_bp6_ssa_bira_list</t>
  </si>
  <si>
    <t>DDRPHY_1_2_BISR_MMM_BP6</t>
  </si>
  <si>
    <t>DDRPHY_1_2_RASTER_MMM_BP6</t>
  </si>
  <si>
    <t>array_mbist_soc_begin_tito_mmm_bp7_ssa_bira_list</t>
  </si>
  <si>
    <t>DDRPHY3_BISR_MMM_BP7</t>
  </si>
  <si>
    <t>DDRPHY3_RASTER_MMM_BP7</t>
  </si>
  <si>
    <t>DDRPHY3_BHRY_MMM_BP8</t>
  </si>
  <si>
    <t>array_mbist_soc_begin_tito_mmm_bp8_ssa_bhry_list</t>
  </si>
  <si>
    <t>DDRPHY3_BISR_MMM_BP8</t>
  </si>
  <si>
    <t>array_mbist_soc_begin_tito_mmm_bp8_ssa_bira_list</t>
  </si>
  <si>
    <t>DDRPHY3_RASTER_MMM_BP8</t>
  </si>
  <si>
    <t>array_mbist_soc_begin_tito_mmm_bp6_lsa_bira_list</t>
  </si>
  <si>
    <t>endDdr</t>
  </si>
  <si>
    <t>PRE_REPAIR_HBO_ALL</t>
  </si>
  <si>
    <t>HBO0_HBO_BHRY_HBO0_BP4</t>
  </si>
  <si>
    <t>array_mbist_soc_begin_tito_hbo0_bp4_ssa_bhry_list</t>
  </si>
  <si>
    <t>HBO0_HBO_BISR_HBO0_BP4</t>
  </si>
  <si>
    <t>array_mbist_soc_begin_tito_hbo0_bp4_ssa_bira_list</t>
  </si>
  <si>
    <t>HBO0_HBO_RASTER_HBO0_BP4</t>
  </si>
  <si>
    <t>array_mbist_soc_begin_tito_hbo0_bp2_ssa_bira_list</t>
  </si>
  <si>
    <t>HBO0_MUFASA0_BISR_HBO0_BP2</t>
  </si>
  <si>
    <t>HBO0_MUFASA0_RASTER_HBO0_BP2</t>
  </si>
  <si>
    <t>array_mbist_soc_begin_tito_hbo0_bp3_ssa_bira_list</t>
  </si>
  <si>
    <t>HBO0_MUFASA1_BISR_HBO0_BP3</t>
  </si>
  <si>
    <t>HBO0_MUFASA1_RASTER_HBO0_BP3</t>
  </si>
  <si>
    <t>HBO1_HBO_BHRY_HBO1_BP4</t>
  </si>
  <si>
    <t>array_mbist_soc_begin_tito_hbo1_bp4_ssa_bhry_list</t>
  </si>
  <si>
    <t>HBO1_HBO_BISR_HBO1_BP4</t>
  </si>
  <si>
    <t>array_mbist_soc_begin_tito_hbo1_bp4_ssa_bira_list</t>
  </si>
  <si>
    <t>HBO1_HBO_RASTER_HBO1_BP4</t>
  </si>
  <si>
    <t>array_mbist_soc_begin_tito_hbo1_bp2_ssa_bira_list</t>
  </si>
  <si>
    <t>HBO1_MUFASA0_BISR_HBO1_BP2</t>
  </si>
  <si>
    <t>HBO1_MUFASA0_RASTER_HBO1_BP2</t>
  </si>
  <si>
    <t>array_mbist_soc_begin_tito_hbo1_bp3_ssa_bira_list</t>
  </si>
  <si>
    <t>HBO1_MUFASA1_BISR_HBO1_BP3</t>
  </si>
  <si>
    <t>HBO1_MUFASA1_RASTER_HBO1_BP3</t>
  </si>
  <si>
    <t>array_mbist_soc_begin_tito_hbo0_bp4_lsa_bhry_list</t>
  </si>
  <si>
    <t>array_mbist_soc_begin_tito_hbo0_bp4_lsa_bira_list</t>
  </si>
  <si>
    <t>array_mbist_soc_begin_tito_hbo1_bp4_lsa_bhry_list</t>
  </si>
  <si>
    <t>array_mbist_soc_begin_tito_hbo1_bp4_lsa_bira_list</t>
  </si>
  <si>
    <t>endHbo</t>
  </si>
  <si>
    <t>PRE_REPAIR_IAX</t>
  </si>
  <si>
    <t>IAX_BHRY_IAX_BP3</t>
  </si>
  <si>
    <t>array_mbist_soc_begin_tito_iax_bp3_lsa_bhry_list</t>
  </si>
  <si>
    <t>IAX_BISR_IAX_BP3</t>
  </si>
  <si>
    <t>array_mbist_soc_begin_tito_iax_bp3_lsa_bira_list</t>
  </si>
  <si>
    <t>IAX_RASTER_IAX_BP3</t>
  </si>
  <si>
    <t>endIax</t>
  </si>
  <si>
    <t>PRE_REPAIR_WES1</t>
  </si>
  <si>
    <t>DFX_EP_0_BHRY_WES1_BP0</t>
  </si>
  <si>
    <t>array_mbist_soc_begin_tito_wes1_bp0_ssa_bhry_list</t>
  </si>
  <si>
    <t>DFX_EP_0_BISR_WES1_BP0</t>
  </si>
  <si>
    <t>array_mbist_soc_begin_tito_wes1_bp0_ssa_bira_list</t>
  </si>
  <si>
    <t>DFX_EP_0_RASTER_WES1_BP0</t>
  </si>
  <si>
    <t>DFX_EP_1_BHRY_WES1_BP1</t>
  </si>
  <si>
    <t>array_mbist_soc_begin_tito_wes1_bp1_ssa_bhry_list</t>
  </si>
  <si>
    <t>DFX_EP_1_BISR_WES1_BP1</t>
  </si>
  <si>
    <t>array_mbist_soc_begin_tito_wes1_bp1_ssa_bira_list</t>
  </si>
  <si>
    <t>DFX_EP_1_RASTER_WES1_BP1</t>
  </si>
  <si>
    <t>DFX_EP_2_BHRY_WES1_BP2</t>
  </si>
  <si>
    <t>array_mbist_soc_begin_tito_wes1_bp2_ssa_bhry_list</t>
  </si>
  <si>
    <t>DFX_EP_2_BISR_WES1_BP2</t>
  </si>
  <si>
    <t>array_mbist_soc_begin_tito_wes1_bp2_ssa_bira_list</t>
  </si>
  <si>
    <t>DFX_EP_2_RASTER_WES1_BP2</t>
  </si>
  <si>
    <t>array_mbist_soc_begin_tito_wes1_bp1_lsa_bhry_list</t>
  </si>
  <si>
    <t>array_mbist_soc_begin_tito_wes1_bp1_lsa_bira_list</t>
  </si>
  <si>
    <t>array_mbist_soc_begin_tito_wes1_bp2_lsa_bhry_list</t>
  </si>
  <si>
    <t>array_mbist_soc_begin_tito_wes1_bp2_lsa_bira_list</t>
  </si>
  <si>
    <t>endWes1</t>
  </si>
  <si>
    <t>endSocBisr</t>
  </si>
  <si>
    <t>SOC_VFDM</t>
  </si>
  <si>
    <t>SAX</t>
  </si>
  <si>
    <t>CombineGSDSsoc</t>
  </si>
  <si>
    <t>./Modules/ARR_COMMON/InputFiles/CombineGSDSsoc.txt</t>
  </si>
  <si>
    <t>0400</t>
  </si>
  <si>
    <t>SDFXR,SHBO0R,SHBO1R,SIAXR,SMEMSSR</t>
  </si>
  <si>
    <t>(LNL_pre.*V1G0z_Marr_.*)|(LNL_pre.*120h_Marr_.*)|(LNL_pre.*150j_Marr_.*)</t>
  </si>
  <si>
    <t>endSocVfdm</t>
  </si>
  <si>
    <t>SOC_POST_REPAIR</t>
  </si>
  <si>
    <t>MEMSS0_POSTREP_MMM_BP1</t>
  </si>
  <si>
    <t>MEMSS1_POSTREP_MMM_BP2</t>
  </si>
  <si>
    <t>MEMSS2_POSTREP_MMM_BP3</t>
  </si>
  <si>
    <t>MEMSS3_POSTREP_MMM_BP4</t>
  </si>
  <si>
    <t>DDRPHY0_POSTREP_MMM_BP5</t>
  </si>
  <si>
    <t>array_mbist_soc_begin_tito_mmm_bp5_ssa_bhry_list</t>
  </si>
  <si>
    <t>DDRPHY_1_2_POSTREP_MMM_BP6</t>
  </si>
  <si>
    <t>array_mbist_soc_begin_tito_mmm_bp6_ssa_bhry_list</t>
  </si>
  <si>
    <t>DDRPHY3_POSTREP_MMM_BP7</t>
  </si>
  <si>
    <t>array_mbist_soc_begin_tito_mmm_bp7_ssa_bhry_list</t>
  </si>
  <si>
    <t>DDRPHY3_POSTREP_MMM_BP8</t>
  </si>
  <si>
    <t>array_mbist_soc_begin_tito_mmm_bp6_lsa_bhry_list</t>
  </si>
  <si>
    <t>HBO0_HBO_POSTREP_HBO0_BP4</t>
  </si>
  <si>
    <t>HBO0_MUFASA0_POSTREP_HBO0_BP2</t>
  </si>
  <si>
    <t>HBO0_MUFASA1_POSTREP_HBO0_BP3</t>
  </si>
  <si>
    <t>array_mbist_soc_begin_tito_hbo0_bp3_ssa_bhry_list</t>
  </si>
  <si>
    <t>HBO1_HBO_POSTREP_HBO1_BP4</t>
  </si>
  <si>
    <t>HBO1_MUFASA0_POSTREP_HBO1_BP2</t>
  </si>
  <si>
    <t>array_mbist_soc_begin_tito_hbo1_bp2_ssa_bhry_list</t>
  </si>
  <si>
    <t>HBO1_MUFASA1_POSTREP_HBO1_BP3</t>
  </si>
  <si>
    <t>array_mbist_soc_begin_tito_hbo1_bp3_ssa_bhry_list</t>
  </si>
  <si>
    <t>IAX_POSTREP_IAX_BP3</t>
  </si>
  <si>
    <t>DFX_EP_0_POSTREP_WES1_BP0</t>
  </si>
  <si>
    <t>DFX_EP_1_POSTREP_WES1_BP1</t>
  </si>
  <si>
    <t>DFX_EP_2_POSTREP_WES1_BP2</t>
  </si>
  <si>
    <t>endSocPostRep</t>
  </si>
  <si>
    <t>endSocRep</t>
  </si>
  <si>
    <t>VPU_REPAIRABLE</t>
  </si>
  <si>
    <t>ARR_VPU:vpu_clk:1900MHz,ARR_VPU:vpu_ws:1900MHz</t>
  </si>
  <si>
    <t>VPU_BISR</t>
  </si>
  <si>
    <t>BUTTRESS_BHRY_VBTR_BT3</t>
  </si>
  <si>
    <t>array_mbist_soc_begin_tito_vbtr_bp3_lsa_bhry_list</t>
  </si>
  <si>
    <t>BUTTRESS_BISR_VBTR_BT3</t>
  </si>
  <si>
    <t>array_mbist_soc_begin_tito_vbtr_bp3_lsa_bira_list</t>
  </si>
  <si>
    <t>BUTTRESS_RASTER_VBTR_BT3</t>
  </si>
  <si>
    <t>VCPU_BHRY_VBTR_BT4</t>
  </si>
  <si>
    <t>array_mbist_soc_begin_tito_vbtr_bp4_ssa_bhry_list</t>
  </si>
  <si>
    <t>VCPU_BISR_VBTR_BT4</t>
  </si>
  <si>
    <t>array_mbist_soc_begin_tito_vbtr_bp4_ssa_bira_list</t>
  </si>
  <si>
    <t>VCPU_RASTER_VBTR_BT4</t>
  </si>
  <si>
    <t>array_mbist_soc_begin_tito_vbtr_bp4_lsa_bhry_list</t>
  </si>
  <si>
    <t>array_mbist_soc_begin_tito_vbtr_bp4_lsa_bira_list</t>
  </si>
  <si>
    <t>array_mbist_soc_rastersar_tito_lsa_vcpu_par_list</t>
  </si>
  <si>
    <t>TILE0_BHRY_VBTR_BT5</t>
  </si>
  <si>
    <t>array_mbist_soc_begin_tito_vbtr_bp5_ssa_bhry_list</t>
  </si>
  <si>
    <t>TILE0_BISR_VBTR_BT5</t>
  </si>
  <si>
    <t>array_mbist_soc_begin_tito_vbtr_bp5_ssa_bira_list</t>
  </si>
  <si>
    <t>TILE0_RASTER_VBTR_BT5</t>
  </si>
  <si>
    <t>array_mbist_soc_begin_tito_vbtr_bp5_lsa_bhry_list</t>
  </si>
  <si>
    <t>array_mbist_soc_begin_tito_vbtr_bp5_lsa_bira_list</t>
  </si>
  <si>
    <t>TILE1_BHRY_VBTR_BT6</t>
  </si>
  <si>
    <t>array_mbist_soc_begin_tito_vbtr_bp6_ssa_bhry_list</t>
  </si>
  <si>
    <t>TILE1_BISR_VBTR_BT6</t>
  </si>
  <si>
    <t>array_mbist_soc_begin_tito_vbtr_bp6_ssa_bira_list</t>
  </si>
  <si>
    <t>TILE1_RASTER_VBTR_BT6</t>
  </si>
  <si>
    <t>array_mbist_soc_begin_tito_vbtr_bp6_lsa_bhry_list</t>
  </si>
  <si>
    <t>array_mbist_soc_begin_tito_vbtr_bp6_lsa_bira_list</t>
  </si>
  <si>
    <t>TILE2_BHRY_VBTR_BT7</t>
  </si>
  <si>
    <t>array_mbist_soc_begin_tito_vbtr_bp7_ssa_bhry_list</t>
  </si>
  <si>
    <t>TILE2_BISR_VBTR_BT7</t>
  </si>
  <si>
    <t>array_mbist_soc_begin_tito_vbtr_bp7_ssa_bira_list</t>
  </si>
  <si>
    <t>TILE2_RASTER_VBTR_BT7</t>
  </si>
  <si>
    <t>array_mbist_soc_begin_tito_vbtr_bp7_lsa_bhry_list</t>
  </si>
  <si>
    <t>array_mbist_soc_begin_tito_vbtr_bp7_lsa_bira_list</t>
  </si>
  <si>
    <t>TILE3_BHRY_VBTR_BT8</t>
  </si>
  <si>
    <t>array_mbist_soc_begin_tito_vbtr_bp8_ssa_bhry_list</t>
  </si>
  <si>
    <t>TILE3_BISR_VBTR_BT8</t>
  </si>
  <si>
    <t>array_mbist_soc_begin_tito_vbtr_bp8_ssa_bira_list</t>
  </si>
  <si>
    <t>TILE3_RASTER_VBTR_BT8</t>
  </si>
  <si>
    <t>array_mbist_soc_begin_tito_vbtr_bp8_lsa_bhry_list</t>
  </si>
  <si>
    <t>array_mbist_soc_begin_tito_vbtr_bp8_lsa_bira_list</t>
  </si>
  <si>
    <t>TILE4_BHRY_VBTR_BT9</t>
  </si>
  <si>
    <t>array_mbist_soc_begin_tito_vbtr_bp9_ssa_bhry_list</t>
  </si>
  <si>
    <t>TILE4_BISR_VBTR_BT9</t>
  </si>
  <si>
    <t>array_mbist_soc_begin_tito_vbtr_bp9_ssa_bira_list</t>
  </si>
  <si>
    <t>TILE4_RASTER_VBTR_BT9</t>
  </si>
  <si>
    <t>array_mbist_soc_begin_tito_vbtr_bp9_lsa_bhry_list</t>
  </si>
  <si>
    <t>array_mbist_soc_begin_tito_vbtr_bp9_lsa_bira_list</t>
  </si>
  <si>
    <t>TILE5_BHRY_VBTR_BT10</t>
  </si>
  <si>
    <t>array_mbist_soc_begin_tito_vbtr_bp10_ssa_bhry_list</t>
  </si>
  <si>
    <t>TILE5_BISR_VBTR_BT10</t>
  </si>
  <si>
    <t>array_mbist_soc_begin_tito_vbtr_bp10_ssa_bira_list</t>
  </si>
  <si>
    <t>TILE5_RASTER_VBTR_BT10</t>
  </si>
  <si>
    <t>array_mbist_soc_begin_tito_vbtr_bp10_lsa_bhry_list</t>
  </si>
  <si>
    <t>array_mbist_soc_begin_tito_vbtr_bp10_lsa_bira_list</t>
  </si>
  <si>
    <t>endVpuBisr</t>
  </si>
  <si>
    <t>VPU_VFDM</t>
  </si>
  <si>
    <t>CombineGSDSvpu</t>
  </si>
  <si>
    <t>./Modules/ARR_COMMON/InputFiles/CombineGSDSvpu.txt</t>
  </si>
  <si>
    <t>LNL_pre.*0p0s_Marr_.*</t>
  </si>
  <si>
    <t>endVpuVfdm</t>
  </si>
  <si>
    <t>VPU_POST_REPAIR</t>
  </si>
  <si>
    <t>POSTHRY_BUTTRESS_VBTR_BT3</t>
  </si>
  <si>
    <t>POSTHRY_SPINE_VBTR_BT4</t>
  </si>
  <si>
    <t>POSTHRY_TILE0_VBTR_BT5</t>
  </si>
  <si>
    <t>POSTHRY_TILE1_VBTR_BT6</t>
  </si>
  <si>
    <t>POSTHRY_TILE2_VBTR_BT7</t>
  </si>
  <si>
    <t>POSTHRY_TILE3_VBTR_BT8</t>
  </si>
  <si>
    <t>POSTHRY_TILE4_VBTR_BT9</t>
  </si>
  <si>
    <t>POSTHRY_TILE5_VBTR_BT10</t>
  </si>
  <si>
    <t>endVpuPostRep</t>
  </si>
  <si>
    <t>endVpuRep</t>
  </si>
  <si>
    <t>CORE_REPAIRABLE</t>
  </si>
  <si>
    <t>ARR_CORE:core_ratio:0.5GHz,ARR_CORE:core_subrutine:0.5GHz,ARR_CORE:ring_ratio:0.5GHz</t>
  </si>
  <si>
    <t>ECC_OFF</t>
  </si>
  <si>
    <t>ARR_COMMON/InputFiles/ARR_CORE_ECC.setpoints.json</t>
  </si>
  <si>
    <t>ARR_CORE_ECC_INIT</t>
  </si>
  <si>
    <t>CORE_BISR</t>
  </si>
  <si>
    <t>mbistRepairCore</t>
  </si>
  <si>
    <t>CR</t>
  </si>
  <si>
    <t>ARR_COMMON::cpu_ctf_timing_tclk100_cclk200_bclk400_12p5ns_core</t>
  </si>
  <si>
    <t>array_mbist_core_begin_tito_pm_bp3_bhry_list</t>
  </si>
  <si>
    <t>BIRA_BISR_BP_3_RF</t>
  </si>
  <si>
    <t>array_mbist_core_begin_tito_pm_bp3_bira_list</t>
  </si>
  <si>
    <t>RASTER_BP_3_RF</t>
  </si>
  <si>
    <t>array_mbist_core_rastersar_tito_lsa_pm_pbp2_list</t>
  </si>
  <si>
    <t>array_mbist_core_begin_tito_pm_bp4_bhry_list</t>
  </si>
  <si>
    <t>BIRA_BISR_BP_4_5_MLC</t>
  </si>
  <si>
    <t>array_mbist_core_begin_tito_pm_bp4_bira_list</t>
  </si>
  <si>
    <t>RASTER_BP_4_5_MLC</t>
  </si>
  <si>
    <t>raster_list</t>
  </si>
  <si>
    <t>BHRY_BP_6_EXT_RF</t>
  </si>
  <si>
    <t>array_mbist_core_begin_tito_pm_bp6_bhry_list</t>
  </si>
  <si>
    <t>BIRA_BISR_BP_6_EXT_RF</t>
  </si>
  <si>
    <t>array_mbist_core_begin_tito_pm_bp6_bira_list</t>
  </si>
  <si>
    <t>birabuild,uncompress</t>
  </si>
  <si>
    <t>RASTER_BP_6_EXT_RF_MEU_PBP1</t>
  </si>
  <si>
    <t>array_mbist_core_rastersar_tito_lsa_meu_pbp1_list</t>
  </si>
  <si>
    <t>RASTER_BP_6_EXT_RF_FIT_PBP2</t>
  </si>
  <si>
    <t>array_mbist_core_rastersar_tito_lsa_fit_pbp2_list</t>
  </si>
  <si>
    <t>array_mbist_core_begin_tito_pm_bp7_bhry_list</t>
  </si>
  <si>
    <t>BIRA_BISR_BP_7_PMUCS</t>
  </si>
  <si>
    <t>array_mbist_core_begin_tito_pm_bp7_bira_list</t>
  </si>
  <si>
    <t>RASTER_BP_7_PMUCS</t>
  </si>
  <si>
    <t>endCoreBisr</t>
  </si>
  <si>
    <t>CORE_VFDM</t>
  </si>
  <si>
    <t>CombineGSDScore</t>
  </si>
  <si>
    <t>./Modules/ARR_COMMON/InputFiles/CombineGSDScore.txt</t>
  </si>
  <si>
    <t>VFDM_ALL</t>
  </si>
  <si>
    <t>SCORE0R,SCORE1R,SCORE2R,SCORE3R</t>
  </si>
  <si>
    <t>GSDS_UF!SetGSDS G.U.S.DEFECTREPAIR_IA=1</t>
  </si>
  <si>
    <t>LNL_pre.*130o_Marr_.*</t>
  </si>
  <si>
    <t>endCoreVfdm</t>
  </si>
  <si>
    <t>CORE_POST_REPAIR</t>
  </si>
  <si>
    <t>POSTHRY_BP_3</t>
  </si>
  <si>
    <t>POSTHRY_BP_4_5</t>
  </si>
  <si>
    <t>POSTHRY_BP_6</t>
  </si>
  <si>
    <t>POSTHRY_BP_7</t>
  </si>
  <si>
    <t>endCorePostRep</t>
  </si>
  <si>
    <t>endCoreRep</t>
  </si>
  <si>
    <t>endRepairable</t>
  </si>
  <si>
    <t>NON_REPAIRABLE</t>
  </si>
  <si>
    <t>CCF_NON_REPAIRABLE</t>
  </si>
  <si>
    <t>CBO0_NONREP</t>
  </si>
  <si>
    <t>array_mbist_soc_begin_tito_cbo0_lsa_nonrep_hry_list</t>
  </si>
  <si>
    <t>CBO1_NONREP</t>
  </si>
  <si>
    <t>array_mbist_soc_begin_tito_cbo1_lsa_nonrep_hry_list</t>
  </si>
  <si>
    <t>CBO2_NONREP</t>
  </si>
  <si>
    <t>array_mbist_soc_begin_tito_cbo2_lsa_nonrep_hry_list</t>
  </si>
  <si>
    <t>CBO3_NONREP</t>
  </si>
  <si>
    <t>array_mbist_soc_begin_tito_cbo3_lsa_nonrep_hry_list</t>
  </si>
  <si>
    <t>PMA0_ROM</t>
  </si>
  <si>
    <t>array_mbist_soc_begin_tito_pma0_rom_nonrep_hry_list</t>
  </si>
  <si>
    <t>PMA1_ROM</t>
  </si>
  <si>
    <t>array_mbist_soc_begin_tito_pma1_rom_nonrep_hry_list</t>
  </si>
  <si>
    <t>GFX_NON_REPAIRABLE</t>
  </si>
  <si>
    <t>MEDIA_ROM</t>
  </si>
  <si>
    <t>array_mbist_soc_begin_tito_mdsy_rom_nonrep_hry_list</t>
  </si>
  <si>
    <t>SOC_NON_REPAIRABLE</t>
  </si>
  <si>
    <t>CCE0_NONREP_HRY</t>
  </si>
  <si>
    <t>array_mbist_soc_begin_tito_cce0_lsa_nonrep_hry_list</t>
  </si>
  <si>
    <t>CCE1_NONREP_HRY</t>
  </si>
  <si>
    <t>array_mbist_soc_begin_tito_cce1_lsa_nonrep_hry_list</t>
  </si>
  <si>
    <t>CCSR_ROM</t>
  </si>
  <si>
    <t>array_mbist_soc_begin_tito_ccsr_rom_nonrep_hry_list</t>
  </si>
  <si>
    <t>CEN1_SSANONREP_HRY</t>
  </si>
  <si>
    <t>array_mbist_soc_begin_tito_cen1_ssa_nonrep_hry_list</t>
  </si>
  <si>
    <t>CEN1_ROM</t>
  </si>
  <si>
    <t>array_mbist_soc_begin_tito_cen1_rom_nonrep_hry_list</t>
  </si>
  <si>
    <t>DDHY_ROM</t>
  </si>
  <si>
    <t>array_mbist_soc_begin_tito_ddhy_rom_nonrep_hry_list</t>
  </si>
  <si>
    <t>GTMISC_ROM</t>
  </si>
  <si>
    <t>array_mbist_soc_begin_tito_gt_rom_nonrep_hry_list</t>
  </si>
  <si>
    <t>HBO0_NONREP_HRY</t>
  </si>
  <si>
    <t>array_mbist_soc_begin_tito_hbo0_lsa_nonrep_hry_list</t>
  </si>
  <si>
    <t>HBO1_NONREP_HRY</t>
  </si>
  <si>
    <t>array_mbist_soc_begin_tito_hbo1_lsa_nonrep_hry_list</t>
  </si>
  <si>
    <t>SBO_ROM</t>
  </si>
  <si>
    <t>array_mbist_soc_begin_tito_sbo_rom_nonrep_hry_list</t>
  </si>
  <si>
    <t>CORE_NON_REPAIRABLE</t>
  </si>
  <si>
    <t>FULLHRY</t>
  </si>
  <si>
    <t>array_mbist_core_begin_tito_fullhry_list</t>
  </si>
  <si>
    <t>ROM_HRY</t>
  </si>
  <si>
    <t>array_mbist_core_begin_tito_fit_rom_nonrep_hry_list</t>
  </si>
  <si>
    <t>MEU_NONREP_HRY</t>
  </si>
  <si>
    <t>array_mbist_core_begin_tito_meu_lsa_nonrep_hry_list</t>
  </si>
  <si>
    <t>OOO_NONREP_HRY</t>
  </si>
  <si>
    <t>array_mbist_core_begin_tito_ooo_lsa_nonrep_hry_list</t>
  </si>
  <si>
    <t>hry</t>
  </si>
  <si>
    <t>N10_LFM_850MV</t>
  </si>
  <si>
    <t>VMIN_REPAIR</t>
  </si>
  <si>
    <t>PLACEHOLDER</t>
  </si>
  <si>
    <t>ARR_CCF:ring_ratio:1.2GHz,ARR_CCF:ring_subrutine:1.2GHz</t>
  </si>
  <si>
    <t>PREHVQK</t>
  </si>
  <si>
    <t>WRITEALL</t>
  </si>
  <si>
    <t>OVERFLOW</t>
  </si>
  <si>
    <t>CHECK</t>
  </si>
  <si>
    <t>arr_sbo_sort_lfm_hvqk_list</t>
  </si>
  <si>
    <t>AUX</t>
  </si>
  <si>
    <t>REPAIRBITSET</t>
  </si>
  <si>
    <t>FLAG</t>
  </si>
  <si>
    <t>nan</t>
  </si>
  <si>
    <t>COMBINE</t>
  </si>
  <si>
    <t>UF_REPAIRDFF_HCS</t>
  </si>
  <si>
    <t>Bin2Hex([G.U.S.FUSE_EMB_VFDM_HCS_BINARY])</t>
  </si>
  <si>
    <t>SVHCS</t>
  </si>
  <si>
    <t>UF_REPAIRDFF_FDS1</t>
  </si>
  <si>
    <t>Substring(Bin2Hex([G.U.S.FUSE_EMB_VFDM_FDS_BINARY]),0,3332)</t>
  </si>
  <si>
    <t>SVFDS1</t>
  </si>
  <si>
    <t>UF_REPAIRDFF_FDS2</t>
  </si>
  <si>
    <t>Substring(Bin2Hex([G.U.S.FUSE_EMB_VFDM_FDS_BINARY]),3332,3332)</t>
  </si>
  <si>
    <t>SVFDS2</t>
  </si>
  <si>
    <t>DFFSET</t>
  </si>
  <si>
    <t>REPAIR_MBIST</t>
  </si>
  <si>
    <t>SC0RF1R,SC0RF0R,SC0MLC0R,SC0MLC1R,SC0PMUCR,SC1RF1R,SC1RF0R,SC1MLC0R,SC1MLC1R,SC1PMUCR,SC2RF1R,SC2RF0R,SC2MLC0R,SC2MLC1R,SC2PMUCR,SC3RF1R,SC3RF0R,SC3MLC0R,SC3MLC1R,SC3PMUCR</t>
  </si>
  <si>
    <t>Storage.SC0RF1R_FUSE,Storage.SC0RF1R_FUSE,Storage.SC0MLC0R_FUSE,Storage.SC0MLC1R_FUSE,Storage.SC0PMUCR_FUSE,Storage.SC1RF1R_FUSE,Storage.SC1RF1R_FUSE,Storage.SC1MLC0R_FUSE,Storage.SC1MLC1R_FUSE,Storage.SC1PMUCR_FUSE,Storage.SC2RF1R_FUSE,Storage.SC2RF1R_FUSE,Storage.SC2MLC0R_FUSE,Storage.SC2MLC1R_FUSE,Storage.SC2PMUCR_FUSE,Storage.SC3RF1R_FUSE,Storage.SC3RF1R_FUSE,Storage.SC3MLC0R_FUSE,Storage.SC3MLC1R_FUSE,Storage.SC3PMUCR_FUSE</t>
  </si>
  <si>
    <t>REPAIR_PBIST</t>
  </si>
  <si>
    <t>Storage.VFDM_SSKTR</t>
  </si>
  <si>
    <t>REPAIR_GTBIST</t>
  </si>
  <si>
    <t>Storage.VFDM_SGTR</t>
  </si>
  <si>
    <t>YAxisParam</t>
  </si>
  <si>
    <t>SetPointsPostInstance</t>
  </si>
  <si>
    <t>DtsConfigName</t>
  </si>
  <si>
    <t>StartIndex</t>
  </si>
  <si>
    <t>baseNumber</t>
  </si>
  <si>
    <t>SearchMode</t>
  </si>
  <si>
    <t>repairTag</t>
  </si>
  <si>
    <t>repairLabel</t>
  </si>
  <si>
    <t>modeOfDecoding</t>
  </si>
  <si>
    <t>rasterDataLog</t>
  </si>
  <si>
    <t>preinstance</t>
  </si>
  <si>
    <t>ifpmFile</t>
  </si>
  <si>
    <t>ifpmMod</t>
  </si>
  <si>
    <t>VoltageConfig</t>
  </si>
  <si>
    <t>MAarr:atom_clk:800MHz</t>
  </si>
  <si>
    <t>L2_SSA_NOM_REP</t>
  </si>
  <si>
    <t>ATOML</t>
  </si>
  <si>
    <t>L2_ALL_PRE_HRY</t>
  </si>
  <si>
    <t>array_pbist_hry_tito_atom_direct_ssa_list</t>
  </si>
  <si>
    <t>VCCL2_HV</t>
  </si>
  <si>
    <t>./Modules/ARR_ATOM/InputFiles/nblatom.xml</t>
  </si>
  <si>
    <t>bt!nbl!ON</t>
  </si>
  <si>
    <t>1,2,3</t>
  </si>
  <si>
    <t>CAPTURE</t>
  </si>
  <si>
    <t>L2_DAT_CAPTURE</t>
  </si>
  <si>
    <t>array_pbist_raster_tito_atom_direct_ssa_l2_data_list</t>
  </si>
  <si>
    <t>L2DAT</t>
  </si>
  <si>
    <t>L2_DAT_REPAIR</t>
  </si>
  <si>
    <t>l2d</t>
  </si>
  <si>
    <t>raster(module0)</t>
  </si>
  <si>
    <t>T-File</t>
  </si>
  <si>
    <t>L2_DAT_REPAIR_TO_FUSE</t>
  </si>
  <si>
    <t>None</t>
  </si>
  <si>
    <t>L2_C6S_CAPTURE</t>
  </si>
  <si>
    <t>array_pbist_raster_tito_atom_direct_ssa_l2_c6s_list</t>
  </si>
  <si>
    <t>L2C6S</t>
  </si>
  <si>
    <t>L2_C6S_REPAIR</t>
  </si>
  <si>
    <t>l2c6</t>
  </si>
  <si>
    <t>raster</t>
  </si>
  <si>
    <t>L2_C6S_REPAIR_TO_FUSE</t>
  </si>
  <si>
    <t>L2_TSP_CAPTURE</t>
  </si>
  <si>
    <t>array_pbist_raster_tito_atom_direct_ssa_l2_tsp_list</t>
  </si>
  <si>
    <t>L2TSP</t>
  </si>
  <si>
    <t>L2_TSP_REPAIR</t>
  </si>
  <si>
    <t>l2tsp</t>
  </si>
  <si>
    <t>L2_TSP_REPAIR_TO_FUSE</t>
  </si>
  <si>
    <t>L2_ALL_VFDM</t>
  </si>
  <si>
    <t>L2_ALL_VFDM_APPLY</t>
  </si>
  <si>
    <t>GSDS_UF!SetGSDS G.U.S.DEFECTREPAIR_ATOM=1</t>
  </si>
  <si>
    <t>L2_ALL_FUSE</t>
  </si>
  <si>
    <t>LNL_pre.*_MAarr_.*</t>
  </si>
  <si>
    <t>L2_ALL_POST_HRY</t>
  </si>
  <si>
    <t>L2_SSA_MIN_REP</t>
  </si>
  <si>
    <t>VMIN</t>
  </si>
  <si>
    <t>MIN</t>
  </si>
  <si>
    <t>L2_PRE_REPAIR_SEARCH</t>
  </si>
  <si>
    <t>array_pbist_tito_atomclk_sort_lfm_atomcore_ks_l2_lsa_list</t>
  </si>
  <si>
    <t>Search</t>
  </si>
  <si>
    <t>L2_ALL_VFDM_MIN</t>
  </si>
  <si>
    <t>L2_ALL_VFDM_APPLY_MIN</t>
  </si>
  <si>
    <t>L2_ALL_FUSE_MIN</t>
  </si>
  <si>
    <t>L2_POST_REPAIR_SEARCH</t>
  </si>
  <si>
    <t>Local</t>
  </si>
  <si>
    <t>L2_LRU_NOM_REP</t>
  </si>
  <si>
    <t>L2_LRU_PRE_HRY</t>
  </si>
  <si>
    <t>VCCATOM_HC</t>
  </si>
  <si>
    <t>L2_LRU_CAPTURE</t>
  </si>
  <si>
    <t>array_pbist_raster_tito_atom_direct_lsa_l2_lru_list</t>
  </si>
  <si>
    <t>L2LRU</t>
  </si>
  <si>
    <t>L2_LRU_REPAIR</t>
  </si>
  <si>
    <t>l2lru</t>
  </si>
  <si>
    <t>L2_LRU_REPAIR_TO_FUSE</t>
  </si>
  <si>
    <t>L2_LRU_VFDM</t>
  </si>
  <si>
    <t>L2_LRU_VFDM_APPLY</t>
  </si>
  <si>
    <t>L2_LRU_FUSE</t>
  </si>
  <si>
    <t>L2_LRU_POST_HRY</t>
  </si>
  <si>
    <t>L2_LRU_MIN_REP</t>
  </si>
  <si>
    <t>L2_LRU_VFDM_MIN</t>
  </si>
  <si>
    <t>L2_LRU_VFDM_APPLY_MIN</t>
  </si>
  <si>
    <t>L2_LRU_FUSE_MIN</t>
  </si>
  <si>
    <t>RF_NOM_REP</t>
  </si>
  <si>
    <t>RF_PRE_HRY</t>
  </si>
  <si>
    <t>array_pbist_hry_tito_atom_indirect_lsa_repairable_list</t>
  </si>
  <si>
    <t>ATOMRF</t>
  </si>
  <si>
    <t>True</t>
  </si>
  <si>
    <t>RF_RASTER</t>
  </si>
  <si>
    <t>array_pbist_raster_tito_atom_indirect_lsa_list</t>
  </si>
  <si>
    <t>RF_REPAIR</t>
  </si>
  <si>
    <t>corerfall</t>
  </si>
  <si>
    <t>lsaraster</t>
  </si>
  <si>
    <t>RF_REPAIR_TO_FUSE</t>
  </si>
  <si>
    <t>RF_VFDM</t>
  </si>
  <si>
    <t>RF_VFDM_APPLY</t>
  </si>
  <si>
    <t>RF_FUSE</t>
  </si>
  <si>
    <t>RF_POST_HRY</t>
  </si>
  <si>
    <t>RF_MIN_REP</t>
  </si>
  <si>
    <t>RF_VFDM_MIN</t>
  </si>
  <si>
    <t>RF_VFDM_APPLY_MIN</t>
  </si>
  <si>
    <t>RF_FUSE_MIN</t>
  </si>
  <si>
    <t>RF_NON_REPAIRABLE</t>
  </si>
  <si>
    <t>RF_NON_REP_HRY</t>
  </si>
  <si>
    <t>array_pbist_hry_tito_atom_indirect_lsa_non_repairable_list</t>
  </si>
  <si>
    <t>ATOMNONREP</t>
  </si>
  <si>
    <t>RF_NON_REP_RASTER</t>
  </si>
  <si>
    <t>LSA_ROM</t>
  </si>
  <si>
    <t>array_pbist_hvqk_tito_atom_lsa_rom_list</t>
  </si>
  <si>
    <t>array_pbist_hvqk_tito_atom_ssa_list</t>
  </si>
  <si>
    <t>HVQK</t>
  </si>
  <si>
    <t>BASE::SBF_HVQK_ARR_ATOM_HVQK</t>
  </si>
  <si>
    <t>bt!nbl!OFF at!nbl!ON</t>
  </si>
  <si>
    <t>atom_cache_lsa_rom_stress</t>
  </si>
  <si>
    <t>atom_cache_l2_stress</t>
  </si>
  <si>
    <t>SHMOO_STRESS</t>
  </si>
  <si>
    <t>SHMOO</t>
  </si>
  <si>
    <t>BASE::SHMOO_nom_lvl</t>
  </si>
  <si>
    <t>p_vccatom_spec</t>
  </si>
  <si>
    <t>p_vccl2_spec</t>
  </si>
  <si>
    <t>POSTHVQK</t>
  </si>
  <si>
    <t>MAarr:atom_clk:1700MHz</t>
  </si>
  <si>
    <t>KS</t>
  </si>
  <si>
    <t>VCHK</t>
  </si>
  <si>
    <t>L2_ALL</t>
  </si>
  <si>
    <t>array_pbist_tito_atomclk_sort_lfm_atomcore_ks_l2_ssa_ds_list</t>
  </si>
  <si>
    <t>SearchWithScoreboard</t>
  </si>
  <si>
    <t>L2_LRU</t>
  </si>
  <si>
    <t>array_pbist_tito_atomclk_sort_lfm_atomcore_ks_l2_lsa_ds_list</t>
  </si>
  <si>
    <t>RF_ALL</t>
  </si>
  <si>
    <t>array_pbist_tito_atomclk_sort_lfm_atomcore_ks_lsa_list</t>
  </si>
  <si>
    <t>array_pbist_tito_atomclk_sort_lfm_atomcore_ks_rom_list</t>
  </si>
  <si>
    <t>CAM</t>
  </si>
  <si>
    <t>array_pbist_tito_atomclk_sort_lfm_atomcore_ks_cam_list</t>
  </si>
  <si>
    <t>PMOVI</t>
  </si>
  <si>
    <t>L2_ALL_PMOVI</t>
  </si>
  <si>
    <t>array_pbist_tito_atomclk_sort_lfm_atomcore_ks_l2_ssa_ds_pmovi_list</t>
  </si>
  <si>
    <t>L2_LRU_PMOVI</t>
  </si>
  <si>
    <t>array_pbist_tito_atomclk_sort_lfm_atomcore_ks_l2_lsa_ds_pmovi_list</t>
  </si>
  <si>
    <t>RF_ALL_PMOVI</t>
  </si>
  <si>
    <t>array_pbist_tito_atomclk_sort_lfm_atomcore_ks_lsa_pmovi_list</t>
  </si>
  <si>
    <t>VMAX</t>
  </si>
  <si>
    <t>array_pbist_tito_atomclk_sort_lfm_atomcore_ks_l2_ssa_list</t>
  </si>
  <si>
    <t>HFM</t>
  </si>
  <si>
    <t>ENDXFM</t>
  </si>
  <si>
    <t>MAarr:atom_clk:3000MHz</t>
  </si>
  <si>
    <t>ENDTFM</t>
  </si>
  <si>
    <t>TFM</t>
  </si>
  <si>
    <t>MAarr:atom_clk:3300MHz</t>
  </si>
  <si>
    <t>HOTSTRESS</t>
  </si>
  <si>
    <t>BASE::SBF_HVQK_SDT_ATOM_HVQK</t>
  </si>
  <si>
    <t>EmbPython!Execute ./Modules/TPI_BASE/InputFiles/DTS.ProcessDMEMData</t>
  </si>
  <si>
    <t>atom_cache_lsa_rom_stress_HOT</t>
  </si>
  <si>
    <t>atom_cache_l2_stress_HOT</t>
  </si>
  <si>
    <t>SDTEND</t>
  </si>
  <si>
    <t>SDTEND_SHMOO</t>
  </si>
  <si>
    <t>CBO</t>
  </si>
  <si>
    <t>ARR_CCF::cpu_ctf_timing_tclk100_cclk100_bclk400_12p5ns_ccf</t>
  </si>
  <si>
    <t>arria_ccf_sort_lfm_hvqk_tito_xsa_cbo_list</t>
  </si>
  <si>
    <t>SBO</t>
  </si>
  <si>
    <t>PMA</t>
  </si>
  <si>
    <t>arr_pma_sort_lfm_hvqk_list</t>
  </si>
  <si>
    <t>BASE::SBF_HVQK_ARR_CCF_HVQK</t>
  </si>
  <si>
    <t>ccf_cache_cbo_stress</t>
  </si>
  <si>
    <t>ccf_cache_sbo_stress</t>
  </si>
  <si>
    <t>ccf_cache_pma_stress</t>
  </si>
  <si>
    <t>p_vccia_spec</t>
  </si>
  <si>
    <t>p_vccsa_spec</t>
  </si>
  <si>
    <t>marr_mbist_ring_ssa_ks_sort_tito_cbo_list</t>
  </si>
  <si>
    <t>ARR_CCF:core_ratio:0.8GHz,ARR_CCF:ring_ratio:1.2GHz,ARR_CCF:ring_subrutine:1.2GHz</t>
  </si>
  <si>
    <t>CBO_SSA_FF</t>
  </si>
  <si>
    <t>CBO_LSA_FF</t>
  </si>
  <si>
    <t>marr_mbist_ring_lsa_ks_sort_tito_cbo_list</t>
  </si>
  <si>
    <t>marr_mbist_ring_ssa_ks_sort_tito_sbo_list</t>
  </si>
  <si>
    <t>SBO_SSA_FF</t>
  </si>
  <si>
    <t>marr_mbist_san_ssa_ks_sort_tito_sbo_list</t>
  </si>
  <si>
    <t>SBO_LSA_FF</t>
  </si>
  <si>
    <t>marr_mbist_san_lsa_ks_sort_tito_ondd_sbo_list</t>
  </si>
  <si>
    <t>SBO_ROM_FF</t>
  </si>
  <si>
    <t>marr_mbist_ring_rom_ks_sort_tito_sbo_list</t>
  </si>
  <si>
    <t>marr_mbist_san_ssa_ks_sort_tito_pma_list</t>
  </si>
  <si>
    <t>CBO_SSA_PMOVI</t>
  </si>
  <si>
    <t>marr_mbist_ring_ssa_ks_sort_tito_cbo_pmovi_list</t>
  </si>
  <si>
    <t>CBO_LSA_PMOVI</t>
  </si>
  <si>
    <t>marr_mbist_ring_lsa_ks_sort_tito_cbo_pmovi_list</t>
  </si>
  <si>
    <t>SBO_SSA_PMOVI</t>
  </si>
  <si>
    <t>marr_mbist_ring_ssa_ks_sort_tito_sbo_pmovi_list</t>
  </si>
  <si>
    <t>SBO_LSA_PMOVI</t>
  </si>
  <si>
    <t>marr_mbist_ring_lsa_ks_sort_tito_sbo_pmovi_list</t>
  </si>
  <si>
    <t>PMA_PMOVI</t>
  </si>
  <si>
    <t>arr_san_sort_lfm_prepost_ssa_pma_list</t>
  </si>
  <si>
    <t>CBO_F1</t>
  </si>
  <si>
    <t>SBO_F1</t>
  </si>
  <si>
    <t>PMA_F1</t>
  </si>
  <si>
    <t>CBO_F6</t>
  </si>
  <si>
    <t>SBO_F6</t>
  </si>
  <si>
    <t>PMA_F6</t>
  </si>
  <si>
    <t>ARR_CCF:core_ratio:0.8GHz,ARR_CCF:ring_ratio:2.7GHz,ARR_CCF:ring_subrutine:2.7GHz</t>
  </si>
  <si>
    <t>ARR_CCF:core_ratio:0.8GHz,ARR_CCF:ring_ratio:4.0GHz,ARR_CCF:ring_subrutine:4.0GHz</t>
  </si>
  <si>
    <t>BASE::SBF_HVQK_SDT_CCF_HVQK</t>
  </si>
  <si>
    <t>ccf_cache_cbo_stress_HOT</t>
  </si>
  <si>
    <t>ccf_cache_sbo_stress_HOT</t>
  </si>
  <si>
    <t>ccf_cache_pma_stress_HOT</t>
  </si>
  <si>
    <t>FULL_COUNTER</t>
  </si>
  <si>
    <t>CRSA</t>
  </si>
  <si>
    <t>CORE_ALL</t>
  </si>
  <si>
    <t>ARR_CORE::cpu_ctf_timing_tclk100_cclk200_bclk400_12p5ns_core</t>
  </si>
  <si>
    <t>arria_core_sort_lfm_hvqk_tico_xsa_mclk_list</t>
  </si>
  <si>
    <t>PMUCS</t>
  </si>
  <si>
    <t>ARR_CORE::cpu_ctf_timing_tclk100_cclk200_bclk400_4p5ns_core</t>
  </si>
  <si>
    <t>arr_pmucs_sort_lfm_hvqk_list</t>
  </si>
  <si>
    <t>MCLK</t>
  </si>
  <si>
    <t>BASE::SBF_HVQK_ARR_CORE_HVQK</t>
  </si>
  <si>
    <t>core_cache_all_stress</t>
  </si>
  <si>
    <t>PMUCS_SBCLK</t>
  </si>
  <si>
    <t>core_cache_pmucs_stress</t>
  </si>
  <si>
    <t>TICO</t>
  </si>
  <si>
    <t>MLC_SRAM_ALL</t>
  </si>
  <si>
    <t>marr_mbist_core_ssa_ks_sort_tico_pm_list</t>
  </si>
  <si>
    <t>ARR_CORE:core_ratio:1.5GHz,ARR_CORE:core_subrutine:1.5GHz,ARR_CORE:ring_ratio:1.2GHz</t>
  </si>
  <si>
    <t>marr_mbist_core_lsa_ks_sort_tico_all_list</t>
  </si>
  <si>
    <t>ROM_ALL</t>
  </si>
  <si>
    <t>marr_mbist_core_rom_ks_sort_tico_fit_list</t>
  </si>
  <si>
    <t>marr_mbist_san_ssa_ks_sort_tito_pmucs_list</t>
  </si>
  <si>
    <t>arria_core_sort_lfm_hvqk_tito_xsa_mclk_list</t>
  </si>
  <si>
    <t>SBCLK</t>
  </si>
  <si>
    <t>arria_core_sort_lfm_hvqk_tito_rom_sbclk_list</t>
  </si>
  <si>
    <t>arr_san_sort_lfm_hvqk_ssa_pm_list</t>
  </si>
  <si>
    <t>MLC_SRAM</t>
  </si>
  <si>
    <t>ARR_CORE:core_ratio:3.0GHz,ARR_CORE:core_subrutine:3.0GHz,ARR_CORE:ring_ratio:1.2GHz</t>
  </si>
  <si>
    <t>ARR_CORE:core_ratio:4.6GHz,ARR_CORE:core_subrutine:4.6GHz,ARR_CORE:ring_ratio:1.2GHz</t>
  </si>
  <si>
    <t>ARR_CORE:core_ratio:1.5GHz,ARR_CORE:core_subrutine:1.5GHz</t>
  </si>
  <si>
    <t>BASE::SBF_HVQK_SDT_CORE_HVQK</t>
  </si>
  <si>
    <t>core_cache_pmucs_stress_HOT</t>
  </si>
  <si>
    <t>DLVR</t>
  </si>
  <si>
    <t>ARR_CORE/InputFiles/DLVR_bypass.FuseSetPoints.json</t>
  </si>
  <si>
    <t>CCF_OFF</t>
  </si>
  <si>
    <t>LNL_pre_L9999991_A_C130410804a18aagg1904a042x04010l130x_Marr_LA2P_HDMT2_hvm__0</t>
  </si>
  <si>
    <t>core_cache_all_stress_HOT</t>
  </si>
  <si>
    <t>DLVR_POR</t>
  </si>
  <si>
    <t>CCF_ON</t>
  </si>
  <si>
    <t>SDTSTRESS</t>
  </si>
  <si>
    <t>DE</t>
  </si>
  <si>
    <t>arrsa_de_sort_lfm_hvqk_tito_xsa_all_list</t>
  </si>
  <si>
    <t>IPU_PS</t>
  </si>
  <si>
    <t>arrsa_ipu_sort_lfm_hvqk_tito_x_xsa_psclk_list</t>
  </si>
  <si>
    <t>IPU:ps_clk:200MHz,IPU:ratio_modify:0.2GHz</t>
  </si>
  <si>
    <t>SAIS</t>
  </si>
  <si>
    <t>IPU_IS</t>
  </si>
  <si>
    <t>arrsa_ipu_sort_lfm_hvqk_tito_x_xsa_isclk_list</t>
  </si>
  <si>
    <t>IPU:is_clk:200MHz,IPU:ratio_modify:0.2GHz</t>
  </si>
  <si>
    <t>MEDIA</t>
  </si>
  <si>
    <t>arrsa_media_sort_lfm_hvqk_tito_x_xsa_all_list</t>
  </si>
  <si>
    <t>SHMOO_PRE</t>
  </si>
  <si>
    <t>BASE::SBF_HVQK_ARR_GT_HVQK</t>
  </si>
  <si>
    <t>gfx_cache_de_stress</t>
  </si>
  <si>
    <t>gfx_cache_ipu_ps_stress</t>
  </si>
  <si>
    <t>gfx_cache_ipu_is_stress</t>
  </si>
  <si>
    <t>gfx_cache_media_stress</t>
  </si>
  <si>
    <t>ALL_DE</t>
  </si>
  <si>
    <t>marr_mbist_de_ssa_ks_sort_tito_x_list</t>
  </si>
  <si>
    <t>marr_mbist_de_lsa_ks_sort_tito_x_list</t>
  </si>
  <si>
    <t>ALL_IPU</t>
  </si>
  <si>
    <t>marr_mbist_ipu_ssa_ks_sort_tito_is_list</t>
  </si>
  <si>
    <t>marr_mbist_ipu_lsa_ks_sort_tito_is_list</t>
  </si>
  <si>
    <t>marr_mbist_ipu_ssa_ks_sort_tito_ps_list</t>
  </si>
  <si>
    <t>marr_mbist_ipu_lsa_ks_sort_tito_ps_list</t>
  </si>
  <si>
    <t>ALL_MEDIA</t>
  </si>
  <si>
    <t>marr_mbist_media_ssa_ks_sort_tito_x_list</t>
  </si>
  <si>
    <t>marr_mbist_media_lsa_ks_sort_tito_x_list</t>
  </si>
  <si>
    <t>marr_mbist_media_rom_ks_sort_tito_x_list</t>
  </si>
  <si>
    <t>PMOVI_DE</t>
  </si>
  <si>
    <t>arrsa_de_sort_lfm_prepost_tito_xsa_all_list</t>
  </si>
  <si>
    <t>PMOVI_IPU</t>
  </si>
  <si>
    <t>PMOVI_IPU_PS</t>
  </si>
  <si>
    <t>arrsa_ipu_sort_lfm_prepost_tito_x_xsa_psclk_list</t>
  </si>
  <si>
    <t>PMOVI_IPU_IS</t>
  </si>
  <si>
    <t>arrsa_ipu_sort_lfm_prepost_tito_x_xsa_isclk_list</t>
  </si>
  <si>
    <t>PMOVI_MEDIA</t>
  </si>
  <si>
    <t>arrsa_media_sort_lfm_prepost_tito_x_xsa_all_list</t>
  </si>
  <si>
    <t>PMOVI_MEDIA_ROM</t>
  </si>
  <si>
    <t>arrsa_media_sort_lfm_prepost_tito_x_rom_list</t>
  </si>
  <si>
    <t>DE:display_clk:480MHz</t>
  </si>
  <si>
    <t>DE:display_clk:312MHz</t>
  </si>
  <si>
    <t>IPU:ps_clk:425MHz</t>
  </si>
  <si>
    <t>IPU:ps_clk:200MHz</t>
  </si>
  <si>
    <t>IPU:is_clk:400MHz</t>
  </si>
  <si>
    <t>IPU:is_clk:200MHz</t>
  </si>
  <si>
    <t>MEDIA:media_clk:1000MHz</t>
  </si>
  <si>
    <t>MEDIA:media_clk:400MHz</t>
  </si>
  <si>
    <t>DE:display_clk:660MHz</t>
  </si>
  <si>
    <t>IPU:ps_clk:700MHz</t>
  </si>
  <si>
    <t>IPU:is_clk:475MHz</t>
  </si>
  <si>
    <t>MEDIA:media_clk:1200MHz</t>
  </si>
  <si>
    <t>BASE::SBF_HVQK_SDT_SA_HVQK</t>
  </si>
  <si>
    <t>gfx_cache_de_stress_HOT</t>
  </si>
  <si>
    <t>EmbPython!Execute ./Modules/TPI_BASE/InputFiles/DTS.ProcessDMEMData 56724</t>
  </si>
  <si>
    <t>gfx_cache_ipu_ps_stress_HOT</t>
  </si>
  <si>
    <t>EmbPython!Execute ./Modules/TPI_BASE/InputFiles/DTS.ProcessDMEMData 30561</t>
  </si>
  <si>
    <t>gfx_cache_ipu_is_stress_HOT</t>
  </si>
  <si>
    <t>EmbPython!Execute ./Modules/TPI_BASE/InputFiles/DTS.ProcessDMEMData 3492</t>
  </si>
  <si>
    <t>gfx_cache_media_stress_HOT</t>
  </si>
  <si>
    <t>EmbPython!Execute ./Modules/TPI_BASE/InputFiles/DTS.ProcessDMEMData 89442</t>
  </si>
  <si>
    <t>0400_0600</t>
  </si>
  <si>
    <t>arr_san_saq_sort_lfm_hvqk_list</t>
  </si>
  <si>
    <t>FUSE</t>
  </si>
  <si>
    <t>arr_fuse_sort_lfm_hvqk_list</t>
  </si>
  <si>
    <t>VNNAON_LV_HV</t>
  </si>
  <si>
    <t>SET_LFM</t>
  </si>
  <si>
    <t>LNL_pre_.*_Marr_.*</t>
  </si>
  <si>
    <t>ARR_SOC/InputFiles/ARR_SAN.FuseSetpoint.json</t>
  </si>
  <si>
    <t>ONDD_F2</t>
  </si>
  <si>
    <t>ONDD</t>
  </si>
  <si>
    <t>arr_ondd_sort_lfm_hvqk_list</t>
  </si>
  <si>
    <t>VCCVNNAON_LC,VCCVNNAON_TEST_PORT_LC</t>
  </si>
  <si>
    <t>p_vnnaon_lv_spec</t>
  </si>
  <si>
    <t>BASE::SBF_HVQK_ARR_SA_HVQK</t>
  </si>
  <si>
    <t>soc_cache_all_stress</t>
  </si>
  <si>
    <t>soc_cache_fuse_stress</t>
  </si>
  <si>
    <t>BASE::SBF_HVQK_ARR_VNNAON_HVQK_1P6</t>
  </si>
  <si>
    <t>soc_cache_ondd_stress</t>
  </si>
  <si>
    <t>VCCVNNAON_LC</t>
  </si>
  <si>
    <t>p_vccvnnaon_spec</t>
  </si>
  <si>
    <t>HBO</t>
  </si>
  <si>
    <t>marr_mbist_saq_ssa_ks_sort_tito_hbo_list</t>
  </si>
  <si>
    <t>SBCLK_CCSR</t>
  </si>
  <si>
    <t>marr_mbist_saq_ssa_ks_sort_tito_ccsr_list</t>
  </si>
  <si>
    <t>DDXR</t>
  </si>
  <si>
    <t>marr_mbist_saq_ssa_ks_sort_tito_ddxr_list</t>
  </si>
  <si>
    <t>DDHY</t>
  </si>
  <si>
    <t>marr_mbist_saq_ssa_ks_sort_tito_ddhy_list</t>
  </si>
  <si>
    <t>PUNIT</t>
  </si>
  <si>
    <t>marr_mbist_san_ssa_ks_sort_tito_punit_list</t>
  </si>
  <si>
    <t>marr_mbist_san_ssa_ks_sort_tito_sbclk_list</t>
  </si>
  <si>
    <t>ALL_SAQ</t>
  </si>
  <si>
    <t>marr_mbist_saq_lsa_ks_sort_tito_list</t>
  </si>
  <si>
    <t>marr_mbist_saq_lsa_ks_sort_tito_fuse_list</t>
  </si>
  <si>
    <t>marr_mbist_saq_lsa_ks_sort_tito_ddxr_list</t>
  </si>
  <si>
    <t>ALL_SAN</t>
  </si>
  <si>
    <t>marr_mbist_san_lsa_ks_sort_tito_list</t>
  </si>
  <si>
    <t>marr_mbist_san_lsa_ks_sort_tito_ondd_list</t>
  </si>
  <si>
    <t>CCSR</t>
  </si>
  <si>
    <t>marr_mbist_saq_rom_ks_sort_tito_ccsr_list</t>
  </si>
  <si>
    <t>marr_mbist_saq_rom_ks_sort_tito_ddhy_list</t>
  </si>
  <si>
    <t>marr_mbist_san_rom_ks_sort_tito_list</t>
  </si>
  <si>
    <t>SAQ_QCLK</t>
  </si>
  <si>
    <t>arr_saq_sort_lfm_hvqk_xsa_qclk_list</t>
  </si>
  <si>
    <t>SAQ_SBCLK</t>
  </si>
  <si>
    <t>arr_saq_sort_lfm_hvqk_xsa_sbclk_list</t>
  </si>
  <si>
    <t>arr_saq_sort_lfm_hvqk_fuse_list</t>
  </si>
  <si>
    <t>arr_san_sort_lfm_hvqk_xsa_list</t>
  </si>
  <si>
    <t>SAN_SBCLK</t>
  </si>
  <si>
    <t>arr_san_sort_lfm_hvqk_xsa_sbclk_list</t>
  </si>
  <si>
    <t>arr_san_sort_lfm_hvqk_oddclk_list</t>
  </si>
  <si>
    <t>ARU_EDC</t>
  </si>
  <si>
    <t>arr_san_sort_lfm_hvqk_edc_list</t>
  </si>
  <si>
    <t>PMOVI_QCLK</t>
  </si>
  <si>
    <t>arr_saq_sort_lfm_prepost_xsa_qclk_list</t>
  </si>
  <si>
    <t>PMOVI_SBCLK</t>
  </si>
  <si>
    <t>arr_saq_sort_lfm_prepost_xsa_sbclk_list</t>
  </si>
  <si>
    <t>PMOVI_FUSE</t>
  </si>
  <si>
    <t>arr_saq_sort_lfm_prepost_fuse_list</t>
  </si>
  <si>
    <t>PMOVI_SAN</t>
  </si>
  <si>
    <t>arr_san_sort_lfm_prepost_xsa_list</t>
  </si>
  <si>
    <t>PMOVI_SBCLK_CEN1</t>
  </si>
  <si>
    <t>arr_san_sort_lfm_prepost_ssa_cen1_list</t>
  </si>
  <si>
    <t>PMOVI_SBCLK_GT</t>
  </si>
  <si>
    <t>arr_san_sort_lfm_prepost_ssa_gt_list</t>
  </si>
  <si>
    <t>arr_san_sort_lfm_prepost_rom_cen1_list</t>
  </si>
  <si>
    <t>arr_san_sort_lfm_prepost_rom_gt_list</t>
  </si>
  <si>
    <t>PMOVI_ONDD</t>
  </si>
  <si>
    <t>arr_san_sort_lfm_prepost_lsa_ondd_list</t>
  </si>
  <si>
    <t>PMOVI_ARU_EDC</t>
  </si>
  <si>
    <t>arr_san_sort_lfm_prepost_ssa_aru_edc_list</t>
  </si>
  <si>
    <t>marr_mbist_san_ssa_ks_sort_tito_aru_edc_list</t>
  </si>
  <si>
    <t>arr_san_sort_lfm_hvqk_lsa_list</t>
  </si>
  <si>
    <t>ARR_SAN:noc_clk:700MHz</t>
  </si>
  <si>
    <t>ARR_SAN:noc_clk:400MHz</t>
  </si>
  <si>
    <t>arr_saq_sort_lfm_hvqk_list</t>
  </si>
  <si>
    <t>ARR_SAQ:memss_clk:1600MHz</t>
  </si>
  <si>
    <t>ARR_SAQ:memss_clk:600MHz</t>
  </si>
  <si>
    <t>SET_HFM</t>
  </si>
  <si>
    <t>ONDD_F3</t>
  </si>
  <si>
    <t>F3</t>
  </si>
  <si>
    <t>ONDDCCF</t>
  </si>
  <si>
    <t>arr_san_sort_lfm_hvqk_lsa_sbo_list</t>
  </si>
  <si>
    <t>ARR_SAN:noc_clk:1050MHz</t>
  </si>
  <si>
    <t>ARR_SAQ:memss_clk:2133MHz</t>
  </si>
  <si>
    <t>SET_TFM</t>
  </si>
  <si>
    <t>ONDD_F4</t>
  </si>
  <si>
    <t>F4</t>
  </si>
  <si>
    <t>EmbPython!Execute ./Modules/TPI_BASE/InputFiles/DTS.ProcessDMEMData 39505</t>
  </si>
  <si>
    <t>soc_cache_all_stress_HOT</t>
  </si>
  <si>
    <t>EmbPython!Execute ./Modules/TPI_BASE/InputFiles/DTS.ProcessDMEMData 1636</t>
  </si>
  <si>
    <t>soc_cache_fuse_stress_HOT</t>
  </si>
  <si>
    <t>EmbPython!Execute ./Modules/TPI_BASE/InputFiles/DTS.ProcessDMEMData 292</t>
  </si>
  <si>
    <t>soc_cache_ondd_stress_HOT</t>
  </si>
  <si>
    <t>SAN_SAQ</t>
  </si>
  <si>
    <t>RecString</t>
  </si>
  <si>
    <t>VPU_IP</t>
  </si>
  <si>
    <t>arr_vpu_sort_lfm_hvqk_xsa_all_parallperstep_list</t>
  </si>
  <si>
    <t>XSA_NON_RECOVERY_PRE</t>
  </si>
  <si>
    <t>CPU</t>
  </si>
  <si>
    <t>arr_vpu_sort_lfm_hvqk_lsa_vcpu_list</t>
  </si>
  <si>
    <t>BTR</t>
  </si>
  <si>
    <t>arr_vpu_sort_lfm_hvqk_lsa_vbtr_list</t>
  </si>
  <si>
    <t>arr_vpu_sort_lfm_hvqk_ssa_vcpu_list</t>
  </si>
  <si>
    <t>LSA_RECOVERY_PRE</t>
  </si>
  <si>
    <t>TILE0</t>
  </si>
  <si>
    <t>arr_vpu_sort_lfm_hvqk_lsa_til0_list</t>
  </si>
  <si>
    <t>TILEREC0</t>
  </si>
  <si>
    <t>VPU0</t>
  </si>
  <si>
    <t>TILE1</t>
  </si>
  <si>
    <t>arr_vpu_sort_lfm_hvqk_lsa_til1_list</t>
  </si>
  <si>
    <t>TILEREC1</t>
  </si>
  <si>
    <t>VPU1</t>
  </si>
  <si>
    <t>TILE2</t>
  </si>
  <si>
    <t>arr_vpu_sort_lfm_hvqk_lsa_til2_list</t>
  </si>
  <si>
    <t>TILEREC2</t>
  </si>
  <si>
    <t>VPU2</t>
  </si>
  <si>
    <t>TILE3</t>
  </si>
  <si>
    <t>arr_vpu_sort_lfm_hvqk_lsa_til3_list</t>
  </si>
  <si>
    <t>TILEREC3</t>
  </si>
  <si>
    <t>VPU3</t>
  </si>
  <si>
    <t>TILE4</t>
  </si>
  <si>
    <t>arr_vpu_sort_lfm_hvqk_lsa_til4_list</t>
  </si>
  <si>
    <t>TILEREC4</t>
  </si>
  <si>
    <t>VPU4</t>
  </si>
  <si>
    <t>TILE5</t>
  </si>
  <si>
    <t>arr_vpu_sort_lfm_hvqk_lsa_til5_list</t>
  </si>
  <si>
    <t>TILEREC5</t>
  </si>
  <si>
    <t>VPU5</t>
  </si>
  <si>
    <t>SSA_RECOVERY_PRE</t>
  </si>
  <si>
    <t>arr_vpu_sort_lfm_hvqk_ssa_til0_list</t>
  </si>
  <si>
    <t>arr_vpu_sort_lfm_hvqk_ssa_til1_list</t>
  </si>
  <si>
    <t>arr_vpu_sort_lfm_hvqk_ssa_til2_list</t>
  </si>
  <si>
    <t>arr_vpu_sort_lfm_hvqk_ssa_til3_list</t>
  </si>
  <si>
    <t>arr_vpu_sort_lfm_hvqk_ssa_til4_list</t>
  </si>
  <si>
    <t>arr_vpu_sort_lfm_hvqk_ssa_til5_list</t>
  </si>
  <si>
    <t>VPU_ALL</t>
  </si>
  <si>
    <t>vpu_cache_all_stress</t>
  </si>
  <si>
    <t>XSA_NON_RECOVERY_STRESS</t>
  </si>
  <si>
    <t xml:space="preserve"> </t>
  </si>
  <si>
    <t>LSA_RECOVERY_STRESS</t>
  </si>
  <si>
    <t>"000001"</t>
  </si>
  <si>
    <t>"000010"</t>
  </si>
  <si>
    <t>"000100"</t>
  </si>
  <si>
    <t>"001000"</t>
  </si>
  <si>
    <t>"010000"</t>
  </si>
  <si>
    <t>"100000"</t>
  </si>
  <si>
    <t>SSA_RECOVERY_STRESS</t>
  </si>
  <si>
    <t>XSA_NON_RECOVERY_POST</t>
  </si>
  <si>
    <t>LSA_RECOVERY_POST</t>
  </si>
  <si>
    <t>SSA_RECOVERY_POST</t>
  </si>
  <si>
    <t>marr_mbist_vpu_ssa_ks_sort_tito_all_list</t>
  </si>
  <si>
    <t>KS_SSA_NON_REC</t>
  </si>
  <si>
    <t>marr_mbist_vpu_ssa_ks_sort_tito_notile_list</t>
  </si>
  <si>
    <t>KS_SSA</t>
  </si>
  <si>
    <t>marr_mbist_vpu_ssa_ks_sort_tito_tile0_list</t>
  </si>
  <si>
    <t>marr_mbist_vpu_ssa_ks_sort_tito_tile1_list</t>
  </si>
  <si>
    <t>marr_mbist_vpu_ssa_ks_sort_tito_tile2_list</t>
  </si>
  <si>
    <t>marr_mbist_vpu_ssa_ks_sort_tito_tile3_list</t>
  </si>
  <si>
    <t>marr_mbist_vpu_ssa_ks_sort_tito_tile4_list</t>
  </si>
  <si>
    <t>marr_mbist_vpu_ssa_ks_sort_tito_tile5_list</t>
  </si>
  <si>
    <t>marr_mbist_vpu_lsa_ks_sort_tito_all_list</t>
  </si>
  <si>
    <t>KS_LSA_NON_REC</t>
  </si>
  <si>
    <t>marr_mbist_vpu_lsa_ks_sort_tito_notile_list</t>
  </si>
  <si>
    <t>KS_LSA</t>
  </si>
  <si>
    <t>marr_mbist_vpu_lsa_ks_sort_tito_tile0_list</t>
  </si>
  <si>
    <t>marr_mbist_vpu_lsa_ks_sort_tito_tile1_list</t>
  </si>
  <si>
    <t>marr_mbist_vpu_lsa_ks_sort_tito_tile2_list</t>
  </si>
  <si>
    <t>marr_mbist_vpu_lsa_ks_sort_tito_tile3_list</t>
  </si>
  <si>
    <t>marr_mbist_vpu_lsa_ks_sort_tito_tile4_list</t>
  </si>
  <si>
    <t>marr_mbist_vpu_lsa_ks_sort_tito_tile5_list</t>
  </si>
  <si>
    <t>ARR_VPU:vpu_clk:3100MHz,ARR_VPU:vpu_ws:3100MHz</t>
  </si>
  <si>
    <t>ARR_VPU:vpu_clk:3700MHz,ARR_VPU:vpu_ws:3700MHz</t>
  </si>
  <si>
    <t>vpu_cache_all_stress_HOT</t>
  </si>
  <si>
    <t>XSA_NON_RECOVERY_HOTSTRESS</t>
  </si>
  <si>
    <t>LSA_RECOVERY_HOTSTRESS</t>
  </si>
  <si>
    <t>SSA_RECOVERY_HOTSTRESS</t>
  </si>
  <si>
    <t>XSA_NON_RECOVERY_SDTEND</t>
  </si>
  <si>
    <t>LSA_RECOVERY_POST_SDTEND</t>
  </si>
  <si>
    <t>SSA_RECOVERY_POST_SDTEND</t>
  </si>
  <si>
    <t>Vmin Repair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</si>
</sst>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9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10" xfId="0" applyBorder="1"/>
    <xf numFmtId="0" fontId="18" fillId="36" borderId="0" xfId="0" applyFont="1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18" fillId="39" borderId="0" xfId="0" applyFont="1" applyFill="1"/>
    <xf numFmtId="0" fontId="18" fillId="0" borderId="0" xfId="0" applyFon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8" fillId="42" borderId="0" xfId="0" applyFont="1" applyFill="1"/>
    <xf numFmtId="0" fontId="0" fillId="42" borderId="0" xfId="0" applyFill="1"/>
    <xf numFmtId="0" fontId="0" fillId="43" borderId="0" xfId="0" applyFill="1"/>
    <xf numFmtId="0" fontId="18" fillId="35" borderId="0" xfId="0" applyFont="1" applyFill="1"/>
    <xf numFmtId="0" fontId="18" fillId="44" borderId="0" xfId="0" applyFont="1" applyFill="1"/>
    <xf numFmtId="0" fontId="0" fillId="44" borderId="0" xfId="0" applyFill="1"/>
    <xf numFmtId="0" fontId="18" fillId="43" borderId="0" xfId="0" applyFont="1" applyFill="1"/>
    <xf numFmtId="0" fontId="18" fillId="45" borderId="0" xfId="0" applyFont="1" applyFill="1"/>
    <xf numFmtId="0" fontId="0" fillId="45" borderId="0" xfId="0" applyFill="1"/>
    <xf numFmtId="0" fontId="18" fillId="46" borderId="0" xfId="0" applyFont="1" applyFill="1"/>
    <xf numFmtId="0" fontId="0" fillId="46" borderId="0" xfId="0" applyFill="1"/>
    <xf numFmtId="0" fontId="18" fillId="47" borderId="0" xfId="0" applyFont="1" applyFill="1"/>
    <xf numFmtId="0" fontId="0" fillId="47" borderId="0" xfId="0" applyFill="1"/>
    <xf numFmtId="0" fontId="18" fillId="48" borderId="0" xfId="0" applyFont="1" applyFill="1"/>
    <xf numFmtId="0" fontId="0" fillId="48" borderId="0" xfId="0" applyFill="1"/>
    <xf numFmtId="0" fontId="18" fillId="33" borderId="0" xfId="0" applyFont="1" applyFill="1"/>
    <xf numFmtId="0" fontId="18" fillId="49" borderId="0" xfId="0" applyFont="1" applyFill="1"/>
    <xf numFmtId="0" fontId="0" fillId="49" borderId="0" xfId="0" applyFill="1"/>
    <xf numFmtId="0" fontId="18" fillId="50" borderId="0" xfId="0" applyFont="1" applyFill="1"/>
    <xf numFmtId="0" fontId="0" fillId="50" borderId="0" xfId="0" applyFill="1"/>
    <xf numFmtId="0" fontId="18" fillId="51" borderId="0" xfId="0" applyFont="1" applyFill="1"/>
    <xf numFmtId="0" fontId="18" fillId="52" borderId="0" xfId="0" applyFont="1" applyFill="1"/>
    <xf numFmtId="0" fontId="0" fillId="52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36" borderId="0" xfId="0" applyFill="1" applyAlignment="1">
      <alignment horizontal="center"/>
    </xf>
    <xf numFmtId="0" fontId="18" fillId="40" borderId="0" xfId="0" applyFont="1" applyFill="1"/>
    <xf numFmtId="0" fontId="0" fillId="35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18" fillId="37" borderId="0" xfId="0" applyFont="1" applyFill="1"/>
    <xf numFmtId="0" fontId="6" fillId="2" borderId="0" xfId="6"/>
    <xf numFmtId="0" fontId="8" fillId="4" borderId="0" xfId="8"/>
    <xf numFmtId="0" fontId="18" fillId="53" borderId="0" xfId="0" applyFont="1" applyFill="1"/>
    <xf numFmtId="0" fontId="0" fillId="53" borderId="0" xfId="0" applyFill="1"/>
    <xf numFmtId="0" fontId="18" fillId="54" borderId="0" xfId="0" applyFont="1" applyFill="1"/>
    <xf numFmtId="0" fontId="0" fillId="0" borderId="0" xfId="0" quotePrefix="1"/>
    <xf numFmtId="0" fontId="14" fillId="0" borderId="10" xfId="0" applyFont="1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4FBB9-004C-4940-9BFC-92DD2EF1EA57}">
  <dimension ref="A1:N32"/>
  <sheetViews>
    <sheetView workbookViewId="0">
      <selection activeCell="B11" sqref="B11:K11"/>
    </sheetView>
  </sheetViews>
  <sheetFormatPr defaultRowHeight="14.5" x14ac:dyDescent="0.35"/>
  <cols>
    <col min="1" max="1" width="10.54296875" bestFit="1" customWidth="1"/>
    <col min="2" max="2" width="9.54296875" bestFit="1" customWidth="1"/>
    <col min="3" max="3" width="12.7265625" customWidth="1"/>
    <col min="4" max="4" width="10" customWidth="1"/>
    <col min="5" max="5" width="9" bestFit="1" customWidth="1"/>
    <col min="6" max="6" width="7.453125" bestFit="1" customWidth="1"/>
    <col min="7" max="7" width="10.54296875" bestFit="1" customWidth="1"/>
    <col min="8" max="8" width="9.1796875" bestFit="1" customWidth="1"/>
    <col min="9" max="9" width="8.81640625" bestFit="1" customWidth="1"/>
    <col min="10" max="10" width="10" bestFit="1" customWidth="1"/>
    <col min="11" max="11" width="9.54296875" customWidth="1"/>
    <col min="12" max="12" width="8.81640625" customWidth="1"/>
    <col min="13" max="13" width="13.54296875" customWidth="1"/>
    <col min="17" max="17" width="22.453125" bestFit="1" customWidth="1"/>
    <col min="18" max="19" width="12.54296875" customWidth="1"/>
    <col min="20" max="20" width="22.453125" bestFit="1" customWidth="1"/>
    <col min="21" max="21" width="3" bestFit="1" customWidth="1"/>
    <col min="22" max="22" width="3.1796875" bestFit="1" customWidth="1"/>
    <col min="23" max="23" width="8.1796875" bestFit="1" customWidth="1"/>
    <col min="24" max="24" width="9" bestFit="1" customWidth="1"/>
  </cols>
  <sheetData>
    <row r="1" spans="1:14" x14ac:dyDescent="0.35">
      <c r="A1" s="4" t="s">
        <v>0</v>
      </c>
      <c r="B1" s="4" t="s">
        <v>1</v>
      </c>
      <c r="C1" s="4" t="s">
        <v>2</v>
      </c>
    </row>
    <row r="2" spans="1:14" x14ac:dyDescent="0.35">
      <c r="A2" s="56" t="s">
        <v>3</v>
      </c>
      <c r="B2" s="4" t="s">
        <v>4</v>
      </c>
      <c r="C2" s="4">
        <v>60</v>
      </c>
    </row>
    <row r="3" spans="1:14" x14ac:dyDescent="0.35">
      <c r="A3" s="57"/>
      <c r="B3" s="4" t="s">
        <v>5</v>
      </c>
      <c r="C3" s="4">
        <v>20</v>
      </c>
    </row>
    <row r="4" spans="1:14" x14ac:dyDescent="0.35">
      <c r="A4" s="57"/>
      <c r="B4" s="4" t="s">
        <v>6</v>
      </c>
      <c r="C4" s="4">
        <v>20</v>
      </c>
    </row>
    <row r="5" spans="1:14" x14ac:dyDescent="0.35">
      <c r="A5" s="58"/>
      <c r="B5" s="4" t="s">
        <v>7</v>
      </c>
      <c r="C5" s="4">
        <v>60</v>
      </c>
    </row>
    <row r="6" spans="1:14" x14ac:dyDescent="0.35">
      <c r="A6" s="56" t="s">
        <v>8</v>
      </c>
      <c r="B6" s="4" t="s">
        <v>4</v>
      </c>
      <c r="C6" s="4">
        <v>61</v>
      </c>
    </row>
    <row r="7" spans="1:14" x14ac:dyDescent="0.35">
      <c r="A7" s="57"/>
      <c r="B7" s="4" t="s">
        <v>5</v>
      </c>
      <c r="C7" s="4">
        <v>21</v>
      </c>
    </row>
    <row r="8" spans="1:14" x14ac:dyDescent="0.35">
      <c r="A8" s="57"/>
      <c r="B8" s="4" t="s">
        <v>6</v>
      </c>
      <c r="C8" s="4">
        <v>21</v>
      </c>
    </row>
    <row r="9" spans="1:14" x14ac:dyDescent="0.35">
      <c r="A9" s="58"/>
      <c r="B9" s="4" t="s">
        <v>7</v>
      </c>
      <c r="C9" s="4">
        <v>61</v>
      </c>
    </row>
    <row r="11" spans="1:14" x14ac:dyDescent="0.35">
      <c r="A11" s="4"/>
      <c r="B11" s="53" t="s">
        <v>9</v>
      </c>
      <c r="C11" s="54"/>
      <c r="D11" s="54"/>
      <c r="E11" s="54"/>
      <c r="F11" s="54"/>
      <c r="G11" s="54"/>
      <c r="H11" s="54"/>
      <c r="I11" s="54"/>
      <c r="J11" s="54"/>
      <c r="K11" s="55"/>
      <c r="L11" s="53" t="s">
        <v>10</v>
      </c>
      <c r="M11" s="54"/>
      <c r="N11" s="55"/>
    </row>
    <row r="12" spans="1:14" x14ac:dyDescent="0.35">
      <c r="A12" s="4" t="s">
        <v>11</v>
      </c>
      <c r="B12" s="4" t="s">
        <v>12</v>
      </c>
      <c r="C12" s="4" t="s">
        <v>1378</v>
      </c>
      <c r="D12" s="4" t="s">
        <v>13</v>
      </c>
      <c r="E12" s="4" t="s">
        <v>14</v>
      </c>
      <c r="F12" s="4" t="s">
        <v>15</v>
      </c>
      <c r="G12" s="4" t="s">
        <v>16</v>
      </c>
      <c r="H12" s="4" t="s">
        <v>17</v>
      </c>
      <c r="I12" s="4" t="s">
        <v>18</v>
      </c>
      <c r="J12" s="4" t="s">
        <v>19</v>
      </c>
      <c r="K12" s="4" t="s">
        <v>20</v>
      </c>
      <c r="L12" s="4" t="s">
        <v>12</v>
      </c>
      <c r="M12" s="4" t="s">
        <v>14</v>
      </c>
      <c r="N12" s="4" t="s">
        <v>21</v>
      </c>
    </row>
    <row r="13" spans="1:14" x14ac:dyDescent="0.35">
      <c r="A13" s="4" t="s">
        <v>22</v>
      </c>
      <c r="B13" s="4">
        <v>10</v>
      </c>
      <c r="C13" s="4">
        <f>B13+8</f>
        <v>18</v>
      </c>
      <c r="D13" s="4">
        <v>11</v>
      </c>
      <c r="E13" s="4" t="s">
        <v>23</v>
      </c>
      <c r="F13" s="4" t="s">
        <v>23</v>
      </c>
      <c r="G13" s="4">
        <v>12</v>
      </c>
      <c r="H13" s="4" t="s">
        <v>23</v>
      </c>
      <c r="I13" s="4">
        <v>13</v>
      </c>
      <c r="J13" s="4">
        <v>14</v>
      </c>
      <c r="K13" s="52">
        <v>15</v>
      </c>
      <c r="L13" s="4">
        <v>16</v>
      </c>
      <c r="M13" s="4" t="s">
        <v>23</v>
      </c>
      <c r="N13" s="4">
        <v>17</v>
      </c>
    </row>
    <row r="14" spans="1:14" x14ac:dyDescent="0.35">
      <c r="A14" s="4" t="s">
        <v>24</v>
      </c>
      <c r="B14" s="4">
        <v>20</v>
      </c>
      <c r="C14" s="4">
        <f t="shared" ref="C14:C19" si="0">B14+8</f>
        <v>28</v>
      </c>
      <c r="D14" s="4">
        <v>21</v>
      </c>
      <c r="E14" s="4" t="s">
        <v>23</v>
      </c>
      <c r="F14" s="4" t="s">
        <v>23</v>
      </c>
      <c r="G14" s="4">
        <v>22</v>
      </c>
      <c r="H14" s="4" t="s">
        <v>23</v>
      </c>
      <c r="I14" s="4">
        <v>23</v>
      </c>
      <c r="J14" s="4">
        <v>24</v>
      </c>
      <c r="K14" s="52">
        <v>25</v>
      </c>
      <c r="L14" s="4">
        <v>26</v>
      </c>
      <c r="M14" s="4" t="s">
        <v>23</v>
      </c>
      <c r="N14" s="4">
        <v>27</v>
      </c>
    </row>
    <row r="15" spans="1:14" x14ac:dyDescent="0.35">
      <c r="A15" s="4" t="s">
        <v>25</v>
      </c>
      <c r="B15" s="4">
        <v>30</v>
      </c>
      <c r="C15" s="4">
        <f t="shared" si="0"/>
        <v>38</v>
      </c>
      <c r="D15" s="4">
        <v>31</v>
      </c>
      <c r="E15" s="4" t="s">
        <v>23</v>
      </c>
      <c r="F15" s="4" t="s">
        <v>23</v>
      </c>
      <c r="G15" s="4">
        <v>32</v>
      </c>
      <c r="H15" s="4" t="s">
        <v>23</v>
      </c>
      <c r="I15" s="4">
        <v>33</v>
      </c>
      <c r="J15" s="4">
        <v>34</v>
      </c>
      <c r="K15" s="52">
        <v>35</v>
      </c>
      <c r="L15" s="4">
        <v>36</v>
      </c>
      <c r="M15" s="4" t="s">
        <v>23</v>
      </c>
      <c r="N15" s="4">
        <v>37</v>
      </c>
    </row>
    <row r="16" spans="1:14" x14ac:dyDescent="0.35">
      <c r="A16" s="4" t="s">
        <v>26</v>
      </c>
      <c r="B16" s="4">
        <v>40</v>
      </c>
      <c r="C16" s="4">
        <f t="shared" si="0"/>
        <v>48</v>
      </c>
      <c r="D16" s="4">
        <v>41</v>
      </c>
      <c r="E16" s="4" t="s">
        <v>23</v>
      </c>
      <c r="F16" s="4" t="s">
        <v>23</v>
      </c>
      <c r="G16" s="4">
        <v>42</v>
      </c>
      <c r="H16" s="4" t="s">
        <v>23</v>
      </c>
      <c r="I16" s="4">
        <v>43</v>
      </c>
      <c r="J16" s="4">
        <v>44</v>
      </c>
      <c r="K16" s="52">
        <v>45</v>
      </c>
      <c r="L16" s="4">
        <v>46</v>
      </c>
      <c r="M16" s="4" t="s">
        <v>23</v>
      </c>
      <c r="N16" s="4">
        <v>47</v>
      </c>
    </row>
    <row r="17" spans="1:14" x14ac:dyDescent="0.35">
      <c r="A17" s="4" t="s">
        <v>27</v>
      </c>
      <c r="B17" s="4">
        <v>50</v>
      </c>
      <c r="C17" s="4">
        <f t="shared" si="0"/>
        <v>58</v>
      </c>
      <c r="D17" s="4">
        <v>51</v>
      </c>
      <c r="E17" s="4" t="s">
        <v>23</v>
      </c>
      <c r="F17" s="4" t="s">
        <v>23</v>
      </c>
      <c r="G17" s="4">
        <v>52</v>
      </c>
      <c r="H17" s="4" t="s">
        <v>23</v>
      </c>
      <c r="I17" s="4">
        <v>53</v>
      </c>
      <c r="J17" s="4">
        <v>54</v>
      </c>
      <c r="K17" s="52">
        <v>55</v>
      </c>
      <c r="L17" s="4">
        <v>56</v>
      </c>
      <c r="M17" s="4" t="s">
        <v>23</v>
      </c>
      <c r="N17" s="4">
        <v>57</v>
      </c>
    </row>
    <row r="18" spans="1:14" x14ac:dyDescent="0.35">
      <c r="A18" s="4" t="s">
        <v>28</v>
      </c>
      <c r="B18" s="4">
        <v>60</v>
      </c>
      <c r="C18" s="4">
        <f t="shared" si="0"/>
        <v>68</v>
      </c>
      <c r="D18" s="4">
        <v>61</v>
      </c>
      <c r="E18" s="4" t="s">
        <v>29</v>
      </c>
      <c r="F18" s="4" t="s">
        <v>29</v>
      </c>
      <c r="G18" s="4">
        <v>62</v>
      </c>
      <c r="H18" s="4" t="s">
        <v>29</v>
      </c>
      <c r="I18" s="4">
        <v>63</v>
      </c>
      <c r="J18" s="4">
        <v>64</v>
      </c>
      <c r="K18" s="52">
        <v>65</v>
      </c>
      <c r="L18" s="4">
        <v>66</v>
      </c>
      <c r="M18" s="4" t="s">
        <v>29</v>
      </c>
      <c r="N18" s="4">
        <v>67</v>
      </c>
    </row>
    <row r="19" spans="1:14" x14ac:dyDescent="0.35">
      <c r="A19" s="4" t="s">
        <v>30</v>
      </c>
      <c r="B19" s="4">
        <v>70</v>
      </c>
      <c r="C19" s="4">
        <f t="shared" si="0"/>
        <v>78</v>
      </c>
      <c r="D19" s="4">
        <v>71</v>
      </c>
      <c r="E19" s="4"/>
      <c r="F19" s="4"/>
      <c r="G19" s="4">
        <v>72</v>
      </c>
      <c r="H19" s="4"/>
      <c r="I19" s="4">
        <v>73</v>
      </c>
      <c r="J19" s="4">
        <v>74</v>
      </c>
      <c r="K19" s="52">
        <v>75</v>
      </c>
      <c r="L19" s="4">
        <v>76</v>
      </c>
      <c r="M19" s="4"/>
      <c r="N19" s="4">
        <v>77</v>
      </c>
    </row>
    <row r="22" spans="1:14" x14ac:dyDescent="0.35">
      <c r="A22" s="4" t="s">
        <v>31</v>
      </c>
      <c r="B22" s="4"/>
      <c r="C22" s="4"/>
      <c r="D22" s="4"/>
      <c r="E22" s="4"/>
    </row>
    <row r="23" spans="1:14" x14ac:dyDescent="0.35">
      <c r="A23" s="4"/>
      <c r="B23" s="4" t="s">
        <v>2</v>
      </c>
      <c r="C23" s="4" t="s">
        <v>32</v>
      </c>
      <c r="D23" s="4" t="s">
        <v>33</v>
      </c>
      <c r="E23" s="4" t="s">
        <v>34</v>
      </c>
    </row>
    <row r="24" spans="1:14" x14ac:dyDescent="0.35">
      <c r="A24" s="4" t="s">
        <v>35</v>
      </c>
      <c r="B24" s="4">
        <v>61</v>
      </c>
      <c r="C24" s="4">
        <v>21</v>
      </c>
      <c r="D24" s="4">
        <v>1010</v>
      </c>
      <c r="E24" s="4" t="str">
        <f>B24&amp;C24&amp;D24</f>
        <v>61211010</v>
      </c>
    </row>
    <row r="26" spans="1:14" x14ac:dyDescent="0.35">
      <c r="A26" s="4" t="s">
        <v>11</v>
      </c>
      <c r="B26" s="4" t="s">
        <v>36</v>
      </c>
    </row>
    <row r="27" spans="1:14" x14ac:dyDescent="0.35">
      <c r="A27" s="4" t="s">
        <v>22</v>
      </c>
      <c r="B27" s="4" t="s">
        <v>37</v>
      </c>
    </row>
    <row r="28" spans="1:14" x14ac:dyDescent="0.35">
      <c r="A28" s="4" t="s">
        <v>28</v>
      </c>
      <c r="B28" s="4" t="s">
        <v>38</v>
      </c>
    </row>
    <row r="29" spans="1:14" x14ac:dyDescent="0.35">
      <c r="A29" s="4" t="s">
        <v>25</v>
      </c>
      <c r="B29" s="4" t="s">
        <v>39</v>
      </c>
    </row>
    <row r="30" spans="1:14" x14ac:dyDescent="0.35">
      <c r="A30" s="4" t="s">
        <v>40</v>
      </c>
      <c r="B30" s="4" t="s">
        <v>41</v>
      </c>
    </row>
    <row r="31" spans="1:14" x14ac:dyDescent="0.35">
      <c r="A31" s="4" t="s">
        <v>26</v>
      </c>
      <c r="B31" s="4" t="s">
        <v>42</v>
      </c>
    </row>
    <row r="32" spans="1:14" x14ac:dyDescent="0.35">
      <c r="A32" s="4" t="s">
        <v>27</v>
      </c>
      <c r="B32" s="4" t="s">
        <v>43</v>
      </c>
    </row>
  </sheetData>
  <mergeCells count="4">
    <mergeCell ref="L11:N11"/>
    <mergeCell ref="A2:A5"/>
    <mergeCell ref="A6:A9"/>
    <mergeCell ref="B11:K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53809-3F5D-4845-8AFB-496935115DC7}">
  <dimension ref="A1:C42"/>
  <sheetViews>
    <sheetView topLeftCell="A10" workbookViewId="0">
      <selection activeCell="A13" sqref="A13:B13"/>
    </sheetView>
  </sheetViews>
  <sheetFormatPr defaultRowHeight="14.5" x14ac:dyDescent="0.35"/>
  <cols>
    <col min="1" max="1" width="26" customWidth="1"/>
    <col min="2" max="2" width="37.54296875" customWidth="1"/>
    <col min="3" max="3" width="59.81640625" customWidth="1"/>
  </cols>
  <sheetData>
    <row r="1" spans="1:3" x14ac:dyDescent="0.35">
      <c r="A1" s="1" t="s">
        <v>44</v>
      </c>
      <c r="B1" s="1" t="s">
        <v>45</v>
      </c>
      <c r="C1" t="s">
        <v>46</v>
      </c>
    </row>
    <row r="2" spans="1:3" x14ac:dyDescent="0.35">
      <c r="A2" s="2" t="s">
        <v>47</v>
      </c>
      <c r="B2" s="2" t="s">
        <v>48</v>
      </c>
    </row>
    <row r="3" spans="1:3" x14ac:dyDescent="0.35">
      <c r="A3" s="2" t="s">
        <v>49</v>
      </c>
      <c r="B3" s="2" t="s">
        <v>48</v>
      </c>
    </row>
    <row r="4" spans="1:3" x14ac:dyDescent="0.35">
      <c r="A4" s="2" t="s">
        <v>50</v>
      </c>
      <c r="B4" s="2" t="s">
        <v>48</v>
      </c>
    </row>
    <row r="5" spans="1:3" x14ac:dyDescent="0.35">
      <c r="A5" s="2" t="s">
        <v>51</v>
      </c>
      <c r="B5" s="2" t="s">
        <v>48</v>
      </c>
    </row>
    <row r="6" spans="1:3" x14ac:dyDescent="0.35">
      <c r="A6" s="3" t="s">
        <v>52</v>
      </c>
      <c r="B6" t="s">
        <v>53</v>
      </c>
    </row>
    <row r="7" spans="1:3" x14ac:dyDescent="0.35">
      <c r="A7" s="3" t="s">
        <v>54</v>
      </c>
      <c r="B7" t="s">
        <v>53</v>
      </c>
    </row>
    <row r="8" spans="1:3" x14ac:dyDescent="0.35">
      <c r="A8" s="3" t="s">
        <v>55</v>
      </c>
      <c r="B8" t="s">
        <v>53</v>
      </c>
    </row>
    <row r="9" spans="1:3" x14ac:dyDescent="0.35">
      <c r="A9" s="3" t="s">
        <v>56</v>
      </c>
      <c r="B9" t="s">
        <v>57</v>
      </c>
      <c r="C9" t="s">
        <v>58</v>
      </c>
    </row>
    <row r="10" spans="1:3" x14ac:dyDescent="0.35">
      <c r="A10" s="3" t="s">
        <v>59</v>
      </c>
      <c r="B10" t="s">
        <v>60</v>
      </c>
      <c r="C10" t="s">
        <v>58</v>
      </c>
    </row>
    <row r="11" spans="1:3" x14ac:dyDescent="0.35">
      <c r="A11" s="3" t="s">
        <v>61</v>
      </c>
      <c r="B11" t="s">
        <v>60</v>
      </c>
    </row>
    <row r="12" spans="1:3" x14ac:dyDescent="0.35">
      <c r="A12" s="3" t="s">
        <v>62</v>
      </c>
      <c r="B12" t="s">
        <v>63</v>
      </c>
      <c r="C12" t="s">
        <v>64</v>
      </c>
    </row>
    <row r="13" spans="1:3" x14ac:dyDescent="0.35">
      <c r="A13" s="3" t="s">
        <v>65</v>
      </c>
      <c r="B13" t="s">
        <v>63</v>
      </c>
      <c r="C13" t="s">
        <v>64</v>
      </c>
    </row>
    <row r="14" spans="1:3" x14ac:dyDescent="0.35">
      <c r="A14" s="3" t="s">
        <v>66</v>
      </c>
      <c r="B14" t="s">
        <v>63</v>
      </c>
      <c r="C14" t="s">
        <v>64</v>
      </c>
    </row>
    <row r="15" spans="1:3" x14ac:dyDescent="0.35">
      <c r="A15" s="3" t="s">
        <v>67</v>
      </c>
      <c r="B15" t="s">
        <v>63</v>
      </c>
    </row>
    <row r="16" spans="1:3" x14ac:dyDescent="0.35">
      <c r="A16" s="3" t="s">
        <v>68</v>
      </c>
      <c r="B16" t="s">
        <v>69</v>
      </c>
    </row>
    <row r="17" spans="1:3" x14ac:dyDescent="0.35">
      <c r="A17" s="3" t="s">
        <v>70</v>
      </c>
      <c r="B17" t="s">
        <v>71</v>
      </c>
    </row>
    <row r="18" spans="1:3" x14ac:dyDescent="0.35">
      <c r="A18" s="3" t="s">
        <v>72</v>
      </c>
      <c r="B18" t="s">
        <v>73</v>
      </c>
    </row>
    <row r="19" spans="1:3" x14ac:dyDescent="0.35">
      <c r="A19" s="3" t="s">
        <v>74</v>
      </c>
      <c r="B19" t="s">
        <v>75</v>
      </c>
      <c r="C19" t="s">
        <v>76</v>
      </c>
    </row>
    <row r="20" spans="1:3" x14ac:dyDescent="0.35">
      <c r="A20" s="3" t="s">
        <v>77</v>
      </c>
      <c r="B20" t="s">
        <v>78</v>
      </c>
    </row>
    <row r="21" spans="1:3" x14ac:dyDescent="0.35">
      <c r="A21" s="3" t="s">
        <v>79</v>
      </c>
      <c r="B21" t="s">
        <v>78</v>
      </c>
    </row>
    <row r="22" spans="1:3" x14ac:dyDescent="0.35">
      <c r="A22" s="3" t="s">
        <v>80</v>
      </c>
      <c r="B22" t="s">
        <v>81</v>
      </c>
    </row>
    <row r="23" spans="1:3" x14ac:dyDescent="0.35">
      <c r="A23" s="3" t="s">
        <v>82</v>
      </c>
      <c r="B23" t="s">
        <v>83</v>
      </c>
    </row>
    <row r="24" spans="1:3" x14ac:dyDescent="0.35">
      <c r="A24" s="3" t="s">
        <v>84</v>
      </c>
      <c r="B24" t="s">
        <v>83</v>
      </c>
    </row>
    <row r="25" spans="1:3" x14ac:dyDescent="0.35">
      <c r="A25" s="3" t="s">
        <v>85</v>
      </c>
      <c r="B25" t="s">
        <v>86</v>
      </c>
    </row>
    <row r="26" spans="1:3" x14ac:dyDescent="0.35">
      <c r="A26" s="3" t="s">
        <v>87</v>
      </c>
      <c r="B26" t="s">
        <v>88</v>
      </c>
    </row>
    <row r="27" spans="1:3" x14ac:dyDescent="0.35">
      <c r="A27" s="3" t="s">
        <v>89</v>
      </c>
      <c r="B27" t="s">
        <v>90</v>
      </c>
    </row>
    <row r="28" spans="1:3" x14ac:dyDescent="0.35">
      <c r="A28" s="3" t="s">
        <v>91</v>
      </c>
      <c r="B28" t="s">
        <v>90</v>
      </c>
    </row>
    <row r="29" spans="1:3" x14ac:dyDescent="0.35">
      <c r="A29" s="3" t="s">
        <v>92</v>
      </c>
      <c r="B29" t="s">
        <v>93</v>
      </c>
    </row>
    <row r="30" spans="1:3" x14ac:dyDescent="0.35">
      <c r="A30" s="3" t="s">
        <v>94</v>
      </c>
      <c r="B30" t="s">
        <v>93</v>
      </c>
    </row>
    <row r="31" spans="1:3" x14ac:dyDescent="0.35">
      <c r="A31" s="3" t="s">
        <v>95</v>
      </c>
      <c r="B31" t="s">
        <v>96</v>
      </c>
    </row>
    <row r="32" spans="1:3" x14ac:dyDescent="0.35">
      <c r="A32" s="3" t="s">
        <v>97</v>
      </c>
      <c r="B32" t="s">
        <v>98</v>
      </c>
    </row>
    <row r="33" spans="1:3" x14ac:dyDescent="0.35">
      <c r="A33" s="3" t="s">
        <v>99</v>
      </c>
      <c r="B33" t="s">
        <v>100</v>
      </c>
      <c r="C33" t="s">
        <v>101</v>
      </c>
    </row>
    <row r="34" spans="1:3" x14ac:dyDescent="0.35">
      <c r="A34" s="3" t="s">
        <v>102</v>
      </c>
      <c r="B34" t="s">
        <v>100</v>
      </c>
      <c r="C34" t="s">
        <v>101</v>
      </c>
    </row>
    <row r="35" spans="1:3" x14ac:dyDescent="0.35">
      <c r="A35" s="3" t="s">
        <v>103</v>
      </c>
      <c r="B35" t="s">
        <v>104</v>
      </c>
    </row>
    <row r="36" spans="1:3" x14ac:dyDescent="0.35">
      <c r="A36" s="3" t="s">
        <v>105</v>
      </c>
      <c r="B36" t="s">
        <v>88</v>
      </c>
    </row>
    <row r="37" spans="1:3" x14ac:dyDescent="0.35">
      <c r="A37" s="3" t="s">
        <v>106</v>
      </c>
      <c r="B37" t="s">
        <v>53</v>
      </c>
    </row>
    <row r="38" spans="1:3" x14ac:dyDescent="0.35">
      <c r="A38" s="3" t="s">
        <v>107</v>
      </c>
      <c r="B38" t="s">
        <v>83</v>
      </c>
    </row>
    <row r="39" spans="1:3" x14ac:dyDescent="0.35">
      <c r="A39" s="3" t="s">
        <v>108</v>
      </c>
      <c r="B39" t="s">
        <v>96</v>
      </c>
    </row>
    <row r="40" spans="1:3" x14ac:dyDescent="0.35">
      <c r="A40" s="3" t="s">
        <v>109</v>
      </c>
      <c r="B40" t="s">
        <v>110</v>
      </c>
    </row>
    <row r="41" spans="1:3" x14ac:dyDescent="0.35">
      <c r="A41" s="3" t="s">
        <v>111</v>
      </c>
      <c r="B41" t="s">
        <v>96</v>
      </c>
    </row>
    <row r="42" spans="1:3" x14ac:dyDescent="0.35">
      <c r="A42" s="3" t="s">
        <v>112</v>
      </c>
      <c r="B42" t="s">
        <v>113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0946F-A883-4503-879A-25027B825E39}">
  <dimension ref="A1:G911"/>
  <sheetViews>
    <sheetView workbookViewId="0">
      <selection activeCell="A2" sqref="A2:XFD2"/>
    </sheetView>
  </sheetViews>
  <sheetFormatPr defaultRowHeight="14.5" x14ac:dyDescent="0.35"/>
  <cols>
    <col min="1" max="1" width="10" bestFit="1" customWidth="1"/>
    <col min="2" max="2" width="67.453125" bestFit="1" customWidth="1"/>
    <col min="3" max="3" width="10" bestFit="1" customWidth="1"/>
    <col min="4" max="4" width="56.1796875" bestFit="1" customWidth="1"/>
    <col min="5" max="5" width="9.453125" bestFit="1" customWidth="1"/>
    <col min="7" max="7" width="15.54296875" bestFit="1" customWidth="1"/>
  </cols>
  <sheetData>
    <row r="1" spans="1:7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G1" t="s">
        <v>119</v>
      </c>
    </row>
    <row r="2" spans="1:7" x14ac:dyDescent="0.35">
      <c r="A2" t="s">
        <v>120</v>
      </c>
      <c r="B2" t="s">
        <v>121</v>
      </c>
      <c r="C2" t="s">
        <v>122</v>
      </c>
      <c r="D2" t="s">
        <v>123</v>
      </c>
      <c r="E2">
        <v>1761100</v>
      </c>
      <c r="G2">
        <v>1720300</v>
      </c>
    </row>
    <row r="3" spans="1:7" x14ac:dyDescent="0.35">
      <c r="A3" t="s">
        <v>120</v>
      </c>
      <c r="B3" t="s">
        <v>124</v>
      </c>
      <c r="C3" t="s">
        <v>122</v>
      </c>
      <c r="D3" t="s">
        <v>125</v>
      </c>
      <c r="E3">
        <v>1761101</v>
      </c>
      <c r="G3">
        <v>1720302</v>
      </c>
    </row>
    <row r="4" spans="1:7" x14ac:dyDescent="0.35">
      <c r="A4" t="s">
        <v>120</v>
      </c>
      <c r="B4" t="s">
        <v>126</v>
      </c>
      <c r="C4" t="s">
        <v>122</v>
      </c>
      <c r="D4" t="s">
        <v>127</v>
      </c>
      <c r="E4">
        <v>1761102</v>
      </c>
      <c r="G4">
        <v>1720310</v>
      </c>
    </row>
    <row r="5" spans="1:7" x14ac:dyDescent="0.35">
      <c r="A5" t="s">
        <v>120</v>
      </c>
      <c r="B5" t="s">
        <v>128</v>
      </c>
      <c r="C5" t="s">
        <v>122</v>
      </c>
      <c r="D5" t="s">
        <v>129</v>
      </c>
      <c r="E5">
        <v>1761103</v>
      </c>
      <c r="G5">
        <v>1720312</v>
      </c>
    </row>
    <row r="6" spans="1:7" x14ac:dyDescent="0.35">
      <c r="A6" t="s">
        <v>120</v>
      </c>
      <c r="B6" t="s">
        <v>130</v>
      </c>
      <c r="C6" t="s">
        <v>122</v>
      </c>
      <c r="D6" t="s">
        <v>131</v>
      </c>
      <c r="E6">
        <v>1761104</v>
      </c>
      <c r="G6">
        <v>1720702</v>
      </c>
    </row>
    <row r="7" spans="1:7" x14ac:dyDescent="0.35">
      <c r="A7" t="s">
        <v>120</v>
      </c>
      <c r="B7" t="s">
        <v>132</v>
      </c>
      <c r="C7" t="s">
        <v>122</v>
      </c>
      <c r="D7" t="s">
        <v>133</v>
      </c>
      <c r="E7">
        <v>1761105</v>
      </c>
      <c r="G7">
        <v>1720800</v>
      </c>
    </row>
    <row r="8" spans="1:7" x14ac:dyDescent="0.35">
      <c r="A8" t="s">
        <v>134</v>
      </c>
      <c r="B8" t="s">
        <v>135</v>
      </c>
      <c r="C8" t="s">
        <v>122</v>
      </c>
      <c r="D8" t="s">
        <v>136</v>
      </c>
      <c r="E8">
        <v>1761200</v>
      </c>
      <c r="G8">
        <v>1721211</v>
      </c>
    </row>
    <row r="9" spans="1:7" x14ac:dyDescent="0.35">
      <c r="A9" t="s">
        <v>134</v>
      </c>
      <c r="B9" t="s">
        <v>137</v>
      </c>
      <c r="C9" t="s">
        <v>122</v>
      </c>
      <c r="D9" t="s">
        <v>138</v>
      </c>
      <c r="E9">
        <v>1761201</v>
      </c>
      <c r="G9">
        <v>1721301</v>
      </c>
    </row>
    <row r="10" spans="1:7" x14ac:dyDescent="0.35">
      <c r="A10" t="s">
        <v>134</v>
      </c>
      <c r="B10" t="s">
        <v>139</v>
      </c>
      <c r="C10" t="s">
        <v>122</v>
      </c>
      <c r="D10" t="s">
        <v>140</v>
      </c>
      <c r="E10">
        <v>1761202</v>
      </c>
      <c r="G10">
        <v>1721312</v>
      </c>
    </row>
    <row r="11" spans="1:7" x14ac:dyDescent="0.35">
      <c r="A11" t="s">
        <v>134</v>
      </c>
      <c r="B11" t="s">
        <v>141</v>
      </c>
      <c r="C11" t="s">
        <v>122</v>
      </c>
      <c r="D11" t="s">
        <v>142</v>
      </c>
      <c r="E11">
        <v>1761203</v>
      </c>
      <c r="G11">
        <v>1721316</v>
      </c>
    </row>
    <row r="12" spans="1:7" x14ac:dyDescent="0.35">
      <c r="A12" t="s">
        <v>122</v>
      </c>
      <c r="B12" t="s">
        <v>143</v>
      </c>
      <c r="C12" t="s">
        <v>122</v>
      </c>
      <c r="D12" t="s">
        <v>144</v>
      </c>
      <c r="E12">
        <v>173295</v>
      </c>
      <c r="G12">
        <v>1721702</v>
      </c>
    </row>
    <row r="13" spans="1:7" x14ac:dyDescent="0.35">
      <c r="A13" t="s">
        <v>122</v>
      </c>
      <c r="B13" t="s">
        <v>145</v>
      </c>
      <c r="C13" t="s">
        <v>122</v>
      </c>
      <c r="D13" t="s">
        <v>146</v>
      </c>
      <c r="E13">
        <v>262134</v>
      </c>
      <c r="G13">
        <v>1732101</v>
      </c>
    </row>
    <row r="14" spans="1:7" x14ac:dyDescent="0.35">
      <c r="A14" t="s">
        <v>122</v>
      </c>
      <c r="B14" t="s">
        <v>147</v>
      </c>
      <c r="C14" t="s">
        <v>122</v>
      </c>
      <c r="D14" t="s">
        <v>148</v>
      </c>
      <c r="E14">
        <v>262135</v>
      </c>
      <c r="G14">
        <v>1732103</v>
      </c>
    </row>
    <row r="15" spans="1:7" x14ac:dyDescent="0.35">
      <c r="A15" t="s">
        <v>122</v>
      </c>
      <c r="B15" t="s">
        <v>149</v>
      </c>
      <c r="C15" t="s">
        <v>122</v>
      </c>
      <c r="D15" t="s">
        <v>150</v>
      </c>
      <c r="E15">
        <v>266136</v>
      </c>
      <c r="G15">
        <v>1732105</v>
      </c>
    </row>
    <row r="16" spans="1:7" x14ac:dyDescent="0.35">
      <c r="G16">
        <v>1732106</v>
      </c>
    </row>
    <row r="17" spans="7:7" x14ac:dyDescent="0.35">
      <c r="G17">
        <v>1732107</v>
      </c>
    </row>
    <row r="18" spans="7:7" x14ac:dyDescent="0.35">
      <c r="G18">
        <v>1732108</v>
      </c>
    </row>
    <row r="19" spans="7:7" x14ac:dyDescent="0.35">
      <c r="G19">
        <v>1732113</v>
      </c>
    </row>
    <row r="20" spans="7:7" x14ac:dyDescent="0.35">
      <c r="G20">
        <v>1732115</v>
      </c>
    </row>
    <row r="21" spans="7:7" x14ac:dyDescent="0.35">
      <c r="G21">
        <v>1732117</v>
      </c>
    </row>
    <row r="22" spans="7:7" x14ac:dyDescent="0.35">
      <c r="G22">
        <v>1732119</v>
      </c>
    </row>
    <row r="23" spans="7:7" x14ac:dyDescent="0.35">
      <c r="G23">
        <v>173212</v>
      </c>
    </row>
    <row r="24" spans="7:7" x14ac:dyDescent="0.35">
      <c r="G24">
        <v>1732121</v>
      </c>
    </row>
    <row r="25" spans="7:7" x14ac:dyDescent="0.35">
      <c r="G25">
        <v>1732123</v>
      </c>
    </row>
    <row r="26" spans="7:7" x14ac:dyDescent="0.35">
      <c r="G26">
        <v>1732130</v>
      </c>
    </row>
    <row r="27" spans="7:7" x14ac:dyDescent="0.35">
      <c r="G27">
        <v>1732132</v>
      </c>
    </row>
    <row r="28" spans="7:7" x14ac:dyDescent="0.35">
      <c r="G28">
        <v>1732154</v>
      </c>
    </row>
    <row r="29" spans="7:7" x14ac:dyDescent="0.35">
      <c r="G29">
        <v>1732201</v>
      </c>
    </row>
    <row r="30" spans="7:7" x14ac:dyDescent="0.35">
      <c r="G30">
        <v>1732203</v>
      </c>
    </row>
    <row r="31" spans="7:7" x14ac:dyDescent="0.35">
      <c r="G31">
        <v>1732205</v>
      </c>
    </row>
    <row r="32" spans="7:7" x14ac:dyDescent="0.35">
      <c r="G32">
        <v>1732207</v>
      </c>
    </row>
    <row r="33" spans="7:7" x14ac:dyDescent="0.35">
      <c r="G33">
        <v>1732209</v>
      </c>
    </row>
    <row r="34" spans="7:7" x14ac:dyDescent="0.35">
      <c r="G34">
        <v>173234</v>
      </c>
    </row>
    <row r="35" spans="7:7" x14ac:dyDescent="0.35">
      <c r="G35">
        <v>173236</v>
      </c>
    </row>
    <row r="36" spans="7:7" x14ac:dyDescent="0.35">
      <c r="G36">
        <v>173258</v>
      </c>
    </row>
    <row r="37" spans="7:7" x14ac:dyDescent="0.35">
      <c r="G37">
        <v>173260</v>
      </c>
    </row>
    <row r="38" spans="7:7" x14ac:dyDescent="0.35">
      <c r="G38">
        <v>173282</v>
      </c>
    </row>
    <row r="39" spans="7:7" x14ac:dyDescent="0.35">
      <c r="G39">
        <v>173284</v>
      </c>
    </row>
    <row r="40" spans="7:7" x14ac:dyDescent="0.35">
      <c r="G40">
        <v>173290</v>
      </c>
    </row>
    <row r="41" spans="7:7" x14ac:dyDescent="0.35">
      <c r="G41">
        <v>173291</v>
      </c>
    </row>
    <row r="42" spans="7:7" x14ac:dyDescent="0.35">
      <c r="G42">
        <v>173292</v>
      </c>
    </row>
    <row r="43" spans="7:7" x14ac:dyDescent="0.35">
      <c r="G43">
        <v>173293</v>
      </c>
    </row>
    <row r="44" spans="7:7" x14ac:dyDescent="0.35">
      <c r="G44">
        <v>173294</v>
      </c>
    </row>
    <row r="45" spans="7:7" x14ac:dyDescent="0.35">
      <c r="G45">
        <v>173295</v>
      </c>
    </row>
    <row r="46" spans="7:7" x14ac:dyDescent="0.35">
      <c r="G46">
        <v>173295</v>
      </c>
    </row>
    <row r="47" spans="7:7" x14ac:dyDescent="0.35">
      <c r="G47">
        <v>173297</v>
      </c>
    </row>
    <row r="48" spans="7:7" x14ac:dyDescent="0.35">
      <c r="G48">
        <v>173299</v>
      </c>
    </row>
    <row r="49" spans="7:7" x14ac:dyDescent="0.35">
      <c r="G49">
        <v>1760301</v>
      </c>
    </row>
    <row r="50" spans="7:7" x14ac:dyDescent="0.35">
      <c r="G50">
        <v>1760303</v>
      </c>
    </row>
    <row r="51" spans="7:7" x14ac:dyDescent="0.35">
      <c r="G51">
        <v>1760311</v>
      </c>
    </row>
    <row r="52" spans="7:7" x14ac:dyDescent="0.35">
      <c r="G52">
        <v>1760313</v>
      </c>
    </row>
    <row r="53" spans="7:7" x14ac:dyDescent="0.35">
      <c r="G53">
        <v>1760801</v>
      </c>
    </row>
    <row r="54" spans="7:7" x14ac:dyDescent="0.35">
      <c r="G54">
        <v>1761100</v>
      </c>
    </row>
    <row r="55" spans="7:7" x14ac:dyDescent="0.35">
      <c r="G55">
        <v>1761100</v>
      </c>
    </row>
    <row r="56" spans="7:7" x14ac:dyDescent="0.35">
      <c r="G56">
        <v>1761101</v>
      </c>
    </row>
    <row r="57" spans="7:7" x14ac:dyDescent="0.35">
      <c r="G57">
        <v>1761101</v>
      </c>
    </row>
    <row r="58" spans="7:7" x14ac:dyDescent="0.35">
      <c r="G58">
        <v>1761102</v>
      </c>
    </row>
    <row r="59" spans="7:7" x14ac:dyDescent="0.35">
      <c r="G59">
        <v>1761102</v>
      </c>
    </row>
    <row r="60" spans="7:7" x14ac:dyDescent="0.35">
      <c r="G60">
        <v>1761103</v>
      </c>
    </row>
    <row r="61" spans="7:7" x14ac:dyDescent="0.35">
      <c r="G61">
        <v>1761103</v>
      </c>
    </row>
    <row r="62" spans="7:7" x14ac:dyDescent="0.35">
      <c r="G62">
        <v>1761104</v>
      </c>
    </row>
    <row r="63" spans="7:7" x14ac:dyDescent="0.35">
      <c r="G63">
        <v>1761104</v>
      </c>
    </row>
    <row r="64" spans="7:7" x14ac:dyDescent="0.35">
      <c r="G64">
        <v>1761105</v>
      </c>
    </row>
    <row r="65" spans="7:7" x14ac:dyDescent="0.35">
      <c r="G65">
        <v>1761105</v>
      </c>
    </row>
    <row r="66" spans="7:7" x14ac:dyDescent="0.35">
      <c r="G66">
        <v>1761110</v>
      </c>
    </row>
    <row r="67" spans="7:7" x14ac:dyDescent="0.35">
      <c r="G67">
        <v>1761111</v>
      </c>
    </row>
    <row r="68" spans="7:7" x14ac:dyDescent="0.35">
      <c r="G68">
        <v>1761112</v>
      </c>
    </row>
    <row r="69" spans="7:7" x14ac:dyDescent="0.35">
      <c r="G69">
        <v>1761113</v>
      </c>
    </row>
    <row r="70" spans="7:7" x14ac:dyDescent="0.35">
      <c r="G70">
        <v>1761114</v>
      </c>
    </row>
    <row r="71" spans="7:7" x14ac:dyDescent="0.35">
      <c r="G71">
        <v>1761115</v>
      </c>
    </row>
    <row r="72" spans="7:7" x14ac:dyDescent="0.35">
      <c r="G72">
        <v>1761118</v>
      </c>
    </row>
    <row r="73" spans="7:7" x14ac:dyDescent="0.35">
      <c r="G73">
        <v>1761120</v>
      </c>
    </row>
    <row r="74" spans="7:7" x14ac:dyDescent="0.35">
      <c r="G74">
        <v>1761121</v>
      </c>
    </row>
    <row r="75" spans="7:7" x14ac:dyDescent="0.35">
      <c r="G75">
        <v>176113</v>
      </c>
    </row>
    <row r="76" spans="7:7" x14ac:dyDescent="0.35">
      <c r="G76">
        <v>176114</v>
      </c>
    </row>
    <row r="77" spans="7:7" x14ac:dyDescent="0.35">
      <c r="G77">
        <v>1761142</v>
      </c>
    </row>
    <row r="78" spans="7:7" x14ac:dyDescent="0.35">
      <c r="G78">
        <v>176115</v>
      </c>
    </row>
    <row r="79" spans="7:7" x14ac:dyDescent="0.35">
      <c r="G79">
        <v>1761166</v>
      </c>
    </row>
    <row r="80" spans="7:7" x14ac:dyDescent="0.35">
      <c r="G80">
        <v>176119</v>
      </c>
    </row>
    <row r="81" spans="7:7" x14ac:dyDescent="0.35">
      <c r="G81">
        <v>1761200</v>
      </c>
    </row>
    <row r="82" spans="7:7" x14ac:dyDescent="0.35">
      <c r="G82">
        <v>1761200</v>
      </c>
    </row>
    <row r="83" spans="7:7" x14ac:dyDescent="0.35">
      <c r="G83">
        <v>1761201</v>
      </c>
    </row>
    <row r="84" spans="7:7" x14ac:dyDescent="0.35">
      <c r="G84">
        <v>1761201</v>
      </c>
    </row>
    <row r="85" spans="7:7" x14ac:dyDescent="0.35">
      <c r="G85">
        <v>1761202</v>
      </c>
    </row>
    <row r="86" spans="7:7" x14ac:dyDescent="0.35">
      <c r="G86">
        <v>1761202</v>
      </c>
    </row>
    <row r="87" spans="7:7" x14ac:dyDescent="0.35">
      <c r="G87">
        <v>1761203</v>
      </c>
    </row>
    <row r="88" spans="7:7" x14ac:dyDescent="0.35">
      <c r="G88">
        <v>1761203</v>
      </c>
    </row>
    <row r="89" spans="7:7" x14ac:dyDescent="0.35">
      <c r="G89">
        <v>1761204</v>
      </c>
    </row>
    <row r="90" spans="7:7" x14ac:dyDescent="0.35">
      <c r="G90">
        <v>1761205</v>
      </c>
    </row>
    <row r="91" spans="7:7" x14ac:dyDescent="0.35">
      <c r="G91">
        <v>1761210</v>
      </c>
    </row>
    <row r="92" spans="7:7" x14ac:dyDescent="0.35">
      <c r="G92">
        <v>1761212</v>
      </c>
    </row>
    <row r="93" spans="7:7" x14ac:dyDescent="0.35">
      <c r="G93">
        <v>176124</v>
      </c>
    </row>
    <row r="94" spans="7:7" x14ac:dyDescent="0.35">
      <c r="G94">
        <v>176125</v>
      </c>
    </row>
    <row r="95" spans="7:7" x14ac:dyDescent="0.35">
      <c r="G95">
        <v>176130</v>
      </c>
    </row>
    <row r="96" spans="7:7" x14ac:dyDescent="0.35">
      <c r="G96">
        <v>1761300</v>
      </c>
    </row>
    <row r="97" spans="7:7" x14ac:dyDescent="0.35">
      <c r="G97">
        <v>1761302</v>
      </c>
    </row>
    <row r="98" spans="7:7" x14ac:dyDescent="0.35">
      <c r="G98">
        <v>1761303</v>
      </c>
    </row>
    <row r="99" spans="7:7" x14ac:dyDescent="0.35">
      <c r="G99">
        <v>1761304</v>
      </c>
    </row>
    <row r="100" spans="7:7" x14ac:dyDescent="0.35">
      <c r="G100">
        <v>1761306</v>
      </c>
    </row>
    <row r="101" spans="7:7" x14ac:dyDescent="0.35">
      <c r="G101">
        <v>176131</v>
      </c>
    </row>
    <row r="102" spans="7:7" x14ac:dyDescent="0.35">
      <c r="G102">
        <v>1761310</v>
      </c>
    </row>
    <row r="103" spans="7:7" x14ac:dyDescent="0.35">
      <c r="G103">
        <v>1761311</v>
      </c>
    </row>
    <row r="104" spans="7:7" x14ac:dyDescent="0.35">
      <c r="G104">
        <v>1761313</v>
      </c>
    </row>
    <row r="105" spans="7:7" x14ac:dyDescent="0.35">
      <c r="G105">
        <v>1761314</v>
      </c>
    </row>
    <row r="106" spans="7:7" x14ac:dyDescent="0.35">
      <c r="G106">
        <v>1761315</v>
      </c>
    </row>
    <row r="107" spans="7:7" x14ac:dyDescent="0.35">
      <c r="G107">
        <v>176132</v>
      </c>
    </row>
    <row r="108" spans="7:7" x14ac:dyDescent="0.35">
      <c r="G108">
        <v>1761350</v>
      </c>
    </row>
    <row r="109" spans="7:7" x14ac:dyDescent="0.35">
      <c r="G109">
        <v>1761351</v>
      </c>
    </row>
    <row r="110" spans="7:7" x14ac:dyDescent="0.35">
      <c r="G110">
        <v>176137</v>
      </c>
    </row>
    <row r="111" spans="7:7" x14ac:dyDescent="0.35">
      <c r="G111">
        <v>176146</v>
      </c>
    </row>
    <row r="112" spans="7:7" x14ac:dyDescent="0.35">
      <c r="G112">
        <v>176148</v>
      </c>
    </row>
    <row r="113" spans="7:7" x14ac:dyDescent="0.35">
      <c r="G113">
        <v>176150</v>
      </c>
    </row>
    <row r="114" spans="7:7" x14ac:dyDescent="0.35">
      <c r="G114">
        <v>1761500</v>
      </c>
    </row>
    <row r="115" spans="7:7" x14ac:dyDescent="0.35">
      <c r="G115">
        <v>1761503</v>
      </c>
    </row>
    <row r="116" spans="7:7" x14ac:dyDescent="0.35">
      <c r="G116">
        <v>1761504</v>
      </c>
    </row>
    <row r="117" spans="7:7" x14ac:dyDescent="0.35">
      <c r="G117">
        <v>1761505</v>
      </c>
    </row>
    <row r="118" spans="7:7" x14ac:dyDescent="0.35">
      <c r="G118">
        <v>1761507</v>
      </c>
    </row>
    <row r="119" spans="7:7" x14ac:dyDescent="0.35">
      <c r="G119">
        <v>1761508</v>
      </c>
    </row>
    <row r="120" spans="7:7" x14ac:dyDescent="0.35">
      <c r="G120">
        <v>1761509</v>
      </c>
    </row>
    <row r="121" spans="7:7" x14ac:dyDescent="0.35">
      <c r="G121">
        <v>1761510</v>
      </c>
    </row>
    <row r="122" spans="7:7" x14ac:dyDescent="0.35">
      <c r="G122">
        <v>1761520</v>
      </c>
    </row>
    <row r="123" spans="7:7" x14ac:dyDescent="0.35">
      <c r="G123">
        <v>1761521</v>
      </c>
    </row>
    <row r="124" spans="7:7" x14ac:dyDescent="0.35">
      <c r="G124">
        <v>1761522</v>
      </c>
    </row>
    <row r="125" spans="7:7" x14ac:dyDescent="0.35">
      <c r="G125">
        <v>1761523</v>
      </c>
    </row>
    <row r="126" spans="7:7" x14ac:dyDescent="0.35">
      <c r="G126">
        <v>1761602</v>
      </c>
    </row>
    <row r="127" spans="7:7" x14ac:dyDescent="0.35">
      <c r="G127">
        <v>1761666</v>
      </c>
    </row>
    <row r="128" spans="7:7" x14ac:dyDescent="0.35">
      <c r="G128">
        <v>1761667</v>
      </c>
    </row>
    <row r="129" spans="7:7" x14ac:dyDescent="0.35">
      <c r="G129">
        <v>176170</v>
      </c>
    </row>
    <row r="130" spans="7:7" x14ac:dyDescent="0.35">
      <c r="G130">
        <v>1761700</v>
      </c>
    </row>
    <row r="131" spans="7:7" x14ac:dyDescent="0.35">
      <c r="G131">
        <v>1761701</v>
      </c>
    </row>
    <row r="132" spans="7:7" x14ac:dyDescent="0.35">
      <c r="G132">
        <v>1761703</v>
      </c>
    </row>
    <row r="133" spans="7:7" x14ac:dyDescent="0.35">
      <c r="G133">
        <v>1761704</v>
      </c>
    </row>
    <row r="134" spans="7:7" x14ac:dyDescent="0.35">
      <c r="G134">
        <v>1761705</v>
      </c>
    </row>
    <row r="135" spans="7:7" x14ac:dyDescent="0.35">
      <c r="G135">
        <v>176172</v>
      </c>
    </row>
    <row r="136" spans="7:7" x14ac:dyDescent="0.35">
      <c r="G136">
        <v>1761800</v>
      </c>
    </row>
    <row r="137" spans="7:7" x14ac:dyDescent="0.35">
      <c r="G137">
        <v>1761801</v>
      </c>
    </row>
    <row r="138" spans="7:7" x14ac:dyDescent="0.35">
      <c r="G138">
        <v>1761802</v>
      </c>
    </row>
    <row r="139" spans="7:7" x14ac:dyDescent="0.35">
      <c r="G139">
        <v>1761856</v>
      </c>
    </row>
    <row r="140" spans="7:7" x14ac:dyDescent="0.35">
      <c r="G140">
        <v>1761857</v>
      </c>
    </row>
    <row r="141" spans="7:7" x14ac:dyDescent="0.35">
      <c r="G141">
        <v>1761858</v>
      </c>
    </row>
    <row r="142" spans="7:7" x14ac:dyDescent="0.35">
      <c r="G142">
        <v>1761901</v>
      </c>
    </row>
    <row r="143" spans="7:7" x14ac:dyDescent="0.35">
      <c r="G143">
        <v>1761902</v>
      </c>
    </row>
    <row r="144" spans="7:7" x14ac:dyDescent="0.35">
      <c r="G144">
        <v>1761903</v>
      </c>
    </row>
    <row r="145" spans="7:7" x14ac:dyDescent="0.35">
      <c r="G145">
        <v>1761904</v>
      </c>
    </row>
    <row r="146" spans="7:7" x14ac:dyDescent="0.35">
      <c r="G146">
        <v>176194</v>
      </c>
    </row>
    <row r="147" spans="7:7" x14ac:dyDescent="0.35">
      <c r="G147">
        <v>176196</v>
      </c>
    </row>
    <row r="148" spans="7:7" x14ac:dyDescent="0.35">
      <c r="G148">
        <v>20600</v>
      </c>
    </row>
    <row r="149" spans="7:7" x14ac:dyDescent="0.35">
      <c r="G149">
        <v>20601</v>
      </c>
    </row>
    <row r="150" spans="7:7" x14ac:dyDescent="0.35">
      <c r="G150">
        <v>206010</v>
      </c>
    </row>
    <row r="151" spans="7:7" x14ac:dyDescent="0.35">
      <c r="G151">
        <v>206011</v>
      </c>
    </row>
    <row r="152" spans="7:7" x14ac:dyDescent="0.35">
      <c r="G152">
        <v>206012</v>
      </c>
    </row>
    <row r="153" spans="7:7" x14ac:dyDescent="0.35">
      <c r="G153">
        <v>206013</v>
      </c>
    </row>
    <row r="154" spans="7:7" x14ac:dyDescent="0.35">
      <c r="G154">
        <v>206014</v>
      </c>
    </row>
    <row r="155" spans="7:7" x14ac:dyDescent="0.35">
      <c r="G155">
        <v>206015</v>
      </c>
    </row>
    <row r="156" spans="7:7" x14ac:dyDescent="0.35">
      <c r="G156">
        <v>206016</v>
      </c>
    </row>
    <row r="157" spans="7:7" x14ac:dyDescent="0.35">
      <c r="G157">
        <v>206017</v>
      </c>
    </row>
    <row r="158" spans="7:7" x14ac:dyDescent="0.35">
      <c r="G158">
        <v>20602</v>
      </c>
    </row>
    <row r="159" spans="7:7" x14ac:dyDescent="0.35">
      <c r="G159">
        <v>206020</v>
      </c>
    </row>
    <row r="160" spans="7:7" x14ac:dyDescent="0.35">
      <c r="G160">
        <v>206021</v>
      </c>
    </row>
    <row r="161" spans="7:7" x14ac:dyDescent="0.35">
      <c r="G161">
        <v>206022</v>
      </c>
    </row>
    <row r="162" spans="7:7" x14ac:dyDescent="0.35">
      <c r="G162">
        <v>206023</v>
      </c>
    </row>
    <row r="163" spans="7:7" x14ac:dyDescent="0.35">
      <c r="G163">
        <v>206024</v>
      </c>
    </row>
    <row r="164" spans="7:7" x14ac:dyDescent="0.35">
      <c r="G164">
        <v>206025</v>
      </c>
    </row>
    <row r="165" spans="7:7" x14ac:dyDescent="0.35">
      <c r="G165">
        <v>206026</v>
      </c>
    </row>
    <row r="166" spans="7:7" x14ac:dyDescent="0.35">
      <c r="G166">
        <v>206027</v>
      </c>
    </row>
    <row r="167" spans="7:7" x14ac:dyDescent="0.35">
      <c r="G167">
        <v>20603</v>
      </c>
    </row>
    <row r="168" spans="7:7" x14ac:dyDescent="0.35">
      <c r="G168">
        <v>206030</v>
      </c>
    </row>
    <row r="169" spans="7:7" x14ac:dyDescent="0.35">
      <c r="G169">
        <v>206031</v>
      </c>
    </row>
    <row r="170" spans="7:7" x14ac:dyDescent="0.35">
      <c r="G170">
        <v>206032</v>
      </c>
    </row>
    <row r="171" spans="7:7" x14ac:dyDescent="0.35">
      <c r="G171">
        <v>206033</v>
      </c>
    </row>
    <row r="172" spans="7:7" x14ac:dyDescent="0.35">
      <c r="G172">
        <v>206034</v>
      </c>
    </row>
    <row r="173" spans="7:7" x14ac:dyDescent="0.35">
      <c r="G173">
        <v>206035</v>
      </c>
    </row>
    <row r="174" spans="7:7" x14ac:dyDescent="0.35">
      <c r="G174">
        <v>206036</v>
      </c>
    </row>
    <row r="175" spans="7:7" x14ac:dyDescent="0.35">
      <c r="G175">
        <v>206037</v>
      </c>
    </row>
    <row r="176" spans="7:7" x14ac:dyDescent="0.35">
      <c r="G176">
        <v>20604</v>
      </c>
    </row>
    <row r="177" spans="7:7" x14ac:dyDescent="0.35">
      <c r="G177">
        <v>206040</v>
      </c>
    </row>
    <row r="178" spans="7:7" x14ac:dyDescent="0.35">
      <c r="G178">
        <v>206041</v>
      </c>
    </row>
    <row r="179" spans="7:7" x14ac:dyDescent="0.35">
      <c r="G179">
        <v>20605</v>
      </c>
    </row>
    <row r="180" spans="7:7" x14ac:dyDescent="0.35">
      <c r="G180">
        <v>20606</v>
      </c>
    </row>
    <row r="181" spans="7:7" x14ac:dyDescent="0.35">
      <c r="G181">
        <v>20607</v>
      </c>
    </row>
    <row r="182" spans="7:7" x14ac:dyDescent="0.35">
      <c r="G182">
        <v>2061200</v>
      </c>
    </row>
    <row r="183" spans="7:7" x14ac:dyDescent="0.35">
      <c r="G183">
        <v>2062501</v>
      </c>
    </row>
    <row r="184" spans="7:7" x14ac:dyDescent="0.35">
      <c r="G184">
        <v>2062502</v>
      </c>
    </row>
    <row r="185" spans="7:7" x14ac:dyDescent="0.35">
      <c r="G185">
        <v>2062503</v>
      </c>
    </row>
    <row r="186" spans="7:7" x14ac:dyDescent="0.35">
      <c r="G186">
        <v>2062504</v>
      </c>
    </row>
    <row r="187" spans="7:7" x14ac:dyDescent="0.35">
      <c r="G187">
        <v>2062511</v>
      </c>
    </row>
    <row r="188" spans="7:7" x14ac:dyDescent="0.35">
      <c r="G188">
        <v>2062512</v>
      </c>
    </row>
    <row r="189" spans="7:7" x14ac:dyDescent="0.35">
      <c r="G189">
        <v>2062652</v>
      </c>
    </row>
    <row r="190" spans="7:7" x14ac:dyDescent="0.35">
      <c r="G190">
        <v>2062653</v>
      </c>
    </row>
    <row r="191" spans="7:7" x14ac:dyDescent="0.35">
      <c r="G191">
        <v>2062654</v>
      </c>
    </row>
    <row r="192" spans="7:7" x14ac:dyDescent="0.35">
      <c r="G192">
        <v>2067700</v>
      </c>
    </row>
    <row r="193" spans="7:7" x14ac:dyDescent="0.35">
      <c r="G193">
        <v>2110103</v>
      </c>
    </row>
    <row r="194" spans="7:7" x14ac:dyDescent="0.35">
      <c r="G194">
        <v>2110106</v>
      </c>
    </row>
    <row r="195" spans="7:7" x14ac:dyDescent="0.35">
      <c r="G195">
        <v>2110110</v>
      </c>
    </row>
    <row r="196" spans="7:7" x14ac:dyDescent="0.35">
      <c r="G196">
        <v>2110113</v>
      </c>
    </row>
    <row r="197" spans="7:7" x14ac:dyDescent="0.35">
      <c r="G197">
        <v>211013</v>
      </c>
    </row>
    <row r="198" spans="7:7" x14ac:dyDescent="0.35">
      <c r="G198">
        <v>211014</v>
      </c>
    </row>
    <row r="199" spans="7:7" x14ac:dyDescent="0.35">
      <c r="G199">
        <v>211015</v>
      </c>
    </row>
    <row r="200" spans="7:7" x14ac:dyDescent="0.35">
      <c r="G200">
        <v>2110200</v>
      </c>
    </row>
    <row r="201" spans="7:7" x14ac:dyDescent="0.35">
      <c r="G201">
        <v>2110201</v>
      </c>
    </row>
    <row r="202" spans="7:7" x14ac:dyDescent="0.35">
      <c r="G202">
        <v>2110202</v>
      </c>
    </row>
    <row r="203" spans="7:7" x14ac:dyDescent="0.35">
      <c r="G203">
        <v>2110203</v>
      </c>
    </row>
    <row r="204" spans="7:7" x14ac:dyDescent="0.35">
      <c r="G204">
        <v>2110204</v>
      </c>
    </row>
    <row r="205" spans="7:7" x14ac:dyDescent="0.35">
      <c r="G205">
        <v>2110205</v>
      </c>
    </row>
    <row r="206" spans="7:7" x14ac:dyDescent="0.35">
      <c r="G206">
        <v>211022</v>
      </c>
    </row>
    <row r="207" spans="7:7" x14ac:dyDescent="0.35">
      <c r="G207">
        <v>211023</v>
      </c>
    </row>
    <row r="208" spans="7:7" x14ac:dyDescent="0.35">
      <c r="G208">
        <v>211024</v>
      </c>
    </row>
    <row r="209" spans="7:7" x14ac:dyDescent="0.35">
      <c r="G209">
        <v>211029</v>
      </c>
    </row>
    <row r="210" spans="7:7" x14ac:dyDescent="0.35">
      <c r="G210">
        <v>211030</v>
      </c>
    </row>
    <row r="211" spans="7:7" x14ac:dyDescent="0.35">
      <c r="G211">
        <v>211031</v>
      </c>
    </row>
    <row r="212" spans="7:7" x14ac:dyDescent="0.35">
      <c r="G212">
        <v>21106</v>
      </c>
    </row>
    <row r="213" spans="7:7" x14ac:dyDescent="0.35">
      <c r="G213">
        <v>21107</v>
      </c>
    </row>
    <row r="214" spans="7:7" x14ac:dyDescent="0.35">
      <c r="G214">
        <v>21108</v>
      </c>
    </row>
    <row r="215" spans="7:7" x14ac:dyDescent="0.35">
      <c r="G215">
        <v>2112502</v>
      </c>
    </row>
    <row r="216" spans="7:7" x14ac:dyDescent="0.35">
      <c r="G216">
        <v>2112505</v>
      </c>
    </row>
    <row r="217" spans="7:7" x14ac:dyDescent="0.35">
      <c r="G217">
        <v>2112506</v>
      </c>
    </row>
    <row r="218" spans="7:7" x14ac:dyDescent="0.35">
      <c r="G218">
        <v>2112511</v>
      </c>
    </row>
    <row r="219" spans="7:7" x14ac:dyDescent="0.35">
      <c r="G219">
        <v>2112513</v>
      </c>
    </row>
    <row r="220" spans="7:7" x14ac:dyDescent="0.35">
      <c r="G220">
        <v>2120102</v>
      </c>
    </row>
    <row r="221" spans="7:7" x14ac:dyDescent="0.35">
      <c r="G221">
        <v>2120103</v>
      </c>
    </row>
    <row r="222" spans="7:7" x14ac:dyDescent="0.35">
      <c r="G222">
        <v>2120159</v>
      </c>
    </row>
    <row r="223" spans="7:7" x14ac:dyDescent="0.35">
      <c r="G223">
        <v>212020</v>
      </c>
    </row>
    <row r="224" spans="7:7" x14ac:dyDescent="0.35">
      <c r="G224">
        <v>212021</v>
      </c>
    </row>
    <row r="225" spans="7:7" x14ac:dyDescent="0.35">
      <c r="G225">
        <v>212022</v>
      </c>
    </row>
    <row r="226" spans="7:7" x14ac:dyDescent="0.35">
      <c r="G226">
        <v>212026</v>
      </c>
    </row>
    <row r="227" spans="7:7" x14ac:dyDescent="0.35">
      <c r="G227">
        <v>212027</v>
      </c>
    </row>
    <row r="228" spans="7:7" x14ac:dyDescent="0.35">
      <c r="G228">
        <v>212028</v>
      </c>
    </row>
    <row r="229" spans="7:7" x14ac:dyDescent="0.35">
      <c r="G229">
        <v>212029</v>
      </c>
    </row>
    <row r="230" spans="7:7" x14ac:dyDescent="0.35">
      <c r="G230">
        <v>2122514</v>
      </c>
    </row>
    <row r="231" spans="7:7" x14ac:dyDescent="0.35">
      <c r="G231">
        <v>2122515</v>
      </c>
    </row>
    <row r="232" spans="7:7" x14ac:dyDescent="0.35">
      <c r="G232">
        <v>2122561</v>
      </c>
    </row>
    <row r="233" spans="7:7" x14ac:dyDescent="0.35">
      <c r="G233">
        <v>2122562</v>
      </c>
    </row>
    <row r="234" spans="7:7" x14ac:dyDescent="0.35">
      <c r="G234">
        <v>21300</v>
      </c>
    </row>
    <row r="235" spans="7:7" x14ac:dyDescent="0.35">
      <c r="G235">
        <v>21301</v>
      </c>
    </row>
    <row r="236" spans="7:7" x14ac:dyDescent="0.35">
      <c r="G236">
        <v>213012</v>
      </c>
    </row>
    <row r="237" spans="7:7" x14ac:dyDescent="0.35">
      <c r="G237">
        <v>213013</v>
      </c>
    </row>
    <row r="238" spans="7:7" x14ac:dyDescent="0.35">
      <c r="G238">
        <v>213014</v>
      </c>
    </row>
    <row r="239" spans="7:7" x14ac:dyDescent="0.35">
      <c r="G239">
        <v>213018</v>
      </c>
    </row>
    <row r="240" spans="7:7" x14ac:dyDescent="0.35">
      <c r="G240">
        <v>213019</v>
      </c>
    </row>
    <row r="241" spans="7:7" x14ac:dyDescent="0.35">
      <c r="G241">
        <v>21302</v>
      </c>
    </row>
    <row r="242" spans="7:7" x14ac:dyDescent="0.35">
      <c r="G242">
        <v>213020</v>
      </c>
    </row>
    <row r="243" spans="7:7" x14ac:dyDescent="0.35">
      <c r="G243">
        <v>213024</v>
      </c>
    </row>
    <row r="244" spans="7:7" x14ac:dyDescent="0.35">
      <c r="G244">
        <v>213025</v>
      </c>
    </row>
    <row r="245" spans="7:7" x14ac:dyDescent="0.35">
      <c r="G245">
        <v>213026</v>
      </c>
    </row>
    <row r="246" spans="7:7" x14ac:dyDescent="0.35">
      <c r="G246">
        <v>213030</v>
      </c>
    </row>
    <row r="247" spans="7:7" x14ac:dyDescent="0.35">
      <c r="G247">
        <v>213031</v>
      </c>
    </row>
    <row r="248" spans="7:7" x14ac:dyDescent="0.35">
      <c r="G248">
        <v>213032</v>
      </c>
    </row>
    <row r="249" spans="7:7" x14ac:dyDescent="0.35">
      <c r="G249">
        <v>213036</v>
      </c>
    </row>
    <row r="250" spans="7:7" x14ac:dyDescent="0.35">
      <c r="G250">
        <v>213037</v>
      </c>
    </row>
    <row r="251" spans="7:7" x14ac:dyDescent="0.35">
      <c r="G251">
        <v>213038</v>
      </c>
    </row>
    <row r="252" spans="7:7" x14ac:dyDescent="0.35">
      <c r="G252">
        <v>213042</v>
      </c>
    </row>
    <row r="253" spans="7:7" x14ac:dyDescent="0.35">
      <c r="G253">
        <v>213043</v>
      </c>
    </row>
    <row r="254" spans="7:7" x14ac:dyDescent="0.35">
      <c r="G254">
        <v>213044</v>
      </c>
    </row>
    <row r="255" spans="7:7" x14ac:dyDescent="0.35">
      <c r="G255">
        <v>213052</v>
      </c>
    </row>
    <row r="256" spans="7:7" x14ac:dyDescent="0.35">
      <c r="G256">
        <v>213053</v>
      </c>
    </row>
    <row r="257" spans="7:7" x14ac:dyDescent="0.35">
      <c r="G257">
        <v>21306</v>
      </c>
    </row>
    <row r="258" spans="7:7" x14ac:dyDescent="0.35">
      <c r="G258">
        <v>213060</v>
      </c>
    </row>
    <row r="259" spans="7:7" x14ac:dyDescent="0.35">
      <c r="G259">
        <v>213062</v>
      </c>
    </row>
    <row r="260" spans="7:7" x14ac:dyDescent="0.35">
      <c r="G260">
        <v>213064</v>
      </c>
    </row>
    <row r="261" spans="7:7" x14ac:dyDescent="0.35">
      <c r="G261">
        <v>213066</v>
      </c>
    </row>
    <row r="262" spans="7:7" x14ac:dyDescent="0.35">
      <c r="G262">
        <v>213068</v>
      </c>
    </row>
    <row r="263" spans="7:7" x14ac:dyDescent="0.35">
      <c r="G263">
        <v>21307</v>
      </c>
    </row>
    <row r="264" spans="7:7" x14ac:dyDescent="0.35">
      <c r="G264">
        <v>213070</v>
      </c>
    </row>
    <row r="265" spans="7:7" x14ac:dyDescent="0.35">
      <c r="G265">
        <v>213072</v>
      </c>
    </row>
    <row r="266" spans="7:7" x14ac:dyDescent="0.35">
      <c r="G266">
        <v>213074</v>
      </c>
    </row>
    <row r="267" spans="7:7" x14ac:dyDescent="0.35">
      <c r="G267">
        <v>21308</v>
      </c>
    </row>
    <row r="268" spans="7:7" x14ac:dyDescent="0.35">
      <c r="G268">
        <v>2131100</v>
      </c>
    </row>
    <row r="269" spans="7:7" x14ac:dyDescent="0.35">
      <c r="G269">
        <v>2131101</v>
      </c>
    </row>
    <row r="270" spans="7:7" x14ac:dyDescent="0.35">
      <c r="G270">
        <v>2131102</v>
      </c>
    </row>
    <row r="271" spans="7:7" x14ac:dyDescent="0.35">
      <c r="G271">
        <v>2131103</v>
      </c>
    </row>
    <row r="272" spans="7:7" x14ac:dyDescent="0.35">
      <c r="G272">
        <v>2131104</v>
      </c>
    </row>
    <row r="273" spans="7:7" x14ac:dyDescent="0.35">
      <c r="G273">
        <v>2131105</v>
      </c>
    </row>
    <row r="274" spans="7:7" x14ac:dyDescent="0.35">
      <c r="G274">
        <v>2131106</v>
      </c>
    </row>
    <row r="275" spans="7:7" x14ac:dyDescent="0.35">
      <c r="G275">
        <v>2131107</v>
      </c>
    </row>
    <row r="276" spans="7:7" x14ac:dyDescent="0.35">
      <c r="G276">
        <v>2131108</v>
      </c>
    </row>
    <row r="277" spans="7:7" x14ac:dyDescent="0.35">
      <c r="G277">
        <v>2131109</v>
      </c>
    </row>
    <row r="278" spans="7:7" x14ac:dyDescent="0.35">
      <c r="G278">
        <v>2131110</v>
      </c>
    </row>
    <row r="279" spans="7:7" x14ac:dyDescent="0.35">
      <c r="G279">
        <v>2131111</v>
      </c>
    </row>
    <row r="280" spans="7:7" x14ac:dyDescent="0.35">
      <c r="G280">
        <v>213113</v>
      </c>
    </row>
    <row r="281" spans="7:7" x14ac:dyDescent="0.35">
      <c r="G281">
        <v>213114</v>
      </c>
    </row>
    <row r="282" spans="7:7" x14ac:dyDescent="0.35">
      <c r="G282">
        <v>21321</v>
      </c>
    </row>
    <row r="283" spans="7:7" x14ac:dyDescent="0.35">
      <c r="G283">
        <v>2132112</v>
      </c>
    </row>
    <row r="284" spans="7:7" x14ac:dyDescent="0.35">
      <c r="G284">
        <v>2132113</v>
      </c>
    </row>
    <row r="285" spans="7:7" x14ac:dyDescent="0.35">
      <c r="G285">
        <v>2132114</v>
      </c>
    </row>
    <row r="286" spans="7:7" x14ac:dyDescent="0.35">
      <c r="G286">
        <v>2132115</v>
      </c>
    </row>
    <row r="287" spans="7:7" x14ac:dyDescent="0.35">
      <c r="G287">
        <v>2132116</v>
      </c>
    </row>
    <row r="288" spans="7:7" x14ac:dyDescent="0.35">
      <c r="G288">
        <v>2132117</v>
      </c>
    </row>
    <row r="289" spans="7:7" x14ac:dyDescent="0.35">
      <c r="G289">
        <v>2132118</v>
      </c>
    </row>
    <row r="290" spans="7:7" x14ac:dyDescent="0.35">
      <c r="G290">
        <v>2132119</v>
      </c>
    </row>
    <row r="291" spans="7:7" x14ac:dyDescent="0.35">
      <c r="G291">
        <v>2132120</v>
      </c>
    </row>
    <row r="292" spans="7:7" x14ac:dyDescent="0.35">
      <c r="G292">
        <v>2132121</v>
      </c>
    </row>
    <row r="293" spans="7:7" x14ac:dyDescent="0.35">
      <c r="G293">
        <v>2132122</v>
      </c>
    </row>
    <row r="294" spans="7:7" x14ac:dyDescent="0.35">
      <c r="G294">
        <v>2132123</v>
      </c>
    </row>
    <row r="295" spans="7:7" x14ac:dyDescent="0.35">
      <c r="G295">
        <v>21322</v>
      </c>
    </row>
    <row r="296" spans="7:7" x14ac:dyDescent="0.35">
      <c r="G296">
        <v>213221</v>
      </c>
    </row>
    <row r="297" spans="7:7" x14ac:dyDescent="0.35">
      <c r="G297">
        <v>2137100</v>
      </c>
    </row>
    <row r="298" spans="7:7" x14ac:dyDescent="0.35">
      <c r="G298">
        <v>2137101</v>
      </c>
    </row>
    <row r="299" spans="7:7" x14ac:dyDescent="0.35">
      <c r="G299">
        <v>2137102</v>
      </c>
    </row>
    <row r="300" spans="7:7" x14ac:dyDescent="0.35">
      <c r="G300">
        <v>2137103</v>
      </c>
    </row>
    <row r="301" spans="7:7" x14ac:dyDescent="0.35">
      <c r="G301">
        <v>2137104</v>
      </c>
    </row>
    <row r="302" spans="7:7" x14ac:dyDescent="0.35">
      <c r="G302">
        <v>2137105</v>
      </c>
    </row>
    <row r="303" spans="7:7" x14ac:dyDescent="0.35">
      <c r="G303">
        <v>2137106</v>
      </c>
    </row>
    <row r="304" spans="7:7" x14ac:dyDescent="0.35">
      <c r="G304">
        <v>213795</v>
      </c>
    </row>
    <row r="305" spans="7:7" x14ac:dyDescent="0.35">
      <c r="G305">
        <v>213796</v>
      </c>
    </row>
    <row r="306" spans="7:7" x14ac:dyDescent="0.35">
      <c r="G306">
        <v>213797</v>
      </c>
    </row>
    <row r="307" spans="7:7" x14ac:dyDescent="0.35">
      <c r="G307">
        <v>213798</v>
      </c>
    </row>
    <row r="308" spans="7:7" x14ac:dyDescent="0.35">
      <c r="G308">
        <v>213799</v>
      </c>
    </row>
    <row r="309" spans="7:7" x14ac:dyDescent="0.35">
      <c r="G309">
        <v>2140100</v>
      </c>
    </row>
    <row r="310" spans="7:7" x14ac:dyDescent="0.35">
      <c r="G310">
        <v>2140109</v>
      </c>
    </row>
    <row r="311" spans="7:7" x14ac:dyDescent="0.35">
      <c r="G311">
        <v>2140110</v>
      </c>
    </row>
    <row r="312" spans="7:7" x14ac:dyDescent="0.35">
      <c r="G312">
        <v>2140111</v>
      </c>
    </row>
    <row r="313" spans="7:7" x14ac:dyDescent="0.35">
      <c r="G313">
        <v>2140112</v>
      </c>
    </row>
    <row r="314" spans="7:7" x14ac:dyDescent="0.35">
      <c r="G314">
        <v>2140113</v>
      </c>
    </row>
    <row r="315" spans="7:7" x14ac:dyDescent="0.35">
      <c r="G315">
        <v>2140114</v>
      </c>
    </row>
    <row r="316" spans="7:7" x14ac:dyDescent="0.35">
      <c r="G316">
        <v>2140115</v>
      </c>
    </row>
    <row r="317" spans="7:7" x14ac:dyDescent="0.35">
      <c r="G317">
        <v>2140116</v>
      </c>
    </row>
    <row r="318" spans="7:7" x14ac:dyDescent="0.35">
      <c r="G318">
        <v>2140117</v>
      </c>
    </row>
    <row r="319" spans="7:7" x14ac:dyDescent="0.35">
      <c r="G319">
        <v>2140118</v>
      </c>
    </row>
    <row r="320" spans="7:7" x14ac:dyDescent="0.35">
      <c r="G320">
        <v>2140119</v>
      </c>
    </row>
    <row r="321" spans="7:7" x14ac:dyDescent="0.35">
      <c r="G321">
        <v>2140120</v>
      </c>
    </row>
    <row r="322" spans="7:7" x14ac:dyDescent="0.35">
      <c r="G322">
        <v>2140163</v>
      </c>
    </row>
    <row r="323" spans="7:7" x14ac:dyDescent="0.35">
      <c r="G323">
        <v>2140164</v>
      </c>
    </row>
    <row r="324" spans="7:7" x14ac:dyDescent="0.35">
      <c r="G324">
        <v>2140165</v>
      </c>
    </row>
    <row r="325" spans="7:7" x14ac:dyDescent="0.35">
      <c r="G325">
        <v>2140166</v>
      </c>
    </row>
    <row r="326" spans="7:7" x14ac:dyDescent="0.35">
      <c r="G326">
        <v>214018</v>
      </c>
    </row>
    <row r="327" spans="7:7" x14ac:dyDescent="0.35">
      <c r="G327">
        <v>214019</v>
      </c>
    </row>
    <row r="328" spans="7:7" x14ac:dyDescent="0.35">
      <c r="G328">
        <v>214020</v>
      </c>
    </row>
    <row r="329" spans="7:7" x14ac:dyDescent="0.35">
      <c r="G329">
        <v>2140206</v>
      </c>
    </row>
    <row r="330" spans="7:7" x14ac:dyDescent="0.35">
      <c r="G330">
        <v>2140207</v>
      </c>
    </row>
    <row r="331" spans="7:7" x14ac:dyDescent="0.35">
      <c r="G331">
        <v>2140208</v>
      </c>
    </row>
    <row r="332" spans="7:7" x14ac:dyDescent="0.35">
      <c r="G332">
        <v>2140209</v>
      </c>
    </row>
    <row r="333" spans="7:7" x14ac:dyDescent="0.35">
      <c r="G333">
        <v>214021</v>
      </c>
    </row>
    <row r="334" spans="7:7" x14ac:dyDescent="0.35">
      <c r="G334">
        <v>2140210</v>
      </c>
    </row>
    <row r="335" spans="7:7" x14ac:dyDescent="0.35">
      <c r="G335">
        <v>2140211</v>
      </c>
    </row>
    <row r="336" spans="7:7" x14ac:dyDescent="0.35">
      <c r="G336">
        <v>2140212</v>
      </c>
    </row>
    <row r="337" spans="7:7" x14ac:dyDescent="0.35">
      <c r="G337">
        <v>2140213</v>
      </c>
    </row>
    <row r="338" spans="7:7" x14ac:dyDescent="0.35">
      <c r="G338">
        <v>2140214</v>
      </c>
    </row>
    <row r="339" spans="7:7" x14ac:dyDescent="0.35">
      <c r="G339">
        <v>2140215</v>
      </c>
    </row>
    <row r="340" spans="7:7" x14ac:dyDescent="0.35">
      <c r="G340">
        <v>2140216</v>
      </c>
    </row>
    <row r="341" spans="7:7" x14ac:dyDescent="0.35">
      <c r="G341">
        <v>2140217</v>
      </c>
    </row>
    <row r="342" spans="7:7" x14ac:dyDescent="0.35">
      <c r="G342">
        <v>2140218</v>
      </c>
    </row>
    <row r="343" spans="7:7" x14ac:dyDescent="0.35">
      <c r="G343">
        <v>2140219</v>
      </c>
    </row>
    <row r="344" spans="7:7" x14ac:dyDescent="0.35">
      <c r="G344">
        <v>214022</v>
      </c>
    </row>
    <row r="345" spans="7:7" x14ac:dyDescent="0.35">
      <c r="G345">
        <v>2140220</v>
      </c>
    </row>
    <row r="346" spans="7:7" x14ac:dyDescent="0.35">
      <c r="G346">
        <v>2140221</v>
      </c>
    </row>
    <row r="347" spans="7:7" x14ac:dyDescent="0.35">
      <c r="G347">
        <v>214023</v>
      </c>
    </row>
    <row r="348" spans="7:7" x14ac:dyDescent="0.35">
      <c r="G348">
        <v>214024</v>
      </c>
    </row>
    <row r="349" spans="7:7" x14ac:dyDescent="0.35">
      <c r="G349">
        <v>214025</v>
      </c>
    </row>
    <row r="350" spans="7:7" x14ac:dyDescent="0.35">
      <c r="G350">
        <v>214026</v>
      </c>
    </row>
    <row r="351" spans="7:7" x14ac:dyDescent="0.35">
      <c r="G351">
        <v>2140262</v>
      </c>
    </row>
    <row r="352" spans="7:7" x14ac:dyDescent="0.35">
      <c r="G352">
        <v>2140263</v>
      </c>
    </row>
    <row r="353" spans="7:7" x14ac:dyDescent="0.35">
      <c r="G353">
        <v>2140264</v>
      </c>
    </row>
    <row r="354" spans="7:7" x14ac:dyDescent="0.35">
      <c r="G354">
        <v>2140265</v>
      </c>
    </row>
    <row r="355" spans="7:7" x14ac:dyDescent="0.35">
      <c r="G355">
        <v>214027</v>
      </c>
    </row>
    <row r="356" spans="7:7" x14ac:dyDescent="0.35">
      <c r="G356">
        <v>214028</v>
      </c>
    </row>
    <row r="357" spans="7:7" x14ac:dyDescent="0.35">
      <c r="G357">
        <v>214029</v>
      </c>
    </row>
    <row r="358" spans="7:7" x14ac:dyDescent="0.35">
      <c r="G358">
        <v>214030</v>
      </c>
    </row>
    <row r="359" spans="7:7" x14ac:dyDescent="0.35">
      <c r="G359">
        <v>214031</v>
      </c>
    </row>
    <row r="360" spans="7:7" x14ac:dyDescent="0.35">
      <c r="G360">
        <v>214032</v>
      </c>
    </row>
    <row r="361" spans="7:7" x14ac:dyDescent="0.35">
      <c r="G361">
        <v>214033</v>
      </c>
    </row>
    <row r="362" spans="7:7" x14ac:dyDescent="0.35">
      <c r="G362">
        <v>214034</v>
      </c>
    </row>
    <row r="363" spans="7:7" x14ac:dyDescent="0.35">
      <c r="G363">
        <v>214035</v>
      </c>
    </row>
    <row r="364" spans="7:7" x14ac:dyDescent="0.35">
      <c r="G364">
        <v>214066</v>
      </c>
    </row>
    <row r="365" spans="7:7" x14ac:dyDescent="0.35">
      <c r="G365">
        <v>214067</v>
      </c>
    </row>
    <row r="366" spans="7:7" x14ac:dyDescent="0.35">
      <c r="G366">
        <v>214068</v>
      </c>
    </row>
    <row r="367" spans="7:7" x14ac:dyDescent="0.35">
      <c r="G367">
        <v>214069</v>
      </c>
    </row>
    <row r="368" spans="7:7" x14ac:dyDescent="0.35">
      <c r="G368">
        <v>214070</v>
      </c>
    </row>
    <row r="369" spans="7:7" x14ac:dyDescent="0.35">
      <c r="G369">
        <v>214071</v>
      </c>
    </row>
    <row r="370" spans="7:7" x14ac:dyDescent="0.35">
      <c r="G370">
        <v>2141201</v>
      </c>
    </row>
    <row r="371" spans="7:7" x14ac:dyDescent="0.35">
      <c r="G371">
        <v>2141203</v>
      </c>
    </row>
    <row r="372" spans="7:7" x14ac:dyDescent="0.35">
      <c r="G372">
        <v>2141653</v>
      </c>
    </row>
    <row r="373" spans="7:7" x14ac:dyDescent="0.35">
      <c r="G373">
        <v>2141654</v>
      </c>
    </row>
    <row r="374" spans="7:7" x14ac:dyDescent="0.35">
      <c r="G374">
        <v>2141658</v>
      </c>
    </row>
    <row r="375" spans="7:7" x14ac:dyDescent="0.35">
      <c r="G375">
        <v>2141659</v>
      </c>
    </row>
    <row r="376" spans="7:7" x14ac:dyDescent="0.35">
      <c r="G376">
        <v>2142205</v>
      </c>
    </row>
    <row r="377" spans="7:7" x14ac:dyDescent="0.35">
      <c r="G377">
        <v>2142605</v>
      </c>
    </row>
    <row r="378" spans="7:7" x14ac:dyDescent="0.35">
      <c r="G378">
        <v>2142613</v>
      </c>
    </row>
    <row r="379" spans="7:7" x14ac:dyDescent="0.35">
      <c r="G379">
        <v>2142615</v>
      </c>
    </row>
    <row r="380" spans="7:7" x14ac:dyDescent="0.35">
      <c r="G380">
        <v>2142617</v>
      </c>
    </row>
    <row r="381" spans="7:7" x14ac:dyDescent="0.35">
      <c r="G381">
        <v>2142630</v>
      </c>
    </row>
    <row r="382" spans="7:7" x14ac:dyDescent="0.35">
      <c r="G382">
        <v>2142670</v>
      </c>
    </row>
    <row r="383" spans="7:7" x14ac:dyDescent="0.35">
      <c r="G383">
        <v>2142681</v>
      </c>
    </row>
    <row r="384" spans="7:7" x14ac:dyDescent="0.35">
      <c r="G384">
        <v>2142691</v>
      </c>
    </row>
    <row r="385" spans="7:7" x14ac:dyDescent="0.35">
      <c r="G385">
        <v>2142692</v>
      </c>
    </row>
    <row r="386" spans="7:7" x14ac:dyDescent="0.35">
      <c r="G386">
        <v>2142706</v>
      </c>
    </row>
    <row r="387" spans="7:7" x14ac:dyDescent="0.35">
      <c r="G387">
        <v>2142805</v>
      </c>
    </row>
    <row r="388" spans="7:7" x14ac:dyDescent="0.35">
      <c r="G388">
        <v>2142813</v>
      </c>
    </row>
    <row r="389" spans="7:7" x14ac:dyDescent="0.35">
      <c r="G389">
        <v>2142815</v>
      </c>
    </row>
    <row r="390" spans="7:7" x14ac:dyDescent="0.35">
      <c r="G390">
        <v>2142817</v>
      </c>
    </row>
    <row r="391" spans="7:7" x14ac:dyDescent="0.35">
      <c r="G391">
        <v>2142830</v>
      </c>
    </row>
    <row r="392" spans="7:7" x14ac:dyDescent="0.35">
      <c r="G392">
        <v>215010</v>
      </c>
    </row>
    <row r="393" spans="7:7" x14ac:dyDescent="0.35">
      <c r="G393">
        <v>215011</v>
      </c>
    </row>
    <row r="394" spans="7:7" x14ac:dyDescent="0.35">
      <c r="G394">
        <v>215012</v>
      </c>
    </row>
    <row r="395" spans="7:7" x14ac:dyDescent="0.35">
      <c r="G395">
        <v>2150122</v>
      </c>
    </row>
    <row r="396" spans="7:7" x14ac:dyDescent="0.35">
      <c r="G396">
        <v>2150123</v>
      </c>
    </row>
    <row r="397" spans="7:7" x14ac:dyDescent="0.35">
      <c r="G397">
        <v>2150124</v>
      </c>
    </row>
    <row r="398" spans="7:7" x14ac:dyDescent="0.35">
      <c r="G398">
        <v>2150125</v>
      </c>
    </row>
    <row r="399" spans="7:7" x14ac:dyDescent="0.35">
      <c r="G399">
        <v>215013</v>
      </c>
    </row>
    <row r="400" spans="7:7" x14ac:dyDescent="0.35">
      <c r="G400">
        <v>2150130</v>
      </c>
    </row>
    <row r="401" spans="7:7" x14ac:dyDescent="0.35">
      <c r="G401">
        <v>2150137</v>
      </c>
    </row>
    <row r="402" spans="7:7" x14ac:dyDescent="0.35">
      <c r="G402">
        <v>2150138</v>
      </c>
    </row>
    <row r="403" spans="7:7" x14ac:dyDescent="0.35">
      <c r="G403">
        <v>2150139</v>
      </c>
    </row>
    <row r="404" spans="7:7" x14ac:dyDescent="0.35">
      <c r="G404">
        <v>215014</v>
      </c>
    </row>
    <row r="405" spans="7:7" x14ac:dyDescent="0.35">
      <c r="G405">
        <v>2150143</v>
      </c>
    </row>
    <row r="406" spans="7:7" x14ac:dyDescent="0.35">
      <c r="G406">
        <v>2150144</v>
      </c>
    </row>
    <row r="407" spans="7:7" x14ac:dyDescent="0.35">
      <c r="G407">
        <v>215015</v>
      </c>
    </row>
    <row r="408" spans="7:7" x14ac:dyDescent="0.35">
      <c r="G408">
        <v>215016</v>
      </c>
    </row>
    <row r="409" spans="7:7" x14ac:dyDescent="0.35">
      <c r="G409">
        <v>215017</v>
      </c>
    </row>
    <row r="410" spans="7:7" x14ac:dyDescent="0.35">
      <c r="G410">
        <v>2150200</v>
      </c>
    </row>
    <row r="411" spans="7:7" x14ac:dyDescent="0.35">
      <c r="G411">
        <v>2150201</v>
      </c>
    </row>
    <row r="412" spans="7:7" x14ac:dyDescent="0.35">
      <c r="G412">
        <v>2150202</v>
      </c>
    </row>
    <row r="413" spans="7:7" x14ac:dyDescent="0.35">
      <c r="G413">
        <v>2150204</v>
      </c>
    </row>
    <row r="414" spans="7:7" x14ac:dyDescent="0.35">
      <c r="G414">
        <v>2150205</v>
      </c>
    </row>
    <row r="415" spans="7:7" x14ac:dyDescent="0.35">
      <c r="G415">
        <v>2150206</v>
      </c>
    </row>
    <row r="416" spans="7:7" x14ac:dyDescent="0.35">
      <c r="G416">
        <v>2150207</v>
      </c>
    </row>
    <row r="417" spans="7:7" x14ac:dyDescent="0.35">
      <c r="G417">
        <v>2150208</v>
      </c>
    </row>
    <row r="418" spans="7:7" x14ac:dyDescent="0.35">
      <c r="G418">
        <v>2150209</v>
      </c>
    </row>
    <row r="419" spans="7:7" x14ac:dyDescent="0.35">
      <c r="G419">
        <v>215030</v>
      </c>
    </row>
    <row r="420" spans="7:7" x14ac:dyDescent="0.35">
      <c r="G420">
        <v>215031</v>
      </c>
    </row>
    <row r="421" spans="7:7" x14ac:dyDescent="0.35">
      <c r="G421">
        <v>215032</v>
      </c>
    </row>
    <row r="422" spans="7:7" x14ac:dyDescent="0.35">
      <c r="G422">
        <v>215051</v>
      </c>
    </row>
    <row r="423" spans="7:7" x14ac:dyDescent="0.35">
      <c r="G423">
        <v>215052</v>
      </c>
    </row>
    <row r="424" spans="7:7" x14ac:dyDescent="0.35">
      <c r="G424">
        <v>215053</v>
      </c>
    </row>
    <row r="425" spans="7:7" x14ac:dyDescent="0.35">
      <c r="G425">
        <v>215054</v>
      </c>
    </row>
    <row r="426" spans="7:7" x14ac:dyDescent="0.35">
      <c r="G426">
        <v>215055</v>
      </c>
    </row>
    <row r="427" spans="7:7" x14ac:dyDescent="0.35">
      <c r="G427">
        <v>215056</v>
      </c>
    </row>
    <row r="428" spans="7:7" x14ac:dyDescent="0.35">
      <c r="G428">
        <v>215057</v>
      </c>
    </row>
    <row r="429" spans="7:7" x14ac:dyDescent="0.35">
      <c r="G429">
        <v>215058</v>
      </c>
    </row>
    <row r="430" spans="7:7" x14ac:dyDescent="0.35">
      <c r="G430">
        <v>215059</v>
      </c>
    </row>
    <row r="431" spans="7:7" x14ac:dyDescent="0.35">
      <c r="G431">
        <v>21506</v>
      </c>
    </row>
    <row r="432" spans="7:7" x14ac:dyDescent="0.35">
      <c r="G432">
        <v>215069</v>
      </c>
    </row>
    <row r="433" spans="7:7" x14ac:dyDescent="0.35">
      <c r="G433">
        <v>21507</v>
      </c>
    </row>
    <row r="434" spans="7:7" x14ac:dyDescent="0.35">
      <c r="G434">
        <v>215070</v>
      </c>
    </row>
    <row r="435" spans="7:7" x14ac:dyDescent="0.35">
      <c r="G435">
        <v>215071</v>
      </c>
    </row>
    <row r="436" spans="7:7" x14ac:dyDescent="0.35">
      <c r="G436">
        <v>215072</v>
      </c>
    </row>
    <row r="437" spans="7:7" x14ac:dyDescent="0.35">
      <c r="G437">
        <v>215073</v>
      </c>
    </row>
    <row r="438" spans="7:7" x14ac:dyDescent="0.35">
      <c r="G438">
        <v>215074</v>
      </c>
    </row>
    <row r="439" spans="7:7" x14ac:dyDescent="0.35">
      <c r="G439">
        <v>21508</v>
      </c>
    </row>
    <row r="440" spans="7:7" x14ac:dyDescent="0.35">
      <c r="G440">
        <v>21509</v>
      </c>
    </row>
    <row r="441" spans="7:7" x14ac:dyDescent="0.35">
      <c r="G441">
        <v>2152520</v>
      </c>
    </row>
    <row r="442" spans="7:7" x14ac:dyDescent="0.35">
      <c r="G442">
        <v>2152532</v>
      </c>
    </row>
    <row r="443" spans="7:7" x14ac:dyDescent="0.35">
      <c r="G443">
        <v>2152533</v>
      </c>
    </row>
    <row r="444" spans="7:7" x14ac:dyDescent="0.35">
      <c r="G444">
        <v>2152534</v>
      </c>
    </row>
    <row r="445" spans="7:7" x14ac:dyDescent="0.35">
      <c r="G445">
        <v>2152537</v>
      </c>
    </row>
    <row r="446" spans="7:7" x14ac:dyDescent="0.35">
      <c r="G446">
        <v>2152540</v>
      </c>
    </row>
    <row r="447" spans="7:7" x14ac:dyDescent="0.35">
      <c r="G447">
        <v>2152541</v>
      </c>
    </row>
    <row r="448" spans="7:7" x14ac:dyDescent="0.35">
      <c r="G448">
        <v>2152542</v>
      </c>
    </row>
    <row r="449" spans="7:7" x14ac:dyDescent="0.35">
      <c r="G449">
        <v>2152579</v>
      </c>
    </row>
    <row r="450" spans="7:7" x14ac:dyDescent="0.35">
      <c r="G450">
        <v>2152588</v>
      </c>
    </row>
    <row r="451" spans="7:7" x14ac:dyDescent="0.35">
      <c r="G451">
        <v>2152589</v>
      </c>
    </row>
    <row r="452" spans="7:7" x14ac:dyDescent="0.35">
      <c r="G452">
        <v>2152590</v>
      </c>
    </row>
    <row r="453" spans="7:7" x14ac:dyDescent="0.35">
      <c r="G453">
        <v>2152620</v>
      </c>
    </row>
    <row r="454" spans="7:7" x14ac:dyDescent="0.35">
      <c r="G454">
        <v>2152632</v>
      </c>
    </row>
    <row r="455" spans="7:7" x14ac:dyDescent="0.35">
      <c r="G455">
        <v>2152633</v>
      </c>
    </row>
    <row r="456" spans="7:7" x14ac:dyDescent="0.35">
      <c r="G456">
        <v>2152634</v>
      </c>
    </row>
    <row r="457" spans="7:7" x14ac:dyDescent="0.35">
      <c r="G457">
        <v>2152637</v>
      </c>
    </row>
    <row r="458" spans="7:7" x14ac:dyDescent="0.35">
      <c r="G458">
        <v>2152640</v>
      </c>
    </row>
    <row r="459" spans="7:7" x14ac:dyDescent="0.35">
      <c r="G459">
        <v>2152641</v>
      </c>
    </row>
    <row r="460" spans="7:7" x14ac:dyDescent="0.35">
      <c r="G460">
        <v>2152642</v>
      </c>
    </row>
    <row r="461" spans="7:7" x14ac:dyDescent="0.35">
      <c r="G461">
        <v>2154655</v>
      </c>
    </row>
    <row r="462" spans="7:7" x14ac:dyDescent="0.35">
      <c r="G462">
        <v>2157662</v>
      </c>
    </row>
    <row r="463" spans="7:7" x14ac:dyDescent="0.35">
      <c r="G463">
        <v>2157663</v>
      </c>
    </row>
    <row r="464" spans="7:7" x14ac:dyDescent="0.35">
      <c r="G464">
        <v>2620350</v>
      </c>
    </row>
    <row r="465" spans="7:7" x14ac:dyDescent="0.35">
      <c r="G465">
        <v>2621100</v>
      </c>
    </row>
    <row r="466" spans="7:7" x14ac:dyDescent="0.35">
      <c r="G466">
        <v>2621102</v>
      </c>
    </row>
    <row r="467" spans="7:7" x14ac:dyDescent="0.35">
      <c r="G467">
        <v>2621104</v>
      </c>
    </row>
    <row r="468" spans="7:7" x14ac:dyDescent="0.35">
      <c r="G468">
        <v>2621106</v>
      </c>
    </row>
    <row r="469" spans="7:7" x14ac:dyDescent="0.35">
      <c r="G469">
        <v>2621151</v>
      </c>
    </row>
    <row r="470" spans="7:7" x14ac:dyDescent="0.35">
      <c r="G470">
        <v>2621200</v>
      </c>
    </row>
    <row r="471" spans="7:7" x14ac:dyDescent="0.35">
      <c r="G471">
        <v>2621202</v>
      </c>
    </row>
    <row r="472" spans="7:7" x14ac:dyDescent="0.35">
      <c r="G472">
        <v>2621204</v>
      </c>
    </row>
    <row r="473" spans="7:7" x14ac:dyDescent="0.35">
      <c r="G473">
        <v>2621206</v>
      </c>
    </row>
    <row r="474" spans="7:7" x14ac:dyDescent="0.35">
      <c r="G474">
        <v>2621208</v>
      </c>
    </row>
    <row r="475" spans="7:7" x14ac:dyDescent="0.35">
      <c r="G475">
        <v>2621210</v>
      </c>
    </row>
    <row r="476" spans="7:7" x14ac:dyDescent="0.35">
      <c r="G476">
        <v>262134</v>
      </c>
    </row>
    <row r="477" spans="7:7" x14ac:dyDescent="0.35">
      <c r="G477">
        <v>262134</v>
      </c>
    </row>
    <row r="478" spans="7:7" x14ac:dyDescent="0.35">
      <c r="G478">
        <v>262135</v>
      </c>
    </row>
    <row r="479" spans="7:7" x14ac:dyDescent="0.35">
      <c r="G479">
        <v>262135</v>
      </c>
    </row>
    <row r="480" spans="7:7" x14ac:dyDescent="0.35">
      <c r="G480">
        <v>2621351</v>
      </c>
    </row>
    <row r="481" spans="7:7" x14ac:dyDescent="0.35">
      <c r="G481">
        <v>262196</v>
      </c>
    </row>
    <row r="482" spans="7:7" x14ac:dyDescent="0.35">
      <c r="G482">
        <v>262198</v>
      </c>
    </row>
    <row r="483" spans="7:7" x14ac:dyDescent="0.35">
      <c r="G483">
        <v>2660351</v>
      </c>
    </row>
    <row r="484" spans="7:7" x14ac:dyDescent="0.35">
      <c r="G484">
        <v>2661150</v>
      </c>
    </row>
    <row r="485" spans="7:7" x14ac:dyDescent="0.35">
      <c r="G485">
        <v>2661152</v>
      </c>
    </row>
    <row r="486" spans="7:7" x14ac:dyDescent="0.35">
      <c r="G486">
        <v>2661250</v>
      </c>
    </row>
    <row r="487" spans="7:7" x14ac:dyDescent="0.35">
      <c r="G487">
        <v>2661251</v>
      </c>
    </row>
    <row r="488" spans="7:7" x14ac:dyDescent="0.35">
      <c r="G488">
        <v>266133</v>
      </c>
    </row>
    <row r="489" spans="7:7" x14ac:dyDescent="0.35">
      <c r="G489">
        <v>2661350</v>
      </c>
    </row>
    <row r="490" spans="7:7" x14ac:dyDescent="0.35">
      <c r="G490">
        <v>2661352</v>
      </c>
    </row>
    <row r="491" spans="7:7" x14ac:dyDescent="0.35">
      <c r="G491">
        <v>266136</v>
      </c>
    </row>
    <row r="492" spans="7:7" x14ac:dyDescent="0.35">
      <c r="G492">
        <v>266136</v>
      </c>
    </row>
    <row r="493" spans="7:7" x14ac:dyDescent="0.35">
      <c r="G493">
        <v>2661550</v>
      </c>
    </row>
    <row r="494" spans="7:7" x14ac:dyDescent="0.35">
      <c r="G494">
        <v>2661553</v>
      </c>
    </row>
    <row r="495" spans="7:7" x14ac:dyDescent="0.35">
      <c r="G495">
        <v>2661554</v>
      </c>
    </row>
    <row r="496" spans="7:7" x14ac:dyDescent="0.35">
      <c r="G496">
        <v>2661555</v>
      </c>
    </row>
    <row r="497" spans="7:7" x14ac:dyDescent="0.35">
      <c r="G497">
        <v>60600</v>
      </c>
    </row>
    <row r="498" spans="7:7" x14ac:dyDescent="0.35">
      <c r="G498">
        <v>60601</v>
      </c>
    </row>
    <row r="499" spans="7:7" x14ac:dyDescent="0.35">
      <c r="G499">
        <v>606010</v>
      </c>
    </row>
    <row r="500" spans="7:7" x14ac:dyDescent="0.35">
      <c r="G500">
        <v>6060100</v>
      </c>
    </row>
    <row r="501" spans="7:7" x14ac:dyDescent="0.35">
      <c r="G501">
        <v>6060101</v>
      </c>
    </row>
    <row r="502" spans="7:7" x14ac:dyDescent="0.35">
      <c r="G502">
        <v>606011</v>
      </c>
    </row>
    <row r="503" spans="7:7" x14ac:dyDescent="0.35">
      <c r="G503">
        <v>606012</v>
      </c>
    </row>
    <row r="504" spans="7:7" x14ac:dyDescent="0.35">
      <c r="G504">
        <v>606013</v>
      </c>
    </row>
    <row r="505" spans="7:7" x14ac:dyDescent="0.35">
      <c r="G505">
        <v>60602</v>
      </c>
    </row>
    <row r="506" spans="7:7" x14ac:dyDescent="0.35">
      <c r="G506">
        <v>606020</v>
      </c>
    </row>
    <row r="507" spans="7:7" x14ac:dyDescent="0.35">
      <c r="G507">
        <v>606021</v>
      </c>
    </row>
    <row r="508" spans="7:7" x14ac:dyDescent="0.35">
      <c r="G508">
        <v>606022</v>
      </c>
    </row>
    <row r="509" spans="7:7" x14ac:dyDescent="0.35">
      <c r="G509">
        <v>606023</v>
      </c>
    </row>
    <row r="510" spans="7:7" x14ac:dyDescent="0.35">
      <c r="G510">
        <v>606024</v>
      </c>
    </row>
    <row r="511" spans="7:7" x14ac:dyDescent="0.35">
      <c r="G511">
        <v>606025</v>
      </c>
    </row>
    <row r="512" spans="7:7" x14ac:dyDescent="0.35">
      <c r="G512">
        <v>606026</v>
      </c>
    </row>
    <row r="513" spans="7:7" x14ac:dyDescent="0.35">
      <c r="G513">
        <v>606027</v>
      </c>
    </row>
    <row r="514" spans="7:7" x14ac:dyDescent="0.35">
      <c r="G514">
        <v>606028</v>
      </c>
    </row>
    <row r="515" spans="7:7" x14ac:dyDescent="0.35">
      <c r="G515">
        <v>606029</v>
      </c>
    </row>
    <row r="516" spans="7:7" x14ac:dyDescent="0.35">
      <c r="G516">
        <v>60603</v>
      </c>
    </row>
    <row r="517" spans="7:7" x14ac:dyDescent="0.35">
      <c r="G517">
        <v>606030</v>
      </c>
    </row>
    <row r="518" spans="7:7" x14ac:dyDescent="0.35">
      <c r="G518">
        <v>606031</v>
      </c>
    </row>
    <row r="519" spans="7:7" x14ac:dyDescent="0.35">
      <c r="G519">
        <v>606032</v>
      </c>
    </row>
    <row r="520" spans="7:7" x14ac:dyDescent="0.35">
      <c r="G520">
        <v>606033</v>
      </c>
    </row>
    <row r="521" spans="7:7" x14ac:dyDescent="0.35">
      <c r="G521">
        <v>60604</v>
      </c>
    </row>
    <row r="522" spans="7:7" x14ac:dyDescent="0.35">
      <c r="G522">
        <v>60605</v>
      </c>
    </row>
    <row r="523" spans="7:7" x14ac:dyDescent="0.35">
      <c r="G523">
        <v>60606</v>
      </c>
    </row>
    <row r="524" spans="7:7" x14ac:dyDescent="0.35">
      <c r="G524">
        <v>60607</v>
      </c>
    </row>
    <row r="525" spans="7:7" x14ac:dyDescent="0.35">
      <c r="G525">
        <v>60608</v>
      </c>
    </row>
    <row r="526" spans="7:7" x14ac:dyDescent="0.35">
      <c r="G526">
        <v>60609</v>
      </c>
    </row>
    <row r="527" spans="7:7" x14ac:dyDescent="0.35">
      <c r="G527">
        <v>6061203</v>
      </c>
    </row>
    <row r="528" spans="7:7" x14ac:dyDescent="0.35">
      <c r="G528">
        <v>6062500</v>
      </c>
    </row>
    <row r="529" spans="7:7" x14ac:dyDescent="0.35">
      <c r="G529">
        <v>6062510</v>
      </c>
    </row>
    <row r="530" spans="7:7" x14ac:dyDescent="0.35">
      <c r="G530">
        <v>6062650</v>
      </c>
    </row>
    <row r="531" spans="7:7" x14ac:dyDescent="0.35">
      <c r="G531">
        <v>6062651</v>
      </c>
    </row>
    <row r="532" spans="7:7" x14ac:dyDescent="0.35">
      <c r="G532">
        <v>6063513</v>
      </c>
    </row>
    <row r="533" spans="7:7" x14ac:dyDescent="0.35">
      <c r="G533">
        <v>6063514</v>
      </c>
    </row>
    <row r="534" spans="7:7" x14ac:dyDescent="0.35">
      <c r="G534">
        <v>6064515</v>
      </c>
    </row>
    <row r="535" spans="7:7" x14ac:dyDescent="0.35">
      <c r="G535">
        <v>6064516</v>
      </c>
    </row>
    <row r="536" spans="7:7" x14ac:dyDescent="0.35">
      <c r="G536">
        <v>6067701</v>
      </c>
    </row>
    <row r="537" spans="7:7" x14ac:dyDescent="0.35">
      <c r="G537">
        <v>60900</v>
      </c>
    </row>
    <row r="538" spans="7:7" x14ac:dyDescent="0.35">
      <c r="G538">
        <v>60901</v>
      </c>
    </row>
    <row r="539" spans="7:7" x14ac:dyDescent="0.35">
      <c r="G539">
        <v>609010</v>
      </c>
    </row>
    <row r="540" spans="7:7" x14ac:dyDescent="0.35">
      <c r="G540">
        <v>6090101</v>
      </c>
    </row>
    <row r="541" spans="7:7" x14ac:dyDescent="0.35">
      <c r="G541">
        <v>6090102</v>
      </c>
    </row>
    <row r="542" spans="7:7" x14ac:dyDescent="0.35">
      <c r="G542">
        <v>6090103</v>
      </c>
    </row>
    <row r="543" spans="7:7" x14ac:dyDescent="0.35">
      <c r="G543">
        <v>6090104</v>
      </c>
    </row>
    <row r="544" spans="7:7" x14ac:dyDescent="0.35">
      <c r="G544">
        <v>609011</v>
      </c>
    </row>
    <row r="545" spans="7:7" x14ac:dyDescent="0.35">
      <c r="G545">
        <v>609012</v>
      </c>
    </row>
    <row r="546" spans="7:7" x14ac:dyDescent="0.35">
      <c r="G546">
        <v>609013</v>
      </c>
    </row>
    <row r="547" spans="7:7" x14ac:dyDescent="0.35">
      <c r="G547">
        <v>609014</v>
      </c>
    </row>
    <row r="548" spans="7:7" x14ac:dyDescent="0.35">
      <c r="G548">
        <v>609015</v>
      </c>
    </row>
    <row r="549" spans="7:7" x14ac:dyDescent="0.35">
      <c r="G549">
        <v>609016</v>
      </c>
    </row>
    <row r="550" spans="7:7" x14ac:dyDescent="0.35">
      <c r="G550">
        <v>609017</v>
      </c>
    </row>
    <row r="551" spans="7:7" x14ac:dyDescent="0.35">
      <c r="G551">
        <v>609018</v>
      </c>
    </row>
    <row r="552" spans="7:7" x14ac:dyDescent="0.35">
      <c r="G552">
        <v>60902</v>
      </c>
    </row>
    <row r="553" spans="7:7" x14ac:dyDescent="0.35">
      <c r="G553">
        <v>60903</v>
      </c>
    </row>
    <row r="554" spans="7:7" x14ac:dyDescent="0.35">
      <c r="G554">
        <v>60904</v>
      </c>
    </row>
    <row r="555" spans="7:7" x14ac:dyDescent="0.35">
      <c r="G555">
        <v>60905</v>
      </c>
    </row>
    <row r="556" spans="7:7" x14ac:dyDescent="0.35">
      <c r="G556">
        <v>60906</v>
      </c>
    </row>
    <row r="557" spans="7:7" x14ac:dyDescent="0.35">
      <c r="G557">
        <v>60907</v>
      </c>
    </row>
    <row r="558" spans="7:7" x14ac:dyDescent="0.35">
      <c r="G558">
        <v>60908</v>
      </c>
    </row>
    <row r="559" spans="7:7" x14ac:dyDescent="0.35">
      <c r="G559">
        <v>60909</v>
      </c>
    </row>
    <row r="560" spans="7:7" x14ac:dyDescent="0.35">
      <c r="G560">
        <v>61100</v>
      </c>
    </row>
    <row r="561" spans="7:7" x14ac:dyDescent="0.35">
      <c r="G561">
        <v>61101</v>
      </c>
    </row>
    <row r="562" spans="7:7" x14ac:dyDescent="0.35">
      <c r="G562">
        <v>611010</v>
      </c>
    </row>
    <row r="563" spans="7:7" x14ac:dyDescent="0.35">
      <c r="G563">
        <v>6110100</v>
      </c>
    </row>
    <row r="564" spans="7:7" x14ac:dyDescent="0.35">
      <c r="G564">
        <v>6110101</v>
      </c>
    </row>
    <row r="565" spans="7:7" x14ac:dyDescent="0.35">
      <c r="G565">
        <v>6110102</v>
      </c>
    </row>
    <row r="566" spans="7:7" x14ac:dyDescent="0.35">
      <c r="G566">
        <v>6110104</v>
      </c>
    </row>
    <row r="567" spans="7:7" x14ac:dyDescent="0.35">
      <c r="G567">
        <v>6110105</v>
      </c>
    </row>
    <row r="568" spans="7:7" x14ac:dyDescent="0.35">
      <c r="G568">
        <v>6110107</v>
      </c>
    </row>
    <row r="569" spans="7:7" x14ac:dyDescent="0.35">
      <c r="G569">
        <v>6110108</v>
      </c>
    </row>
    <row r="570" spans="7:7" x14ac:dyDescent="0.35">
      <c r="G570">
        <v>6110109</v>
      </c>
    </row>
    <row r="571" spans="7:7" x14ac:dyDescent="0.35">
      <c r="G571">
        <v>611011</v>
      </c>
    </row>
    <row r="572" spans="7:7" x14ac:dyDescent="0.35">
      <c r="G572">
        <v>6110111</v>
      </c>
    </row>
    <row r="573" spans="7:7" x14ac:dyDescent="0.35">
      <c r="G573">
        <v>6110112</v>
      </c>
    </row>
    <row r="574" spans="7:7" x14ac:dyDescent="0.35">
      <c r="G574">
        <v>611012</v>
      </c>
    </row>
    <row r="575" spans="7:7" x14ac:dyDescent="0.35">
      <c r="G575">
        <v>611016</v>
      </c>
    </row>
    <row r="576" spans="7:7" x14ac:dyDescent="0.35">
      <c r="G576">
        <v>611017</v>
      </c>
    </row>
    <row r="577" spans="7:7" x14ac:dyDescent="0.35">
      <c r="G577">
        <v>611018</v>
      </c>
    </row>
    <row r="578" spans="7:7" x14ac:dyDescent="0.35">
      <c r="G578">
        <v>611019</v>
      </c>
    </row>
    <row r="579" spans="7:7" x14ac:dyDescent="0.35">
      <c r="G579">
        <v>61102</v>
      </c>
    </row>
    <row r="580" spans="7:7" x14ac:dyDescent="0.35">
      <c r="G580">
        <v>611020</v>
      </c>
    </row>
    <row r="581" spans="7:7" x14ac:dyDescent="0.35">
      <c r="G581">
        <v>611021</v>
      </c>
    </row>
    <row r="582" spans="7:7" x14ac:dyDescent="0.35">
      <c r="G582">
        <v>611025</v>
      </c>
    </row>
    <row r="583" spans="7:7" x14ac:dyDescent="0.35">
      <c r="G583">
        <v>611026</v>
      </c>
    </row>
    <row r="584" spans="7:7" x14ac:dyDescent="0.35">
      <c r="G584">
        <v>611027</v>
      </c>
    </row>
    <row r="585" spans="7:7" x14ac:dyDescent="0.35">
      <c r="G585">
        <v>611028</v>
      </c>
    </row>
    <row r="586" spans="7:7" x14ac:dyDescent="0.35">
      <c r="G586">
        <v>61103</v>
      </c>
    </row>
    <row r="587" spans="7:7" x14ac:dyDescent="0.35">
      <c r="G587">
        <v>61104</v>
      </c>
    </row>
    <row r="588" spans="7:7" x14ac:dyDescent="0.35">
      <c r="G588">
        <v>61105</v>
      </c>
    </row>
    <row r="589" spans="7:7" x14ac:dyDescent="0.35">
      <c r="G589">
        <v>61109</v>
      </c>
    </row>
    <row r="590" spans="7:7" x14ac:dyDescent="0.35">
      <c r="G590">
        <v>611090</v>
      </c>
    </row>
    <row r="591" spans="7:7" x14ac:dyDescent="0.35">
      <c r="G591">
        <v>611091</v>
      </c>
    </row>
    <row r="592" spans="7:7" x14ac:dyDescent="0.35">
      <c r="G592">
        <v>611093</v>
      </c>
    </row>
    <row r="593" spans="7:7" x14ac:dyDescent="0.35">
      <c r="G593">
        <v>6111200</v>
      </c>
    </row>
    <row r="594" spans="7:7" x14ac:dyDescent="0.35">
      <c r="G594">
        <v>6111201</v>
      </c>
    </row>
    <row r="595" spans="7:7" x14ac:dyDescent="0.35">
      <c r="G595">
        <v>6111202</v>
      </c>
    </row>
    <row r="596" spans="7:7" x14ac:dyDescent="0.35">
      <c r="G596">
        <v>6112500</v>
      </c>
    </row>
    <row r="597" spans="7:7" x14ac:dyDescent="0.35">
      <c r="G597">
        <v>6112501</v>
      </c>
    </row>
    <row r="598" spans="7:7" x14ac:dyDescent="0.35">
      <c r="G598">
        <v>6112503</v>
      </c>
    </row>
    <row r="599" spans="7:7" x14ac:dyDescent="0.35">
      <c r="G599">
        <v>6112504</v>
      </c>
    </row>
    <row r="600" spans="7:7" x14ac:dyDescent="0.35">
      <c r="G600">
        <v>6112507</v>
      </c>
    </row>
    <row r="601" spans="7:7" x14ac:dyDescent="0.35">
      <c r="G601">
        <v>6112510</v>
      </c>
    </row>
    <row r="602" spans="7:7" x14ac:dyDescent="0.35">
      <c r="G602">
        <v>6112512</v>
      </c>
    </row>
    <row r="603" spans="7:7" x14ac:dyDescent="0.35">
      <c r="G603">
        <v>6112514</v>
      </c>
    </row>
    <row r="604" spans="7:7" x14ac:dyDescent="0.35">
      <c r="G604">
        <v>6112540</v>
      </c>
    </row>
    <row r="605" spans="7:7" x14ac:dyDescent="0.35">
      <c r="G605">
        <v>6112543</v>
      </c>
    </row>
    <row r="606" spans="7:7" x14ac:dyDescent="0.35">
      <c r="G606">
        <v>6112547</v>
      </c>
    </row>
    <row r="607" spans="7:7" x14ac:dyDescent="0.35">
      <c r="G607">
        <v>6113601</v>
      </c>
    </row>
    <row r="608" spans="7:7" x14ac:dyDescent="0.35">
      <c r="G608">
        <v>6114603</v>
      </c>
    </row>
    <row r="609" spans="7:7" x14ac:dyDescent="0.35">
      <c r="G609">
        <v>6117700</v>
      </c>
    </row>
    <row r="610" spans="7:7" x14ac:dyDescent="0.35">
      <c r="G610">
        <v>6117701</v>
      </c>
    </row>
    <row r="611" spans="7:7" x14ac:dyDescent="0.35">
      <c r="G611">
        <v>6117702</v>
      </c>
    </row>
    <row r="612" spans="7:7" x14ac:dyDescent="0.35">
      <c r="G612">
        <v>61200</v>
      </c>
    </row>
    <row r="613" spans="7:7" x14ac:dyDescent="0.35">
      <c r="G613">
        <v>61201</v>
      </c>
    </row>
    <row r="614" spans="7:7" x14ac:dyDescent="0.35">
      <c r="G614">
        <v>6120100</v>
      </c>
    </row>
    <row r="615" spans="7:7" x14ac:dyDescent="0.35">
      <c r="G615">
        <v>6120101</v>
      </c>
    </row>
    <row r="616" spans="7:7" x14ac:dyDescent="0.35">
      <c r="G616">
        <v>6120141</v>
      </c>
    </row>
    <row r="617" spans="7:7" x14ac:dyDescent="0.35">
      <c r="G617">
        <v>6120142</v>
      </c>
    </row>
    <row r="618" spans="7:7" x14ac:dyDescent="0.35">
      <c r="G618">
        <v>6120143</v>
      </c>
    </row>
    <row r="619" spans="7:7" x14ac:dyDescent="0.35">
      <c r="G619">
        <v>61202</v>
      </c>
    </row>
    <row r="620" spans="7:7" x14ac:dyDescent="0.35">
      <c r="G620">
        <v>612023</v>
      </c>
    </row>
    <row r="621" spans="7:7" x14ac:dyDescent="0.35">
      <c r="G621">
        <v>612024</v>
      </c>
    </row>
    <row r="622" spans="7:7" x14ac:dyDescent="0.35">
      <c r="G622">
        <v>612025</v>
      </c>
    </row>
    <row r="623" spans="7:7" x14ac:dyDescent="0.35">
      <c r="G623">
        <v>61203</v>
      </c>
    </row>
    <row r="624" spans="7:7" x14ac:dyDescent="0.35">
      <c r="G624">
        <v>612030</v>
      </c>
    </row>
    <row r="625" spans="7:7" x14ac:dyDescent="0.35">
      <c r="G625">
        <v>612031</v>
      </c>
    </row>
    <row r="626" spans="7:7" x14ac:dyDescent="0.35">
      <c r="G626">
        <v>612032</v>
      </c>
    </row>
    <row r="627" spans="7:7" x14ac:dyDescent="0.35">
      <c r="G627">
        <v>6121216</v>
      </c>
    </row>
    <row r="628" spans="7:7" x14ac:dyDescent="0.35">
      <c r="G628">
        <v>6121217</v>
      </c>
    </row>
    <row r="629" spans="7:7" x14ac:dyDescent="0.35">
      <c r="G629">
        <v>6122512</v>
      </c>
    </row>
    <row r="630" spans="7:7" x14ac:dyDescent="0.35">
      <c r="G630">
        <v>6122513</v>
      </c>
    </row>
    <row r="631" spans="7:7" x14ac:dyDescent="0.35">
      <c r="G631">
        <v>6122560</v>
      </c>
    </row>
    <row r="632" spans="7:7" x14ac:dyDescent="0.35">
      <c r="G632">
        <v>6122563</v>
      </c>
    </row>
    <row r="633" spans="7:7" x14ac:dyDescent="0.35">
      <c r="G633">
        <v>6124570</v>
      </c>
    </row>
    <row r="634" spans="7:7" x14ac:dyDescent="0.35">
      <c r="G634">
        <v>6125572</v>
      </c>
    </row>
    <row r="635" spans="7:7" x14ac:dyDescent="0.35">
      <c r="G635">
        <v>6127600</v>
      </c>
    </row>
    <row r="636" spans="7:7" x14ac:dyDescent="0.35">
      <c r="G636">
        <v>6127601</v>
      </c>
    </row>
    <row r="637" spans="7:7" x14ac:dyDescent="0.35">
      <c r="G637">
        <v>613010</v>
      </c>
    </row>
    <row r="638" spans="7:7" x14ac:dyDescent="0.35">
      <c r="G638">
        <v>613011</v>
      </c>
    </row>
    <row r="639" spans="7:7" x14ac:dyDescent="0.35">
      <c r="G639">
        <v>613015</v>
      </c>
    </row>
    <row r="640" spans="7:7" x14ac:dyDescent="0.35">
      <c r="G640">
        <v>613016</v>
      </c>
    </row>
    <row r="641" spans="7:7" x14ac:dyDescent="0.35">
      <c r="G641">
        <v>613017</v>
      </c>
    </row>
    <row r="642" spans="7:7" x14ac:dyDescent="0.35">
      <c r="G642">
        <v>613021</v>
      </c>
    </row>
    <row r="643" spans="7:7" x14ac:dyDescent="0.35">
      <c r="G643">
        <v>613022</v>
      </c>
    </row>
    <row r="644" spans="7:7" x14ac:dyDescent="0.35">
      <c r="G644">
        <v>613023</v>
      </c>
    </row>
    <row r="645" spans="7:7" x14ac:dyDescent="0.35">
      <c r="G645">
        <v>613027</v>
      </c>
    </row>
    <row r="646" spans="7:7" x14ac:dyDescent="0.35">
      <c r="G646">
        <v>613028</v>
      </c>
    </row>
    <row r="647" spans="7:7" x14ac:dyDescent="0.35">
      <c r="G647">
        <v>613029</v>
      </c>
    </row>
    <row r="648" spans="7:7" x14ac:dyDescent="0.35">
      <c r="G648">
        <v>61303</v>
      </c>
    </row>
    <row r="649" spans="7:7" x14ac:dyDescent="0.35">
      <c r="G649">
        <v>613033</v>
      </c>
    </row>
    <row r="650" spans="7:7" x14ac:dyDescent="0.35">
      <c r="G650">
        <v>613034</v>
      </c>
    </row>
    <row r="651" spans="7:7" x14ac:dyDescent="0.35">
      <c r="G651">
        <v>613035</v>
      </c>
    </row>
    <row r="652" spans="7:7" x14ac:dyDescent="0.35">
      <c r="G652">
        <v>613039</v>
      </c>
    </row>
    <row r="653" spans="7:7" x14ac:dyDescent="0.35">
      <c r="G653">
        <v>61304</v>
      </c>
    </row>
    <row r="654" spans="7:7" x14ac:dyDescent="0.35">
      <c r="G654">
        <v>613040</v>
      </c>
    </row>
    <row r="655" spans="7:7" x14ac:dyDescent="0.35">
      <c r="G655">
        <v>613041</v>
      </c>
    </row>
    <row r="656" spans="7:7" x14ac:dyDescent="0.35">
      <c r="G656">
        <v>61305</v>
      </c>
    </row>
    <row r="657" spans="7:7" x14ac:dyDescent="0.35">
      <c r="G657">
        <v>613050</v>
      </c>
    </row>
    <row r="658" spans="7:7" x14ac:dyDescent="0.35">
      <c r="G658">
        <v>613051</v>
      </c>
    </row>
    <row r="659" spans="7:7" x14ac:dyDescent="0.35">
      <c r="G659">
        <v>613061</v>
      </c>
    </row>
    <row r="660" spans="7:7" x14ac:dyDescent="0.35">
      <c r="G660">
        <v>613063</v>
      </c>
    </row>
    <row r="661" spans="7:7" x14ac:dyDescent="0.35">
      <c r="G661">
        <v>613065</v>
      </c>
    </row>
    <row r="662" spans="7:7" x14ac:dyDescent="0.35">
      <c r="G662">
        <v>613067</v>
      </c>
    </row>
    <row r="663" spans="7:7" x14ac:dyDescent="0.35">
      <c r="G663">
        <v>613069</v>
      </c>
    </row>
    <row r="664" spans="7:7" x14ac:dyDescent="0.35">
      <c r="G664">
        <v>613071</v>
      </c>
    </row>
    <row r="665" spans="7:7" x14ac:dyDescent="0.35">
      <c r="G665">
        <v>613073</v>
      </c>
    </row>
    <row r="666" spans="7:7" x14ac:dyDescent="0.35">
      <c r="G666">
        <v>61309</v>
      </c>
    </row>
    <row r="667" spans="7:7" x14ac:dyDescent="0.35">
      <c r="G667">
        <v>61310</v>
      </c>
    </row>
    <row r="668" spans="7:7" x14ac:dyDescent="0.35">
      <c r="G668">
        <v>613114</v>
      </c>
    </row>
    <row r="669" spans="7:7" x14ac:dyDescent="0.35">
      <c r="G669">
        <v>613115</v>
      </c>
    </row>
    <row r="670" spans="7:7" x14ac:dyDescent="0.35">
      <c r="G670">
        <v>6131200</v>
      </c>
    </row>
    <row r="671" spans="7:7" x14ac:dyDescent="0.35">
      <c r="G671">
        <v>6131201</v>
      </c>
    </row>
    <row r="672" spans="7:7" x14ac:dyDescent="0.35">
      <c r="G672">
        <v>6131202</v>
      </c>
    </row>
    <row r="673" spans="7:7" x14ac:dyDescent="0.35">
      <c r="G673">
        <v>6131203</v>
      </c>
    </row>
    <row r="674" spans="7:7" x14ac:dyDescent="0.35">
      <c r="G674">
        <v>6131204</v>
      </c>
    </row>
    <row r="675" spans="7:7" x14ac:dyDescent="0.35">
      <c r="G675">
        <v>6131205</v>
      </c>
    </row>
    <row r="676" spans="7:7" x14ac:dyDescent="0.35">
      <c r="G676">
        <v>6131206</v>
      </c>
    </row>
    <row r="677" spans="7:7" x14ac:dyDescent="0.35">
      <c r="G677">
        <v>6131207</v>
      </c>
    </row>
    <row r="678" spans="7:7" x14ac:dyDescent="0.35">
      <c r="G678">
        <v>6131208</v>
      </c>
    </row>
    <row r="679" spans="7:7" x14ac:dyDescent="0.35">
      <c r="G679">
        <v>6131209</v>
      </c>
    </row>
    <row r="680" spans="7:7" x14ac:dyDescent="0.35">
      <c r="G680">
        <v>6131210</v>
      </c>
    </row>
    <row r="681" spans="7:7" x14ac:dyDescent="0.35">
      <c r="G681">
        <v>6131211</v>
      </c>
    </row>
    <row r="682" spans="7:7" x14ac:dyDescent="0.35">
      <c r="G682">
        <v>61321</v>
      </c>
    </row>
    <row r="683" spans="7:7" x14ac:dyDescent="0.35">
      <c r="G683">
        <v>613210</v>
      </c>
    </row>
    <row r="684" spans="7:7" x14ac:dyDescent="0.35">
      <c r="G684">
        <v>613211</v>
      </c>
    </row>
    <row r="685" spans="7:7" x14ac:dyDescent="0.35">
      <c r="G685">
        <v>613212</v>
      </c>
    </row>
    <row r="686" spans="7:7" x14ac:dyDescent="0.35">
      <c r="G686">
        <v>613213</v>
      </c>
    </row>
    <row r="687" spans="7:7" x14ac:dyDescent="0.35">
      <c r="G687">
        <v>613214</v>
      </c>
    </row>
    <row r="688" spans="7:7" x14ac:dyDescent="0.35">
      <c r="G688">
        <v>61322</v>
      </c>
    </row>
    <row r="689" spans="7:7" x14ac:dyDescent="0.35">
      <c r="G689">
        <v>613220</v>
      </c>
    </row>
    <row r="690" spans="7:7" x14ac:dyDescent="0.35">
      <c r="G690">
        <v>61323</v>
      </c>
    </row>
    <row r="691" spans="7:7" x14ac:dyDescent="0.35">
      <c r="G691">
        <v>61324</v>
      </c>
    </row>
    <row r="692" spans="7:7" x14ac:dyDescent="0.35">
      <c r="G692">
        <v>61325</v>
      </c>
    </row>
    <row r="693" spans="7:7" x14ac:dyDescent="0.35">
      <c r="G693">
        <v>61326</v>
      </c>
    </row>
    <row r="694" spans="7:7" x14ac:dyDescent="0.35">
      <c r="G694">
        <v>61327</v>
      </c>
    </row>
    <row r="695" spans="7:7" x14ac:dyDescent="0.35">
      <c r="G695">
        <v>61328</v>
      </c>
    </row>
    <row r="696" spans="7:7" x14ac:dyDescent="0.35">
      <c r="G696">
        <v>61329</v>
      </c>
    </row>
    <row r="697" spans="7:7" x14ac:dyDescent="0.35">
      <c r="G697">
        <v>613370</v>
      </c>
    </row>
    <row r="698" spans="7:7" x14ac:dyDescent="0.35">
      <c r="G698">
        <v>613471</v>
      </c>
    </row>
    <row r="699" spans="7:7" x14ac:dyDescent="0.35">
      <c r="G699">
        <v>6137200</v>
      </c>
    </row>
    <row r="700" spans="7:7" x14ac:dyDescent="0.35">
      <c r="G700">
        <v>6137201</v>
      </c>
    </row>
    <row r="701" spans="7:7" x14ac:dyDescent="0.35">
      <c r="G701">
        <v>6137202</v>
      </c>
    </row>
    <row r="702" spans="7:7" x14ac:dyDescent="0.35">
      <c r="G702">
        <v>6137203</v>
      </c>
    </row>
    <row r="703" spans="7:7" x14ac:dyDescent="0.35">
      <c r="G703">
        <v>6137204</v>
      </c>
    </row>
    <row r="704" spans="7:7" x14ac:dyDescent="0.35">
      <c r="G704">
        <v>6137205</v>
      </c>
    </row>
    <row r="705" spans="7:7" x14ac:dyDescent="0.35">
      <c r="G705">
        <v>6137206</v>
      </c>
    </row>
    <row r="706" spans="7:7" x14ac:dyDescent="0.35">
      <c r="G706">
        <v>6137207</v>
      </c>
    </row>
    <row r="707" spans="7:7" x14ac:dyDescent="0.35">
      <c r="G707">
        <v>6137208</v>
      </c>
    </row>
    <row r="708" spans="7:7" x14ac:dyDescent="0.35">
      <c r="G708">
        <v>6137209</v>
      </c>
    </row>
    <row r="709" spans="7:7" x14ac:dyDescent="0.35">
      <c r="G709">
        <v>6137210</v>
      </c>
    </row>
    <row r="710" spans="7:7" x14ac:dyDescent="0.35">
      <c r="G710">
        <v>613780</v>
      </c>
    </row>
    <row r="711" spans="7:7" x14ac:dyDescent="0.35">
      <c r="G711">
        <v>613795</v>
      </c>
    </row>
    <row r="712" spans="7:7" x14ac:dyDescent="0.35">
      <c r="G712">
        <v>61400</v>
      </c>
    </row>
    <row r="713" spans="7:7" x14ac:dyDescent="0.35">
      <c r="G713">
        <v>61401</v>
      </c>
    </row>
    <row r="714" spans="7:7" x14ac:dyDescent="0.35">
      <c r="G714">
        <v>614010</v>
      </c>
    </row>
    <row r="715" spans="7:7" x14ac:dyDescent="0.35">
      <c r="G715">
        <v>6140100</v>
      </c>
    </row>
    <row r="716" spans="7:7" x14ac:dyDescent="0.35">
      <c r="G716">
        <v>6140101</v>
      </c>
    </row>
    <row r="717" spans="7:7" x14ac:dyDescent="0.35">
      <c r="G717">
        <v>6140102</v>
      </c>
    </row>
    <row r="718" spans="7:7" x14ac:dyDescent="0.35">
      <c r="G718">
        <v>6140103</v>
      </c>
    </row>
    <row r="719" spans="7:7" x14ac:dyDescent="0.35">
      <c r="G719">
        <v>6140104</v>
      </c>
    </row>
    <row r="720" spans="7:7" x14ac:dyDescent="0.35">
      <c r="G720">
        <v>6140105</v>
      </c>
    </row>
    <row r="721" spans="7:7" x14ac:dyDescent="0.35">
      <c r="G721">
        <v>6140106</v>
      </c>
    </row>
    <row r="722" spans="7:7" x14ac:dyDescent="0.35">
      <c r="G722">
        <v>6140107</v>
      </c>
    </row>
    <row r="723" spans="7:7" x14ac:dyDescent="0.35">
      <c r="G723">
        <v>6140108</v>
      </c>
    </row>
    <row r="724" spans="7:7" x14ac:dyDescent="0.35">
      <c r="G724">
        <v>614011</v>
      </c>
    </row>
    <row r="725" spans="7:7" x14ac:dyDescent="0.35">
      <c r="G725">
        <v>614012</v>
      </c>
    </row>
    <row r="726" spans="7:7" x14ac:dyDescent="0.35">
      <c r="G726">
        <v>614013</v>
      </c>
    </row>
    <row r="727" spans="7:7" x14ac:dyDescent="0.35">
      <c r="G727">
        <v>614014</v>
      </c>
    </row>
    <row r="728" spans="7:7" x14ac:dyDescent="0.35">
      <c r="G728">
        <v>614015</v>
      </c>
    </row>
    <row r="729" spans="7:7" x14ac:dyDescent="0.35">
      <c r="G729">
        <v>6140150</v>
      </c>
    </row>
    <row r="730" spans="7:7" x14ac:dyDescent="0.35">
      <c r="G730">
        <v>6140151</v>
      </c>
    </row>
    <row r="731" spans="7:7" x14ac:dyDescent="0.35">
      <c r="G731">
        <v>6140153</v>
      </c>
    </row>
    <row r="732" spans="7:7" x14ac:dyDescent="0.35">
      <c r="G732">
        <v>614016</v>
      </c>
    </row>
    <row r="733" spans="7:7" x14ac:dyDescent="0.35">
      <c r="G733">
        <v>6140160</v>
      </c>
    </row>
    <row r="734" spans="7:7" x14ac:dyDescent="0.35">
      <c r="G734">
        <v>6140161</v>
      </c>
    </row>
    <row r="735" spans="7:7" x14ac:dyDescent="0.35">
      <c r="G735">
        <v>6140162</v>
      </c>
    </row>
    <row r="736" spans="7:7" x14ac:dyDescent="0.35">
      <c r="G736">
        <v>614017</v>
      </c>
    </row>
    <row r="737" spans="7:7" x14ac:dyDescent="0.35">
      <c r="G737">
        <v>61402</v>
      </c>
    </row>
    <row r="738" spans="7:7" x14ac:dyDescent="0.35">
      <c r="G738">
        <v>6140200</v>
      </c>
    </row>
    <row r="739" spans="7:7" x14ac:dyDescent="0.35">
      <c r="G739">
        <v>6140201</v>
      </c>
    </row>
    <row r="740" spans="7:7" x14ac:dyDescent="0.35">
      <c r="G740">
        <v>6140202</v>
      </c>
    </row>
    <row r="741" spans="7:7" x14ac:dyDescent="0.35">
      <c r="G741">
        <v>6140203</v>
      </c>
    </row>
    <row r="742" spans="7:7" x14ac:dyDescent="0.35">
      <c r="G742">
        <v>6140204</v>
      </c>
    </row>
    <row r="743" spans="7:7" x14ac:dyDescent="0.35">
      <c r="G743">
        <v>6140205</v>
      </c>
    </row>
    <row r="744" spans="7:7" x14ac:dyDescent="0.35">
      <c r="G744">
        <v>6140250</v>
      </c>
    </row>
    <row r="745" spans="7:7" x14ac:dyDescent="0.35">
      <c r="G745">
        <v>6140251</v>
      </c>
    </row>
    <row r="746" spans="7:7" x14ac:dyDescent="0.35">
      <c r="G746">
        <v>6140253</v>
      </c>
    </row>
    <row r="747" spans="7:7" x14ac:dyDescent="0.35">
      <c r="G747">
        <v>6140260</v>
      </c>
    </row>
    <row r="748" spans="7:7" x14ac:dyDescent="0.35">
      <c r="G748">
        <v>6140261</v>
      </c>
    </row>
    <row r="749" spans="7:7" x14ac:dyDescent="0.35">
      <c r="G749">
        <v>61403</v>
      </c>
    </row>
    <row r="750" spans="7:7" x14ac:dyDescent="0.35">
      <c r="G750">
        <v>61404</v>
      </c>
    </row>
    <row r="751" spans="7:7" x14ac:dyDescent="0.35">
      <c r="G751">
        <v>61405</v>
      </c>
    </row>
    <row r="752" spans="7:7" x14ac:dyDescent="0.35">
      <c r="G752">
        <v>614050</v>
      </c>
    </row>
    <row r="753" spans="7:7" x14ac:dyDescent="0.35">
      <c r="G753">
        <v>614051</v>
      </c>
    </row>
    <row r="754" spans="7:7" x14ac:dyDescent="0.35">
      <c r="G754">
        <v>614053</v>
      </c>
    </row>
    <row r="755" spans="7:7" x14ac:dyDescent="0.35">
      <c r="G755">
        <v>61406</v>
      </c>
    </row>
    <row r="756" spans="7:7" x14ac:dyDescent="0.35">
      <c r="G756">
        <v>614060</v>
      </c>
    </row>
    <row r="757" spans="7:7" x14ac:dyDescent="0.35">
      <c r="G757">
        <v>614061</v>
      </c>
    </row>
    <row r="758" spans="7:7" x14ac:dyDescent="0.35">
      <c r="G758">
        <v>614062</v>
      </c>
    </row>
    <row r="759" spans="7:7" x14ac:dyDescent="0.35">
      <c r="G759">
        <v>614063</v>
      </c>
    </row>
    <row r="760" spans="7:7" x14ac:dyDescent="0.35">
      <c r="G760">
        <v>614064</v>
      </c>
    </row>
    <row r="761" spans="7:7" x14ac:dyDescent="0.35">
      <c r="G761">
        <v>614065</v>
      </c>
    </row>
    <row r="762" spans="7:7" x14ac:dyDescent="0.35">
      <c r="G762">
        <v>61407</v>
      </c>
    </row>
    <row r="763" spans="7:7" x14ac:dyDescent="0.35">
      <c r="G763">
        <v>61408</v>
      </c>
    </row>
    <row r="764" spans="7:7" x14ac:dyDescent="0.35">
      <c r="G764">
        <v>61409</v>
      </c>
    </row>
    <row r="765" spans="7:7" x14ac:dyDescent="0.35">
      <c r="G765">
        <v>6141200</v>
      </c>
    </row>
    <row r="766" spans="7:7" x14ac:dyDescent="0.35">
      <c r="G766">
        <v>6141450</v>
      </c>
    </row>
    <row r="767" spans="7:7" x14ac:dyDescent="0.35">
      <c r="G767">
        <v>6141461</v>
      </c>
    </row>
    <row r="768" spans="7:7" x14ac:dyDescent="0.35">
      <c r="G768">
        <v>6141471</v>
      </c>
    </row>
    <row r="769" spans="7:7" x14ac:dyDescent="0.35">
      <c r="G769">
        <v>6141472</v>
      </c>
    </row>
    <row r="770" spans="7:7" x14ac:dyDescent="0.35">
      <c r="G770">
        <v>6142204</v>
      </c>
    </row>
    <row r="771" spans="7:7" x14ac:dyDescent="0.35">
      <c r="G771">
        <v>6142600</v>
      </c>
    </row>
    <row r="772" spans="7:7" x14ac:dyDescent="0.35">
      <c r="G772">
        <v>6142612</v>
      </c>
    </row>
    <row r="773" spans="7:7" x14ac:dyDescent="0.35">
      <c r="G773">
        <v>6142614</v>
      </c>
    </row>
    <row r="774" spans="7:7" x14ac:dyDescent="0.35">
      <c r="G774">
        <v>6142616</v>
      </c>
    </row>
    <row r="775" spans="7:7" x14ac:dyDescent="0.35">
      <c r="G775">
        <v>6142800</v>
      </c>
    </row>
    <row r="776" spans="7:7" x14ac:dyDescent="0.35">
      <c r="G776">
        <v>6142812</v>
      </c>
    </row>
    <row r="777" spans="7:7" x14ac:dyDescent="0.35">
      <c r="G777">
        <v>6142814</v>
      </c>
    </row>
    <row r="778" spans="7:7" x14ac:dyDescent="0.35">
      <c r="G778">
        <v>6142816</v>
      </c>
    </row>
    <row r="779" spans="7:7" x14ac:dyDescent="0.35">
      <c r="G779">
        <v>6142900</v>
      </c>
    </row>
    <row r="780" spans="7:7" x14ac:dyDescent="0.35">
      <c r="G780">
        <v>6142912</v>
      </c>
    </row>
    <row r="781" spans="7:7" x14ac:dyDescent="0.35">
      <c r="G781">
        <v>6142924</v>
      </c>
    </row>
    <row r="782" spans="7:7" x14ac:dyDescent="0.35">
      <c r="G782">
        <v>6142925</v>
      </c>
    </row>
    <row r="783" spans="7:7" x14ac:dyDescent="0.35">
      <c r="G783">
        <v>6143840</v>
      </c>
    </row>
    <row r="784" spans="7:7" x14ac:dyDescent="0.35">
      <c r="G784">
        <v>6143841</v>
      </c>
    </row>
    <row r="785" spans="7:7" x14ac:dyDescent="0.35">
      <c r="G785">
        <v>6143842</v>
      </c>
    </row>
    <row r="786" spans="7:7" x14ac:dyDescent="0.35">
      <c r="G786">
        <v>6143843</v>
      </c>
    </row>
    <row r="787" spans="7:7" x14ac:dyDescent="0.35">
      <c r="G787">
        <v>6144844</v>
      </c>
    </row>
    <row r="788" spans="7:7" x14ac:dyDescent="0.35">
      <c r="G788">
        <v>6144845</v>
      </c>
    </row>
    <row r="789" spans="7:7" x14ac:dyDescent="0.35">
      <c r="G789">
        <v>6144846</v>
      </c>
    </row>
    <row r="790" spans="7:7" x14ac:dyDescent="0.35">
      <c r="G790">
        <v>6144847</v>
      </c>
    </row>
    <row r="791" spans="7:7" x14ac:dyDescent="0.35">
      <c r="G791">
        <v>6147848</v>
      </c>
    </row>
    <row r="792" spans="7:7" x14ac:dyDescent="0.35">
      <c r="G792">
        <v>6147849</v>
      </c>
    </row>
    <row r="793" spans="7:7" x14ac:dyDescent="0.35">
      <c r="G793">
        <v>6147850</v>
      </c>
    </row>
    <row r="794" spans="7:7" x14ac:dyDescent="0.35">
      <c r="G794">
        <v>6147851</v>
      </c>
    </row>
    <row r="795" spans="7:7" x14ac:dyDescent="0.35">
      <c r="G795">
        <v>61500</v>
      </c>
    </row>
    <row r="796" spans="7:7" x14ac:dyDescent="0.35">
      <c r="G796">
        <v>61501</v>
      </c>
    </row>
    <row r="797" spans="7:7" x14ac:dyDescent="0.35">
      <c r="G797">
        <v>6150100</v>
      </c>
    </row>
    <row r="798" spans="7:7" x14ac:dyDescent="0.35">
      <c r="G798">
        <v>6150101</v>
      </c>
    </row>
    <row r="799" spans="7:7" x14ac:dyDescent="0.35">
      <c r="G799">
        <v>6150103</v>
      </c>
    </row>
    <row r="800" spans="7:7" x14ac:dyDescent="0.35">
      <c r="G800">
        <v>6150120</v>
      </c>
    </row>
    <row r="801" spans="7:7" x14ac:dyDescent="0.35">
      <c r="G801">
        <v>6150121</v>
      </c>
    </row>
    <row r="802" spans="7:7" x14ac:dyDescent="0.35">
      <c r="G802">
        <v>6150126</v>
      </c>
    </row>
    <row r="803" spans="7:7" x14ac:dyDescent="0.35">
      <c r="G803">
        <v>6150127</v>
      </c>
    </row>
    <row r="804" spans="7:7" x14ac:dyDescent="0.35">
      <c r="G804">
        <v>6150128</v>
      </c>
    </row>
    <row r="805" spans="7:7" x14ac:dyDescent="0.35">
      <c r="G805">
        <v>6150129</v>
      </c>
    </row>
    <row r="806" spans="7:7" x14ac:dyDescent="0.35">
      <c r="G806">
        <v>6150131</v>
      </c>
    </row>
    <row r="807" spans="7:7" x14ac:dyDescent="0.35">
      <c r="G807">
        <v>6150132</v>
      </c>
    </row>
    <row r="808" spans="7:7" x14ac:dyDescent="0.35">
      <c r="G808">
        <v>6150133</v>
      </c>
    </row>
    <row r="809" spans="7:7" x14ac:dyDescent="0.35">
      <c r="G809">
        <v>6150134</v>
      </c>
    </row>
    <row r="810" spans="7:7" x14ac:dyDescent="0.35">
      <c r="G810">
        <v>6150135</v>
      </c>
    </row>
    <row r="811" spans="7:7" x14ac:dyDescent="0.35">
      <c r="G811">
        <v>6150136</v>
      </c>
    </row>
    <row r="812" spans="7:7" x14ac:dyDescent="0.35">
      <c r="G812">
        <v>6150140</v>
      </c>
    </row>
    <row r="813" spans="7:7" x14ac:dyDescent="0.35">
      <c r="G813">
        <v>6150141</v>
      </c>
    </row>
    <row r="814" spans="7:7" x14ac:dyDescent="0.35">
      <c r="G814">
        <v>6150142</v>
      </c>
    </row>
    <row r="815" spans="7:7" x14ac:dyDescent="0.35">
      <c r="G815">
        <v>615018</v>
      </c>
    </row>
    <row r="816" spans="7:7" x14ac:dyDescent="0.35">
      <c r="G816">
        <v>615019</v>
      </c>
    </row>
    <row r="817" spans="7:7" x14ac:dyDescent="0.35">
      <c r="G817">
        <v>61502</v>
      </c>
    </row>
    <row r="818" spans="7:7" x14ac:dyDescent="0.35">
      <c r="G818">
        <v>615020</v>
      </c>
    </row>
    <row r="819" spans="7:7" x14ac:dyDescent="0.35">
      <c r="G819">
        <v>6150203</v>
      </c>
    </row>
    <row r="820" spans="7:7" x14ac:dyDescent="0.35">
      <c r="G820">
        <v>615021</v>
      </c>
    </row>
    <row r="821" spans="7:7" x14ac:dyDescent="0.35">
      <c r="G821">
        <v>615022</v>
      </c>
    </row>
    <row r="822" spans="7:7" x14ac:dyDescent="0.35">
      <c r="G822">
        <v>615023</v>
      </c>
    </row>
    <row r="823" spans="7:7" x14ac:dyDescent="0.35">
      <c r="G823">
        <v>615024</v>
      </c>
    </row>
    <row r="824" spans="7:7" x14ac:dyDescent="0.35">
      <c r="G824">
        <v>615025</v>
      </c>
    </row>
    <row r="825" spans="7:7" x14ac:dyDescent="0.35">
      <c r="G825">
        <v>615026</v>
      </c>
    </row>
    <row r="826" spans="7:7" x14ac:dyDescent="0.35">
      <c r="G826">
        <v>615027</v>
      </c>
    </row>
    <row r="827" spans="7:7" x14ac:dyDescent="0.35">
      <c r="G827">
        <v>615028</v>
      </c>
    </row>
    <row r="828" spans="7:7" x14ac:dyDescent="0.35">
      <c r="G828">
        <v>615029</v>
      </c>
    </row>
    <row r="829" spans="7:7" x14ac:dyDescent="0.35">
      <c r="G829">
        <v>61503</v>
      </c>
    </row>
    <row r="830" spans="7:7" x14ac:dyDescent="0.35">
      <c r="G830">
        <v>615033</v>
      </c>
    </row>
    <row r="831" spans="7:7" x14ac:dyDescent="0.35">
      <c r="G831">
        <v>615034</v>
      </c>
    </row>
    <row r="832" spans="7:7" x14ac:dyDescent="0.35">
      <c r="G832">
        <v>615035</v>
      </c>
    </row>
    <row r="833" spans="7:7" x14ac:dyDescent="0.35">
      <c r="G833">
        <v>615036</v>
      </c>
    </row>
    <row r="834" spans="7:7" x14ac:dyDescent="0.35">
      <c r="G834">
        <v>615037</v>
      </c>
    </row>
    <row r="835" spans="7:7" x14ac:dyDescent="0.35">
      <c r="G835">
        <v>615038</v>
      </c>
    </row>
    <row r="836" spans="7:7" x14ac:dyDescent="0.35">
      <c r="G836">
        <v>615039</v>
      </c>
    </row>
    <row r="837" spans="7:7" x14ac:dyDescent="0.35">
      <c r="G837">
        <v>61504</v>
      </c>
    </row>
    <row r="838" spans="7:7" x14ac:dyDescent="0.35">
      <c r="G838">
        <v>615040</v>
      </c>
    </row>
    <row r="839" spans="7:7" x14ac:dyDescent="0.35">
      <c r="G839">
        <v>615041</v>
      </c>
    </row>
    <row r="840" spans="7:7" x14ac:dyDescent="0.35">
      <c r="G840">
        <v>615042</v>
      </c>
    </row>
    <row r="841" spans="7:7" x14ac:dyDescent="0.35">
      <c r="G841">
        <v>615043</v>
      </c>
    </row>
    <row r="842" spans="7:7" x14ac:dyDescent="0.35">
      <c r="G842">
        <v>615044</v>
      </c>
    </row>
    <row r="843" spans="7:7" x14ac:dyDescent="0.35">
      <c r="G843">
        <v>615045</v>
      </c>
    </row>
    <row r="844" spans="7:7" x14ac:dyDescent="0.35">
      <c r="G844">
        <v>615046</v>
      </c>
    </row>
    <row r="845" spans="7:7" x14ac:dyDescent="0.35">
      <c r="G845">
        <v>615047</v>
      </c>
    </row>
    <row r="846" spans="7:7" x14ac:dyDescent="0.35">
      <c r="G846">
        <v>615048</v>
      </c>
    </row>
    <row r="847" spans="7:7" x14ac:dyDescent="0.35">
      <c r="G847">
        <v>615049</v>
      </c>
    </row>
    <row r="848" spans="7:7" x14ac:dyDescent="0.35">
      <c r="G848">
        <v>61505</v>
      </c>
    </row>
    <row r="849" spans="7:7" x14ac:dyDescent="0.35">
      <c r="G849">
        <v>615050</v>
      </c>
    </row>
    <row r="850" spans="7:7" x14ac:dyDescent="0.35">
      <c r="G850">
        <v>615060</v>
      </c>
    </row>
    <row r="851" spans="7:7" x14ac:dyDescent="0.35">
      <c r="G851">
        <v>615061</v>
      </c>
    </row>
    <row r="852" spans="7:7" x14ac:dyDescent="0.35">
      <c r="G852">
        <v>615062</v>
      </c>
    </row>
    <row r="853" spans="7:7" x14ac:dyDescent="0.35">
      <c r="G853">
        <v>615063</v>
      </c>
    </row>
    <row r="854" spans="7:7" x14ac:dyDescent="0.35">
      <c r="G854">
        <v>615064</v>
      </c>
    </row>
    <row r="855" spans="7:7" x14ac:dyDescent="0.35">
      <c r="G855">
        <v>615065</v>
      </c>
    </row>
    <row r="856" spans="7:7" x14ac:dyDescent="0.35">
      <c r="G856">
        <v>615066</v>
      </c>
    </row>
    <row r="857" spans="7:7" x14ac:dyDescent="0.35">
      <c r="G857">
        <v>615067</v>
      </c>
    </row>
    <row r="858" spans="7:7" x14ac:dyDescent="0.35">
      <c r="G858">
        <v>615068</v>
      </c>
    </row>
    <row r="859" spans="7:7" x14ac:dyDescent="0.35">
      <c r="G859">
        <v>6152500</v>
      </c>
    </row>
    <row r="860" spans="7:7" x14ac:dyDescent="0.35">
      <c r="G860">
        <v>6152503</v>
      </c>
    </row>
    <row r="861" spans="7:7" x14ac:dyDescent="0.35">
      <c r="G861">
        <v>6152504</v>
      </c>
    </row>
    <row r="862" spans="7:7" x14ac:dyDescent="0.35">
      <c r="G862">
        <v>6152505</v>
      </c>
    </row>
    <row r="863" spans="7:7" x14ac:dyDescent="0.35">
      <c r="G863">
        <v>6152507</v>
      </c>
    </row>
    <row r="864" spans="7:7" x14ac:dyDescent="0.35">
      <c r="G864">
        <v>6152509</v>
      </c>
    </row>
    <row r="865" spans="7:7" x14ac:dyDescent="0.35">
      <c r="G865">
        <v>6152554</v>
      </c>
    </row>
    <row r="866" spans="7:7" x14ac:dyDescent="0.35">
      <c r="G866">
        <v>6152570</v>
      </c>
    </row>
    <row r="867" spans="7:7" x14ac:dyDescent="0.35">
      <c r="G867">
        <v>6152580</v>
      </c>
    </row>
    <row r="868" spans="7:7" x14ac:dyDescent="0.35">
      <c r="G868">
        <v>6152586</v>
      </c>
    </row>
    <row r="869" spans="7:7" x14ac:dyDescent="0.35">
      <c r="G869">
        <v>6152587</v>
      </c>
    </row>
    <row r="870" spans="7:7" x14ac:dyDescent="0.35">
      <c r="G870">
        <v>6152591</v>
      </c>
    </row>
    <row r="871" spans="7:7" x14ac:dyDescent="0.35">
      <c r="G871">
        <v>6152600</v>
      </c>
    </row>
    <row r="872" spans="7:7" x14ac:dyDescent="0.35">
      <c r="G872">
        <v>6152603</v>
      </c>
    </row>
    <row r="873" spans="7:7" x14ac:dyDescent="0.35">
      <c r="G873">
        <v>6152604</v>
      </c>
    </row>
    <row r="874" spans="7:7" x14ac:dyDescent="0.35">
      <c r="G874">
        <v>6152606</v>
      </c>
    </row>
    <row r="875" spans="7:7" x14ac:dyDescent="0.35">
      <c r="G875">
        <v>6152607</v>
      </c>
    </row>
    <row r="876" spans="7:7" x14ac:dyDescent="0.35">
      <c r="G876">
        <v>6152608</v>
      </c>
    </row>
    <row r="877" spans="7:7" x14ac:dyDescent="0.35">
      <c r="G877">
        <v>6152609</v>
      </c>
    </row>
    <row r="878" spans="7:7" x14ac:dyDescent="0.35">
      <c r="G878">
        <v>6153650</v>
      </c>
    </row>
    <row r="879" spans="7:7" x14ac:dyDescent="0.35">
      <c r="G879">
        <v>6153651</v>
      </c>
    </row>
    <row r="880" spans="7:7" x14ac:dyDescent="0.35">
      <c r="G880">
        <v>6154656</v>
      </c>
    </row>
    <row r="881" spans="7:7" x14ac:dyDescent="0.35">
      <c r="G881">
        <v>6157660</v>
      </c>
    </row>
    <row r="882" spans="7:7" x14ac:dyDescent="0.35">
      <c r="G882">
        <v>6157661</v>
      </c>
    </row>
    <row r="883" spans="7:7" x14ac:dyDescent="0.35">
      <c r="G883">
        <v>61710</v>
      </c>
    </row>
    <row r="884" spans="7:7" x14ac:dyDescent="0.35">
      <c r="G884">
        <v>61711</v>
      </c>
    </row>
    <row r="885" spans="7:7" x14ac:dyDescent="0.35">
      <c r="G885">
        <v>61712</v>
      </c>
    </row>
    <row r="886" spans="7:7" x14ac:dyDescent="0.35">
      <c r="G886">
        <v>61713</v>
      </c>
    </row>
    <row r="887" spans="7:7" x14ac:dyDescent="0.35">
      <c r="G887">
        <v>61714</v>
      </c>
    </row>
    <row r="888" spans="7:7" x14ac:dyDescent="0.35">
      <c r="G888">
        <v>61715</v>
      </c>
    </row>
    <row r="889" spans="7:7" x14ac:dyDescent="0.35">
      <c r="G889">
        <v>61716</v>
      </c>
    </row>
    <row r="890" spans="7:7" x14ac:dyDescent="0.35">
      <c r="G890">
        <v>61720</v>
      </c>
    </row>
    <row r="891" spans="7:7" x14ac:dyDescent="0.35">
      <c r="G891">
        <v>61721</v>
      </c>
    </row>
    <row r="892" spans="7:7" x14ac:dyDescent="0.35">
      <c r="G892">
        <v>61722</v>
      </c>
    </row>
    <row r="893" spans="7:7" x14ac:dyDescent="0.35">
      <c r="G893">
        <v>61723</v>
      </c>
    </row>
    <row r="894" spans="7:7" x14ac:dyDescent="0.35">
      <c r="G894">
        <v>61724</v>
      </c>
    </row>
    <row r="895" spans="7:7" x14ac:dyDescent="0.35">
      <c r="G895">
        <v>901084</v>
      </c>
    </row>
    <row r="896" spans="7:7" x14ac:dyDescent="0.35">
      <c r="G896">
        <v>901085</v>
      </c>
    </row>
    <row r="897" spans="7:7" x14ac:dyDescent="0.35">
      <c r="G897">
        <v>90214</v>
      </c>
    </row>
    <row r="898" spans="7:7" x14ac:dyDescent="0.35">
      <c r="G898">
        <v>90215</v>
      </c>
    </row>
    <row r="899" spans="7:7" x14ac:dyDescent="0.35">
      <c r="G899">
        <v>903075</v>
      </c>
    </row>
    <row r="900" spans="7:7" x14ac:dyDescent="0.35">
      <c r="G900">
        <v>904072</v>
      </c>
    </row>
    <row r="901" spans="7:7" x14ac:dyDescent="0.35">
      <c r="G901">
        <v>905075</v>
      </c>
    </row>
    <row r="902" spans="7:7" x14ac:dyDescent="0.35">
      <c r="G902">
        <v>9053202</v>
      </c>
    </row>
    <row r="903" spans="7:7" x14ac:dyDescent="0.35">
      <c r="G903">
        <v>9053652</v>
      </c>
    </row>
    <row r="904" spans="7:7" x14ac:dyDescent="0.35">
      <c r="G904">
        <v>9053657</v>
      </c>
    </row>
    <row r="905" spans="7:7" x14ac:dyDescent="0.35">
      <c r="G905">
        <v>9060100</v>
      </c>
    </row>
    <row r="906" spans="7:7" x14ac:dyDescent="0.35">
      <c r="G906">
        <v>906015</v>
      </c>
    </row>
    <row r="907" spans="7:7" x14ac:dyDescent="0.35">
      <c r="G907">
        <v>9061102</v>
      </c>
    </row>
    <row r="908" spans="7:7" x14ac:dyDescent="0.35">
      <c r="G908">
        <v>9061152</v>
      </c>
    </row>
    <row r="909" spans="7:7" x14ac:dyDescent="0.35">
      <c r="G909">
        <v>9061252</v>
      </c>
    </row>
    <row r="910" spans="7:7" x14ac:dyDescent="0.35">
      <c r="G910">
        <v>906152</v>
      </c>
    </row>
    <row r="911" spans="7:7" x14ac:dyDescent="0.35">
      <c r="G911">
        <v>906192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2A34B-047D-4206-BDEC-DE61D81B2492}">
  <dimension ref="A1:BD498"/>
  <sheetViews>
    <sheetView tabSelected="1" zoomScale="70" zoomScaleNormal="70" workbookViewId="0">
      <pane xSplit="4" ySplit="1" topLeftCell="AW409" activePane="bottomRight" state="frozen"/>
      <selection pane="topRight" activeCell="A39" sqref="A39"/>
      <selection pane="bottomLeft" activeCell="A39" sqref="A39"/>
      <selection pane="bottomRight" activeCell="AX429" sqref="AX429"/>
    </sheetView>
  </sheetViews>
  <sheetFormatPr defaultRowHeight="14.5" x14ac:dyDescent="0.35"/>
  <cols>
    <col min="2" max="2" width="17.54296875" bestFit="1" customWidth="1"/>
    <col min="3" max="3" width="33.1796875" bestFit="1" customWidth="1"/>
    <col min="4" max="4" width="82.54296875" bestFit="1" customWidth="1"/>
    <col min="5" max="11" width="9.1796875" hidden="1" customWidth="1"/>
    <col min="12" max="12" width="14" hidden="1" customWidth="1"/>
    <col min="13" max="13" width="9.1796875" hidden="1" customWidth="1"/>
    <col min="14" max="14" width="36.54296875" hidden="1" customWidth="1"/>
    <col min="15" max="15" width="18.453125" hidden="1" customWidth="1"/>
    <col min="16" max="16" width="64.1796875" hidden="1" customWidth="1"/>
    <col min="17" max="17" width="53.1796875" customWidth="1"/>
    <col min="18" max="20" width="9.1796875" customWidth="1"/>
    <col min="22" max="22" width="14.453125" hidden="1" customWidth="1"/>
    <col min="23" max="23" width="10.453125" hidden="1" customWidth="1"/>
    <col min="24" max="24" width="11.54296875" customWidth="1"/>
    <col min="25" max="27" width="12.54296875" customWidth="1"/>
    <col min="28" max="29" width="14.453125" customWidth="1"/>
    <col min="30" max="30" width="22.81640625" customWidth="1"/>
    <col min="31" max="31" width="56.54296875" customWidth="1"/>
    <col min="32" max="40" width="16.54296875" customWidth="1"/>
    <col min="41" max="41" width="53.81640625" customWidth="1"/>
    <col min="42" max="43" width="16.54296875" customWidth="1"/>
    <col min="44" max="44" width="35.1796875" customWidth="1"/>
    <col min="47" max="49" width="89.26953125" bestFit="1" customWidth="1"/>
  </cols>
  <sheetData>
    <row r="1" spans="1:56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179</v>
      </c>
      <c r="AH1" t="s">
        <v>180</v>
      </c>
      <c r="AI1" t="s">
        <v>181</v>
      </c>
      <c r="AJ1" t="s">
        <v>182</v>
      </c>
      <c r="AK1" t="s">
        <v>183</v>
      </c>
      <c r="AL1" t="s">
        <v>184</v>
      </c>
      <c r="AM1" t="s">
        <v>185</v>
      </c>
      <c r="AN1" t="s">
        <v>186</v>
      </c>
      <c r="AO1" t="s">
        <v>187</v>
      </c>
      <c r="AP1" t="s">
        <v>188</v>
      </c>
      <c r="AQ1" t="s">
        <v>189</v>
      </c>
      <c r="AR1" t="s">
        <v>190</v>
      </c>
      <c r="AS1" t="s">
        <v>191</v>
      </c>
      <c r="AT1" t="s">
        <v>192</v>
      </c>
      <c r="AU1" t="s">
        <v>193</v>
      </c>
      <c r="AV1" t="s">
        <v>194</v>
      </c>
      <c r="AW1" t="s">
        <v>195</v>
      </c>
      <c r="AX1" t="s">
        <v>196</v>
      </c>
      <c r="AY1" t="s">
        <v>197</v>
      </c>
      <c r="AZ1" t="s">
        <v>198</v>
      </c>
      <c r="BA1" t="s">
        <v>199</v>
      </c>
      <c r="BB1" t="s">
        <v>200</v>
      </c>
      <c r="BC1" t="s">
        <v>201</v>
      </c>
      <c r="BD1" t="s">
        <v>202</v>
      </c>
    </row>
    <row r="2" spans="1:56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30</v>
      </c>
    </row>
    <row r="3" spans="1:56" x14ac:dyDescent="0.35">
      <c r="A3" s="5" t="s">
        <v>204</v>
      </c>
      <c r="B3" s="5" t="s">
        <v>49</v>
      </c>
      <c r="C3" s="5" t="str">
        <f>VLOOKUP(B3,templateLookup!A:B,2,0)</f>
        <v>COMPOSITE</v>
      </c>
      <c r="D3" s="5" t="s">
        <v>204</v>
      </c>
      <c r="E3" s="6"/>
      <c r="F3" s="6" t="s">
        <v>30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</row>
    <row r="4" spans="1:56" x14ac:dyDescent="0.35">
      <c r="A4" t="s">
        <v>204</v>
      </c>
      <c r="B4" t="s">
        <v>97</v>
      </c>
      <c r="C4" t="str">
        <f>VLOOKUP(B4,templateLookup!A:B,2,0)</f>
        <v>iCScreenTest</v>
      </c>
      <c r="D4" t="str">
        <f t="shared" ref="D4:D21" si="0">E4&amp;"_"&amp;F4&amp;"_"&amp;G4&amp;"_"&amp;H4&amp;"_"&amp;A4&amp;"_"&amp;I4&amp;"_"&amp;J4&amp;"_"&amp;K4&amp;"_"&amp;L4&amp;"_"&amp;M4&amp;"_"&amp;N4</f>
        <v>XSA_COMMON_SCREEN_E_INIT_X_X_X_X_RESET_REPAIR_GSDS</v>
      </c>
      <c r="E4" t="s">
        <v>205</v>
      </c>
      <c r="F4" t="s">
        <v>30</v>
      </c>
      <c r="G4" t="s">
        <v>206</v>
      </c>
      <c r="H4" t="s">
        <v>207</v>
      </c>
      <c r="I4" t="s">
        <v>208</v>
      </c>
      <c r="J4" t="s">
        <v>208</v>
      </c>
      <c r="K4" t="s">
        <v>208</v>
      </c>
      <c r="L4" t="s">
        <v>208</v>
      </c>
      <c r="M4" t="s">
        <v>209</v>
      </c>
      <c r="N4" t="s">
        <v>210</v>
      </c>
      <c r="O4" t="s">
        <v>211</v>
      </c>
      <c r="P4" t="s">
        <v>211</v>
      </c>
      <c r="Q4" t="s">
        <v>212</v>
      </c>
      <c r="R4">
        <v>60</v>
      </c>
      <c r="S4">
        <v>90</v>
      </c>
      <c r="T4">
        <v>0</v>
      </c>
      <c r="U4">
        <v>-1</v>
      </c>
      <c r="V4" t="b">
        <v>0</v>
      </c>
      <c r="AD4" t="s">
        <v>213</v>
      </c>
      <c r="AE4" t="s">
        <v>214</v>
      </c>
      <c r="AS4">
        <f t="shared" ref="AS4:AS21" si="1">COUNTA(AU4:BD4)</f>
        <v>3</v>
      </c>
      <c r="AT4">
        <v>1</v>
      </c>
      <c r="AU4">
        <v>0</v>
      </c>
      <c r="AV4" t="str">
        <f t="shared" ref="AV4:AW21" si="2">$D5</f>
        <v>CTRL_X_VFDM_E_INIT_X_X_X_X_VFDM_SSKTR</v>
      </c>
      <c r="AW4">
        <v>0</v>
      </c>
    </row>
    <row r="5" spans="1:56" x14ac:dyDescent="0.35">
      <c r="A5" t="s">
        <v>204</v>
      </c>
      <c r="B5" t="s">
        <v>105</v>
      </c>
      <c r="C5" t="str">
        <f>VLOOKUP(B5,templateLookup!A:B,2,0)</f>
        <v>iCVFDMTest</v>
      </c>
      <c r="D5" t="str">
        <f t="shared" si="0"/>
        <v>CTRL_X_VFDM_E_INIT_X_X_X_X_VFDM_SSKTR</v>
      </c>
      <c r="E5" t="s">
        <v>215</v>
      </c>
      <c r="F5" t="s">
        <v>208</v>
      </c>
      <c r="G5" t="s">
        <v>178</v>
      </c>
      <c r="H5" t="s">
        <v>207</v>
      </c>
      <c r="I5" t="s">
        <v>208</v>
      </c>
      <c r="J5" t="s">
        <v>208</v>
      </c>
      <c r="K5" t="s">
        <v>208</v>
      </c>
      <c r="L5" t="s">
        <v>208</v>
      </c>
      <c r="M5" t="s">
        <v>178</v>
      </c>
      <c r="N5" t="s">
        <v>216</v>
      </c>
      <c r="O5" t="s">
        <v>211</v>
      </c>
      <c r="P5" t="s">
        <v>211</v>
      </c>
      <c r="Q5" t="s">
        <v>212</v>
      </c>
      <c r="R5">
        <v>60</v>
      </c>
      <c r="S5">
        <v>90</v>
      </c>
      <c r="T5">
        <v>1</v>
      </c>
      <c r="U5">
        <v>-1</v>
      </c>
      <c r="V5" t="b">
        <v>0</v>
      </c>
      <c r="AF5" t="s">
        <v>217</v>
      </c>
      <c r="AG5" t="s">
        <v>216</v>
      </c>
      <c r="AS5">
        <f t="shared" si="1"/>
        <v>3</v>
      </c>
      <c r="AT5" t="s">
        <v>218</v>
      </c>
      <c r="AU5">
        <v>0</v>
      </c>
      <c r="AV5" t="str">
        <f t="shared" si="2"/>
        <v>CTRL_X_VFDM_E_INIT_X_X_X_X_VFDM_SCORE0R</v>
      </c>
      <c r="AW5" t="str">
        <f t="shared" si="2"/>
        <v>CTRL_X_VFDM_E_INIT_X_X_X_X_VFDM_SCORE0R</v>
      </c>
    </row>
    <row r="6" spans="1:56" x14ac:dyDescent="0.35">
      <c r="A6" t="s">
        <v>204</v>
      </c>
      <c r="B6" t="s">
        <v>105</v>
      </c>
      <c r="C6" t="str">
        <f>VLOOKUP(B6,templateLookup!A:B,2,0)</f>
        <v>iCVFDMTest</v>
      </c>
      <c r="D6" t="str">
        <f t="shared" si="0"/>
        <v>CTRL_X_VFDM_E_INIT_X_X_X_X_VFDM_SCORE0R</v>
      </c>
      <c r="E6" t="s">
        <v>215</v>
      </c>
      <c r="F6" t="s">
        <v>208</v>
      </c>
      <c r="G6" t="s">
        <v>178</v>
      </c>
      <c r="H6" t="s">
        <v>207</v>
      </c>
      <c r="I6" t="s">
        <v>208</v>
      </c>
      <c r="J6" t="s">
        <v>208</v>
      </c>
      <c r="K6" t="s">
        <v>208</v>
      </c>
      <c r="L6" t="s">
        <v>208</v>
      </c>
      <c r="M6" t="s">
        <v>178</v>
      </c>
      <c r="N6" t="s">
        <v>219</v>
      </c>
      <c r="O6" t="s">
        <v>211</v>
      </c>
      <c r="P6" t="s">
        <v>211</v>
      </c>
      <c r="Q6" t="s">
        <v>212</v>
      </c>
      <c r="R6">
        <v>60</v>
      </c>
      <c r="S6">
        <v>90</v>
      </c>
      <c r="T6">
        <v>2</v>
      </c>
      <c r="U6">
        <v>-1</v>
      </c>
      <c r="V6" t="b">
        <v>0</v>
      </c>
      <c r="AF6" t="s">
        <v>220</v>
      </c>
      <c r="AG6" t="s">
        <v>219</v>
      </c>
      <c r="AS6">
        <f t="shared" si="1"/>
        <v>3</v>
      </c>
      <c r="AT6" t="s">
        <v>218</v>
      </c>
      <c r="AU6">
        <v>0</v>
      </c>
      <c r="AV6" t="str">
        <f t="shared" si="2"/>
        <v>CTRL_X_VFDM_E_INIT_X_X_X_X_VFDM_SCORE1R</v>
      </c>
      <c r="AW6" t="str">
        <f t="shared" si="2"/>
        <v>CTRL_X_VFDM_E_INIT_X_X_X_X_VFDM_SCORE1R</v>
      </c>
    </row>
    <row r="7" spans="1:56" x14ac:dyDescent="0.35">
      <c r="A7" t="s">
        <v>204</v>
      </c>
      <c r="B7" t="s">
        <v>105</v>
      </c>
      <c r="C7" t="str">
        <f>VLOOKUP(B7,templateLookup!A:B,2,0)</f>
        <v>iCVFDMTest</v>
      </c>
      <c r="D7" t="str">
        <f t="shared" si="0"/>
        <v>CTRL_X_VFDM_E_INIT_X_X_X_X_VFDM_SCORE1R</v>
      </c>
      <c r="E7" t="s">
        <v>215</v>
      </c>
      <c r="F7" t="s">
        <v>208</v>
      </c>
      <c r="G7" t="s">
        <v>178</v>
      </c>
      <c r="H7" t="s">
        <v>207</v>
      </c>
      <c r="I7" t="s">
        <v>208</v>
      </c>
      <c r="J7" t="s">
        <v>208</v>
      </c>
      <c r="K7" t="s">
        <v>208</v>
      </c>
      <c r="L7" t="s">
        <v>208</v>
      </c>
      <c r="M7" t="s">
        <v>178</v>
      </c>
      <c r="N7" t="s">
        <v>221</v>
      </c>
      <c r="O7" t="s">
        <v>211</v>
      </c>
      <c r="P7" t="s">
        <v>211</v>
      </c>
      <c r="Q7" t="s">
        <v>212</v>
      </c>
      <c r="R7">
        <v>60</v>
      </c>
      <c r="S7">
        <v>90</v>
      </c>
      <c r="T7">
        <v>3</v>
      </c>
      <c r="U7">
        <v>-1</v>
      </c>
      <c r="V7" t="b">
        <v>0</v>
      </c>
      <c r="AF7" t="s">
        <v>222</v>
      </c>
      <c r="AG7" t="s">
        <v>221</v>
      </c>
      <c r="AS7">
        <f t="shared" si="1"/>
        <v>3</v>
      </c>
      <c r="AT7" t="s">
        <v>218</v>
      </c>
      <c r="AU7">
        <v>0</v>
      </c>
      <c r="AV7" t="str">
        <f t="shared" si="2"/>
        <v>CTRL_X_VFDM_E_INIT_X_X_X_X_VFDM_SCORE2R</v>
      </c>
      <c r="AW7" t="str">
        <f t="shared" si="2"/>
        <v>CTRL_X_VFDM_E_INIT_X_X_X_X_VFDM_SCORE2R</v>
      </c>
    </row>
    <row r="8" spans="1:56" x14ac:dyDescent="0.35">
      <c r="A8" t="s">
        <v>204</v>
      </c>
      <c r="B8" t="s">
        <v>105</v>
      </c>
      <c r="C8" t="str">
        <f>VLOOKUP(B8,templateLookup!A:B,2,0)</f>
        <v>iCVFDMTest</v>
      </c>
      <c r="D8" t="str">
        <f t="shared" si="0"/>
        <v>CTRL_X_VFDM_E_INIT_X_X_X_X_VFDM_SCORE2R</v>
      </c>
      <c r="E8" t="s">
        <v>215</v>
      </c>
      <c r="F8" t="s">
        <v>208</v>
      </c>
      <c r="G8" t="s">
        <v>178</v>
      </c>
      <c r="H8" t="s">
        <v>207</v>
      </c>
      <c r="I8" t="s">
        <v>208</v>
      </c>
      <c r="J8" t="s">
        <v>208</v>
      </c>
      <c r="K8" t="s">
        <v>208</v>
      </c>
      <c r="L8" t="s">
        <v>208</v>
      </c>
      <c r="M8" t="s">
        <v>178</v>
      </c>
      <c r="N8" t="s">
        <v>223</v>
      </c>
      <c r="O8" t="s">
        <v>211</v>
      </c>
      <c r="P8" t="s">
        <v>211</v>
      </c>
      <c r="Q8" t="s">
        <v>212</v>
      </c>
      <c r="R8">
        <v>60</v>
      </c>
      <c r="S8">
        <v>90</v>
      </c>
      <c r="T8">
        <v>4</v>
      </c>
      <c r="U8">
        <v>-1</v>
      </c>
      <c r="V8" t="b">
        <v>0</v>
      </c>
      <c r="AF8" t="s">
        <v>224</v>
      </c>
      <c r="AG8" t="s">
        <v>223</v>
      </c>
      <c r="AS8">
        <f t="shared" si="1"/>
        <v>3</v>
      </c>
      <c r="AT8" t="s">
        <v>218</v>
      </c>
      <c r="AU8">
        <v>0</v>
      </c>
      <c r="AV8" t="str">
        <f t="shared" si="2"/>
        <v>CTRL_X_VFDM_E_INIT_X_X_X_X_VFDM_SCORE3R</v>
      </c>
      <c r="AW8" t="str">
        <f t="shared" si="2"/>
        <v>CTRL_X_VFDM_E_INIT_X_X_X_X_VFDM_SCORE3R</v>
      </c>
    </row>
    <row r="9" spans="1:56" x14ac:dyDescent="0.35">
      <c r="A9" t="s">
        <v>204</v>
      </c>
      <c r="B9" t="s">
        <v>105</v>
      </c>
      <c r="C9" t="str">
        <f>VLOOKUP(B9,templateLookup!A:B,2,0)</f>
        <v>iCVFDMTest</v>
      </c>
      <c r="D9" t="str">
        <f t="shared" si="0"/>
        <v>CTRL_X_VFDM_E_INIT_X_X_X_X_VFDM_SCORE3R</v>
      </c>
      <c r="E9" t="s">
        <v>215</v>
      </c>
      <c r="F9" t="s">
        <v>208</v>
      </c>
      <c r="G9" t="s">
        <v>178</v>
      </c>
      <c r="H9" t="s">
        <v>207</v>
      </c>
      <c r="I9" t="s">
        <v>208</v>
      </c>
      <c r="J9" t="s">
        <v>208</v>
      </c>
      <c r="K9" t="s">
        <v>208</v>
      </c>
      <c r="L9" t="s">
        <v>208</v>
      </c>
      <c r="M9" t="s">
        <v>178</v>
      </c>
      <c r="N9" t="s">
        <v>225</v>
      </c>
      <c r="O9" t="s">
        <v>211</v>
      </c>
      <c r="P9" t="s">
        <v>211</v>
      </c>
      <c r="Q9" t="s">
        <v>212</v>
      </c>
      <c r="R9">
        <v>60</v>
      </c>
      <c r="S9">
        <v>90</v>
      </c>
      <c r="T9">
        <v>5</v>
      </c>
      <c r="U9">
        <v>-1</v>
      </c>
      <c r="V9" t="b">
        <v>0</v>
      </c>
      <c r="AF9" t="s">
        <v>226</v>
      </c>
      <c r="AG9" t="s">
        <v>225</v>
      </c>
      <c r="AS9">
        <f t="shared" si="1"/>
        <v>3</v>
      </c>
      <c r="AT9" t="s">
        <v>218</v>
      </c>
      <c r="AU9">
        <v>0</v>
      </c>
      <c r="AV9" t="str">
        <f t="shared" si="2"/>
        <v>CTRL_X_VFDM_E_INIT_X_X_X_X_VFDM_SMEMSSR</v>
      </c>
      <c r="AW9" t="str">
        <f t="shared" si="2"/>
        <v>CTRL_X_VFDM_E_INIT_X_X_X_X_VFDM_SMEMSSR</v>
      </c>
    </row>
    <row r="10" spans="1:56" x14ac:dyDescent="0.35">
      <c r="A10" t="s">
        <v>204</v>
      </c>
      <c r="B10" t="s">
        <v>105</v>
      </c>
      <c r="C10" t="str">
        <f>VLOOKUP(B10,templateLookup!A:B,2,0)</f>
        <v>iCVFDMTest</v>
      </c>
      <c r="D10" t="str">
        <f t="shared" si="0"/>
        <v>CTRL_X_VFDM_E_INIT_X_X_X_X_VFDM_SMEMSSR</v>
      </c>
      <c r="E10" t="s">
        <v>215</v>
      </c>
      <c r="F10" t="s">
        <v>208</v>
      </c>
      <c r="G10" t="s">
        <v>178</v>
      </c>
      <c r="H10" t="s">
        <v>207</v>
      </c>
      <c r="I10" t="s">
        <v>208</v>
      </c>
      <c r="J10" t="s">
        <v>208</v>
      </c>
      <c r="K10" t="s">
        <v>208</v>
      </c>
      <c r="L10" t="s">
        <v>208</v>
      </c>
      <c r="M10" t="s">
        <v>178</v>
      </c>
      <c r="N10" t="s">
        <v>227</v>
      </c>
      <c r="O10" t="s">
        <v>211</v>
      </c>
      <c r="P10" t="s">
        <v>211</v>
      </c>
      <c r="Q10" t="s">
        <v>212</v>
      </c>
      <c r="R10">
        <v>60</v>
      </c>
      <c r="S10">
        <v>90</v>
      </c>
      <c r="T10">
        <v>6</v>
      </c>
      <c r="U10">
        <v>-1</v>
      </c>
      <c r="V10" t="b">
        <v>0</v>
      </c>
      <c r="AF10" t="s">
        <v>228</v>
      </c>
      <c r="AG10" t="s">
        <v>227</v>
      </c>
      <c r="AS10">
        <f t="shared" si="1"/>
        <v>3</v>
      </c>
      <c r="AT10" t="s">
        <v>218</v>
      </c>
      <c r="AU10">
        <v>0</v>
      </c>
      <c r="AV10" t="str">
        <f t="shared" si="2"/>
        <v>CTRL_X_VFDM_E_INIT_X_X_X_X_VFDM_SDFXR</v>
      </c>
      <c r="AW10" t="str">
        <f t="shared" si="2"/>
        <v>CTRL_X_VFDM_E_INIT_X_X_X_X_VFDM_SDFXR</v>
      </c>
    </row>
    <row r="11" spans="1:56" x14ac:dyDescent="0.35">
      <c r="A11" t="s">
        <v>204</v>
      </c>
      <c r="B11" t="s">
        <v>105</v>
      </c>
      <c r="C11" t="str">
        <f>VLOOKUP(B11,templateLookup!A:B,2,0)</f>
        <v>iCVFDMTest</v>
      </c>
      <c r="D11" t="str">
        <f t="shared" si="0"/>
        <v>CTRL_X_VFDM_E_INIT_X_X_X_X_VFDM_SDFXR</v>
      </c>
      <c r="E11" t="s">
        <v>215</v>
      </c>
      <c r="F11" t="s">
        <v>208</v>
      </c>
      <c r="G11" t="s">
        <v>178</v>
      </c>
      <c r="H11" t="s">
        <v>207</v>
      </c>
      <c r="I11" t="s">
        <v>208</v>
      </c>
      <c r="J11" t="s">
        <v>208</v>
      </c>
      <c r="K11" t="s">
        <v>208</v>
      </c>
      <c r="L11" t="s">
        <v>208</v>
      </c>
      <c r="M11" t="s">
        <v>178</v>
      </c>
      <c r="N11" t="s">
        <v>229</v>
      </c>
      <c r="O11" t="s">
        <v>211</v>
      </c>
      <c r="P11" t="s">
        <v>211</v>
      </c>
      <c r="Q11" t="s">
        <v>212</v>
      </c>
      <c r="R11">
        <v>60</v>
      </c>
      <c r="S11">
        <v>90</v>
      </c>
      <c r="T11">
        <v>7</v>
      </c>
      <c r="U11">
        <v>-1</v>
      </c>
      <c r="V11" t="b">
        <v>0</v>
      </c>
      <c r="AF11" t="s">
        <v>230</v>
      </c>
      <c r="AG11" t="s">
        <v>229</v>
      </c>
      <c r="AS11">
        <f t="shared" si="1"/>
        <v>3</v>
      </c>
      <c r="AT11" t="s">
        <v>218</v>
      </c>
      <c r="AU11">
        <v>0</v>
      </c>
      <c r="AV11" t="str">
        <f t="shared" si="2"/>
        <v>CTRL_X_VFDM_E_INIT_X_X_X_X_VFDM_SDISPR</v>
      </c>
      <c r="AW11" t="str">
        <f t="shared" si="2"/>
        <v>CTRL_X_VFDM_E_INIT_X_X_X_X_VFDM_SDISPR</v>
      </c>
    </row>
    <row r="12" spans="1:56" x14ac:dyDescent="0.35">
      <c r="A12" t="s">
        <v>204</v>
      </c>
      <c r="B12" t="s">
        <v>105</v>
      </c>
      <c r="C12" t="str">
        <f>VLOOKUP(B12,templateLookup!A:B,2,0)</f>
        <v>iCVFDMTest</v>
      </c>
      <c r="D12" t="str">
        <f t="shared" si="0"/>
        <v>CTRL_X_VFDM_E_INIT_X_X_X_X_VFDM_SDISPR</v>
      </c>
      <c r="E12" t="s">
        <v>215</v>
      </c>
      <c r="F12" t="s">
        <v>208</v>
      </c>
      <c r="G12" t="s">
        <v>178</v>
      </c>
      <c r="H12" t="s">
        <v>207</v>
      </c>
      <c r="I12" t="s">
        <v>208</v>
      </c>
      <c r="J12" t="s">
        <v>208</v>
      </c>
      <c r="K12" t="s">
        <v>208</v>
      </c>
      <c r="L12" t="s">
        <v>208</v>
      </c>
      <c r="M12" t="s">
        <v>178</v>
      </c>
      <c r="N12" t="s">
        <v>231</v>
      </c>
      <c r="O12" t="s">
        <v>211</v>
      </c>
      <c r="P12" t="s">
        <v>211</v>
      </c>
      <c r="Q12" t="s">
        <v>212</v>
      </c>
      <c r="R12">
        <v>60</v>
      </c>
      <c r="S12">
        <v>90</v>
      </c>
      <c r="T12">
        <v>8</v>
      </c>
      <c r="U12">
        <v>-1</v>
      </c>
      <c r="V12" t="b">
        <v>0</v>
      </c>
      <c r="AF12" t="s">
        <v>232</v>
      </c>
      <c r="AG12" t="s">
        <v>231</v>
      </c>
      <c r="AS12">
        <f t="shared" si="1"/>
        <v>3</v>
      </c>
      <c r="AT12" t="s">
        <v>218</v>
      </c>
      <c r="AU12">
        <v>0</v>
      </c>
      <c r="AV12" t="str">
        <f t="shared" si="2"/>
        <v>CTRL_X_VFDM_E_INIT_X_X_X_X_VFDM_SGTR</v>
      </c>
      <c r="AW12" t="str">
        <f t="shared" si="2"/>
        <v>CTRL_X_VFDM_E_INIT_X_X_X_X_VFDM_SGTR</v>
      </c>
    </row>
    <row r="13" spans="1:56" x14ac:dyDescent="0.35">
      <c r="A13" t="s">
        <v>204</v>
      </c>
      <c r="B13" t="s">
        <v>105</v>
      </c>
      <c r="C13" t="str">
        <f>VLOOKUP(B13,templateLookup!A:B,2,0)</f>
        <v>iCVFDMTest</v>
      </c>
      <c r="D13" t="str">
        <f t="shared" si="0"/>
        <v>CTRL_X_VFDM_E_INIT_X_X_X_X_VFDM_SGTR</v>
      </c>
      <c r="E13" t="s">
        <v>215</v>
      </c>
      <c r="F13" t="s">
        <v>208</v>
      </c>
      <c r="G13" t="s">
        <v>178</v>
      </c>
      <c r="H13" t="s">
        <v>207</v>
      </c>
      <c r="I13" t="s">
        <v>208</v>
      </c>
      <c r="J13" t="s">
        <v>208</v>
      </c>
      <c r="K13" t="s">
        <v>208</v>
      </c>
      <c r="L13" t="s">
        <v>208</v>
      </c>
      <c r="M13" t="s">
        <v>178</v>
      </c>
      <c r="N13" t="s">
        <v>233</v>
      </c>
      <c r="O13" t="s">
        <v>211</v>
      </c>
      <c r="P13" t="s">
        <v>211</v>
      </c>
      <c r="Q13" t="s">
        <v>212</v>
      </c>
      <c r="R13">
        <v>60</v>
      </c>
      <c r="S13">
        <v>90</v>
      </c>
      <c r="T13">
        <v>9</v>
      </c>
      <c r="U13">
        <v>-1</v>
      </c>
      <c r="V13" t="b">
        <v>0</v>
      </c>
      <c r="AF13" t="s">
        <v>234</v>
      </c>
      <c r="AG13" t="s">
        <v>233</v>
      </c>
      <c r="AS13">
        <f t="shared" si="1"/>
        <v>3</v>
      </c>
      <c r="AT13" t="s">
        <v>218</v>
      </c>
      <c r="AU13">
        <v>0</v>
      </c>
      <c r="AV13" t="str">
        <f t="shared" si="2"/>
        <v>CTRL_X_VFDM_E_INIT_X_X_X_X_VFDM_SIAXR</v>
      </c>
      <c r="AW13" t="str">
        <f t="shared" si="2"/>
        <v>CTRL_X_VFDM_E_INIT_X_X_X_X_VFDM_SIAXR</v>
      </c>
    </row>
    <row r="14" spans="1:56" x14ac:dyDescent="0.35">
      <c r="A14" t="s">
        <v>204</v>
      </c>
      <c r="B14" t="s">
        <v>105</v>
      </c>
      <c r="C14" t="str">
        <f>VLOOKUP(B14,templateLookup!A:B,2,0)</f>
        <v>iCVFDMTest</v>
      </c>
      <c r="D14" t="str">
        <f t="shared" si="0"/>
        <v>CTRL_X_VFDM_E_INIT_X_X_X_X_VFDM_SIAXR</v>
      </c>
      <c r="E14" t="s">
        <v>215</v>
      </c>
      <c r="F14" t="s">
        <v>208</v>
      </c>
      <c r="G14" t="s">
        <v>178</v>
      </c>
      <c r="H14" t="s">
        <v>207</v>
      </c>
      <c r="I14" t="s">
        <v>208</v>
      </c>
      <c r="J14" t="s">
        <v>208</v>
      </c>
      <c r="K14" t="s">
        <v>208</v>
      </c>
      <c r="L14" t="s">
        <v>208</v>
      </c>
      <c r="M14" t="s">
        <v>178</v>
      </c>
      <c r="N14" t="s">
        <v>235</v>
      </c>
      <c r="O14" t="s">
        <v>211</v>
      </c>
      <c r="P14" t="s">
        <v>211</v>
      </c>
      <c r="Q14" t="s">
        <v>212</v>
      </c>
      <c r="R14">
        <v>60</v>
      </c>
      <c r="S14">
        <v>90</v>
      </c>
      <c r="T14">
        <v>10</v>
      </c>
      <c r="U14">
        <v>-1</v>
      </c>
      <c r="V14" t="b">
        <v>0</v>
      </c>
      <c r="AF14" t="s">
        <v>236</v>
      </c>
      <c r="AG14" t="s">
        <v>235</v>
      </c>
      <c r="AS14">
        <f t="shared" si="1"/>
        <v>3</v>
      </c>
      <c r="AT14" t="s">
        <v>218</v>
      </c>
      <c r="AU14">
        <v>0</v>
      </c>
      <c r="AV14" t="str">
        <f t="shared" si="2"/>
        <v>CTRL_X_VFDM_E_INIT_X_X_X_X_VFDM_SIPUR</v>
      </c>
      <c r="AW14" t="str">
        <f t="shared" si="2"/>
        <v>CTRL_X_VFDM_E_INIT_X_X_X_X_VFDM_SIPUR</v>
      </c>
    </row>
    <row r="15" spans="1:56" x14ac:dyDescent="0.35">
      <c r="A15" t="s">
        <v>204</v>
      </c>
      <c r="B15" t="s">
        <v>105</v>
      </c>
      <c r="C15" t="str">
        <f>VLOOKUP(B15,templateLookup!A:B,2,0)</f>
        <v>iCVFDMTest</v>
      </c>
      <c r="D15" t="str">
        <f t="shared" si="0"/>
        <v>CTRL_X_VFDM_E_INIT_X_X_X_X_VFDM_SIPUR</v>
      </c>
      <c r="E15" t="s">
        <v>215</v>
      </c>
      <c r="F15" t="s">
        <v>208</v>
      </c>
      <c r="G15" t="s">
        <v>178</v>
      </c>
      <c r="H15" t="s">
        <v>207</v>
      </c>
      <c r="I15" t="s">
        <v>208</v>
      </c>
      <c r="J15" t="s">
        <v>208</v>
      </c>
      <c r="K15" t="s">
        <v>208</v>
      </c>
      <c r="L15" t="s">
        <v>208</v>
      </c>
      <c r="M15" t="s">
        <v>178</v>
      </c>
      <c r="N15" t="s">
        <v>237</v>
      </c>
      <c r="O15" t="s">
        <v>211</v>
      </c>
      <c r="P15" t="s">
        <v>211</v>
      </c>
      <c r="Q15" t="s">
        <v>212</v>
      </c>
      <c r="R15">
        <v>60</v>
      </c>
      <c r="S15">
        <v>90</v>
      </c>
      <c r="T15">
        <v>11</v>
      </c>
      <c r="U15">
        <v>-1</v>
      </c>
      <c r="V15" t="b">
        <v>0</v>
      </c>
      <c r="AF15" t="s">
        <v>238</v>
      </c>
      <c r="AG15" t="s">
        <v>237</v>
      </c>
      <c r="AS15">
        <f t="shared" si="1"/>
        <v>3</v>
      </c>
      <c r="AT15" t="s">
        <v>218</v>
      </c>
      <c r="AU15">
        <v>0</v>
      </c>
      <c r="AV15" t="str">
        <f t="shared" si="2"/>
        <v>CTRL_X_VFDM_E_INIT_X_X_X_X_VFDM_SCBO0R</v>
      </c>
      <c r="AW15" t="str">
        <f t="shared" si="2"/>
        <v>CTRL_X_VFDM_E_INIT_X_X_X_X_VFDM_SCBO0R</v>
      </c>
    </row>
    <row r="16" spans="1:56" x14ac:dyDescent="0.35">
      <c r="A16" t="s">
        <v>204</v>
      </c>
      <c r="B16" t="s">
        <v>105</v>
      </c>
      <c r="C16" t="str">
        <f>VLOOKUP(B16,templateLookup!A:B,2,0)</f>
        <v>iCVFDMTest</v>
      </c>
      <c r="D16" t="str">
        <f t="shared" si="0"/>
        <v>CTRL_X_VFDM_E_INIT_X_X_X_X_VFDM_SCBO0R</v>
      </c>
      <c r="E16" t="s">
        <v>215</v>
      </c>
      <c r="F16" t="s">
        <v>208</v>
      </c>
      <c r="G16" t="s">
        <v>178</v>
      </c>
      <c r="H16" t="s">
        <v>207</v>
      </c>
      <c r="I16" t="s">
        <v>208</v>
      </c>
      <c r="J16" t="s">
        <v>208</v>
      </c>
      <c r="K16" t="s">
        <v>208</v>
      </c>
      <c r="L16" t="s">
        <v>208</v>
      </c>
      <c r="M16" t="s">
        <v>178</v>
      </c>
      <c r="N16" t="s">
        <v>239</v>
      </c>
      <c r="O16" t="s">
        <v>211</v>
      </c>
      <c r="P16" t="s">
        <v>211</v>
      </c>
      <c r="Q16" t="s">
        <v>212</v>
      </c>
      <c r="R16">
        <v>60</v>
      </c>
      <c r="S16">
        <v>90</v>
      </c>
      <c r="T16">
        <v>12</v>
      </c>
      <c r="U16">
        <v>-1</v>
      </c>
      <c r="V16" t="b">
        <v>0</v>
      </c>
      <c r="AF16" t="s">
        <v>240</v>
      </c>
      <c r="AG16" t="s">
        <v>239</v>
      </c>
      <c r="AS16">
        <f t="shared" si="1"/>
        <v>3</v>
      </c>
      <c r="AT16" t="s">
        <v>218</v>
      </c>
      <c r="AU16">
        <v>0</v>
      </c>
      <c r="AV16" t="str">
        <f t="shared" si="2"/>
        <v>CTRL_X_VFDM_E_INIT_X_X_X_X_VFDM_SCBO1R</v>
      </c>
      <c r="AW16" t="str">
        <f t="shared" si="2"/>
        <v>CTRL_X_VFDM_E_INIT_X_X_X_X_VFDM_SCBO1R</v>
      </c>
    </row>
    <row r="17" spans="1:56" x14ac:dyDescent="0.35">
      <c r="A17" t="s">
        <v>204</v>
      </c>
      <c r="B17" t="s">
        <v>105</v>
      </c>
      <c r="C17" t="str">
        <f>VLOOKUP(B17,templateLookup!A:B,2,0)</f>
        <v>iCVFDMTest</v>
      </c>
      <c r="D17" t="str">
        <f t="shared" si="0"/>
        <v>CTRL_X_VFDM_E_INIT_X_X_X_X_VFDM_SCBO1R</v>
      </c>
      <c r="E17" t="s">
        <v>215</v>
      </c>
      <c r="F17" t="s">
        <v>208</v>
      </c>
      <c r="G17" t="s">
        <v>178</v>
      </c>
      <c r="H17" t="s">
        <v>207</v>
      </c>
      <c r="I17" t="s">
        <v>208</v>
      </c>
      <c r="J17" t="s">
        <v>208</v>
      </c>
      <c r="K17" t="s">
        <v>208</v>
      </c>
      <c r="L17" t="s">
        <v>208</v>
      </c>
      <c r="M17" t="s">
        <v>178</v>
      </c>
      <c r="N17" t="s">
        <v>241</v>
      </c>
      <c r="O17" t="s">
        <v>211</v>
      </c>
      <c r="P17" t="s">
        <v>211</v>
      </c>
      <c r="Q17" t="s">
        <v>212</v>
      </c>
      <c r="R17">
        <v>60</v>
      </c>
      <c r="S17">
        <v>90</v>
      </c>
      <c r="T17">
        <v>13</v>
      </c>
      <c r="U17">
        <v>-1</v>
      </c>
      <c r="V17" t="b">
        <v>0</v>
      </c>
      <c r="AF17" t="s">
        <v>242</v>
      </c>
      <c r="AG17" t="s">
        <v>241</v>
      </c>
      <c r="AS17">
        <f t="shared" si="1"/>
        <v>3</v>
      </c>
      <c r="AT17" t="s">
        <v>218</v>
      </c>
      <c r="AU17">
        <v>0</v>
      </c>
      <c r="AV17" t="str">
        <f t="shared" si="2"/>
        <v>CTRL_X_VFDM_E_INIT_X_X_X_X_VFDM_SMEDIAR</v>
      </c>
      <c r="AW17" t="str">
        <f t="shared" si="2"/>
        <v>CTRL_X_VFDM_E_INIT_X_X_X_X_VFDM_SMEDIAR</v>
      </c>
    </row>
    <row r="18" spans="1:56" x14ac:dyDescent="0.35">
      <c r="A18" t="s">
        <v>204</v>
      </c>
      <c r="B18" t="s">
        <v>105</v>
      </c>
      <c r="C18" t="str">
        <f>VLOOKUP(B18,templateLookup!A:B,2,0)</f>
        <v>iCVFDMTest</v>
      </c>
      <c r="D18" t="str">
        <f t="shared" si="0"/>
        <v>CTRL_X_VFDM_E_INIT_X_X_X_X_VFDM_SMEDIAR</v>
      </c>
      <c r="E18" t="s">
        <v>215</v>
      </c>
      <c r="F18" t="s">
        <v>208</v>
      </c>
      <c r="G18" t="s">
        <v>178</v>
      </c>
      <c r="H18" t="s">
        <v>207</v>
      </c>
      <c r="I18" t="s">
        <v>208</v>
      </c>
      <c r="J18" t="s">
        <v>208</v>
      </c>
      <c r="K18" t="s">
        <v>208</v>
      </c>
      <c r="L18" t="s">
        <v>208</v>
      </c>
      <c r="M18" t="s">
        <v>178</v>
      </c>
      <c r="N18" t="s">
        <v>243</v>
      </c>
      <c r="O18" t="s">
        <v>211</v>
      </c>
      <c r="P18" t="s">
        <v>211</v>
      </c>
      <c r="Q18" t="s">
        <v>212</v>
      </c>
      <c r="R18">
        <v>60</v>
      </c>
      <c r="S18">
        <v>90</v>
      </c>
      <c r="T18">
        <v>14</v>
      </c>
      <c r="U18">
        <v>-1</v>
      </c>
      <c r="V18" t="b">
        <v>0</v>
      </c>
      <c r="AF18" t="s">
        <v>244</v>
      </c>
      <c r="AG18" t="s">
        <v>243</v>
      </c>
      <c r="AS18">
        <f t="shared" si="1"/>
        <v>3</v>
      </c>
      <c r="AT18" t="s">
        <v>218</v>
      </c>
      <c r="AU18">
        <v>0</v>
      </c>
      <c r="AV18" t="str">
        <f t="shared" si="2"/>
        <v>CTRL_X_VFDM_E_INIT_X_X_X_X_VFDM_SHBO0R</v>
      </c>
      <c r="AW18" t="str">
        <f t="shared" si="2"/>
        <v>CTRL_X_VFDM_E_INIT_X_X_X_X_VFDM_SHBO0R</v>
      </c>
    </row>
    <row r="19" spans="1:56" x14ac:dyDescent="0.35">
      <c r="A19" t="s">
        <v>204</v>
      </c>
      <c r="B19" t="s">
        <v>105</v>
      </c>
      <c r="C19" t="str">
        <f>VLOOKUP(B19,templateLookup!A:B,2,0)</f>
        <v>iCVFDMTest</v>
      </c>
      <c r="D19" t="str">
        <f t="shared" si="0"/>
        <v>CTRL_X_VFDM_E_INIT_X_X_X_X_VFDM_SHBO0R</v>
      </c>
      <c r="E19" t="s">
        <v>215</v>
      </c>
      <c r="F19" t="s">
        <v>208</v>
      </c>
      <c r="G19" t="s">
        <v>178</v>
      </c>
      <c r="H19" t="s">
        <v>207</v>
      </c>
      <c r="I19" t="s">
        <v>208</v>
      </c>
      <c r="J19" t="s">
        <v>208</v>
      </c>
      <c r="K19" t="s">
        <v>208</v>
      </c>
      <c r="L19" t="s">
        <v>208</v>
      </c>
      <c r="M19" t="s">
        <v>178</v>
      </c>
      <c r="N19" t="s">
        <v>245</v>
      </c>
      <c r="O19" t="s">
        <v>211</v>
      </c>
      <c r="P19" t="s">
        <v>211</v>
      </c>
      <c r="Q19" t="s">
        <v>212</v>
      </c>
      <c r="R19">
        <v>60</v>
      </c>
      <c r="S19">
        <v>90</v>
      </c>
      <c r="T19">
        <v>15</v>
      </c>
      <c r="U19">
        <v>-1</v>
      </c>
      <c r="V19" t="b">
        <v>0</v>
      </c>
      <c r="AF19" t="s">
        <v>246</v>
      </c>
      <c r="AG19" t="s">
        <v>245</v>
      </c>
      <c r="AS19">
        <f t="shared" si="1"/>
        <v>3</v>
      </c>
      <c r="AT19" t="s">
        <v>218</v>
      </c>
      <c r="AU19">
        <v>0</v>
      </c>
      <c r="AV19" t="str">
        <f t="shared" si="2"/>
        <v>CTRL_X_VFDM_E_INIT_X_X_X_X_VFDM_SHBO1R</v>
      </c>
      <c r="AW19" t="str">
        <f t="shared" si="2"/>
        <v>CTRL_X_VFDM_E_INIT_X_X_X_X_VFDM_SHBO1R</v>
      </c>
    </row>
    <row r="20" spans="1:56" x14ac:dyDescent="0.35">
      <c r="A20" t="s">
        <v>204</v>
      </c>
      <c r="B20" t="s">
        <v>105</v>
      </c>
      <c r="C20" t="str">
        <f>VLOOKUP(B20,templateLookup!A:B,2,0)</f>
        <v>iCVFDMTest</v>
      </c>
      <c r="D20" t="str">
        <f t="shared" si="0"/>
        <v>CTRL_X_VFDM_E_INIT_X_X_X_X_VFDM_SHBO1R</v>
      </c>
      <c r="E20" t="s">
        <v>215</v>
      </c>
      <c r="F20" t="s">
        <v>208</v>
      </c>
      <c r="G20" t="s">
        <v>178</v>
      </c>
      <c r="H20" t="s">
        <v>207</v>
      </c>
      <c r="I20" t="s">
        <v>208</v>
      </c>
      <c r="J20" t="s">
        <v>208</v>
      </c>
      <c r="K20" t="s">
        <v>208</v>
      </c>
      <c r="L20" t="s">
        <v>208</v>
      </c>
      <c r="M20" t="s">
        <v>178</v>
      </c>
      <c r="N20" t="s">
        <v>247</v>
      </c>
      <c r="O20" t="s">
        <v>211</v>
      </c>
      <c r="P20" t="s">
        <v>211</v>
      </c>
      <c r="Q20" t="s">
        <v>212</v>
      </c>
      <c r="R20">
        <v>60</v>
      </c>
      <c r="S20">
        <v>90</v>
      </c>
      <c r="T20">
        <v>16</v>
      </c>
      <c r="U20">
        <v>-1</v>
      </c>
      <c r="V20" t="b">
        <v>0</v>
      </c>
      <c r="AF20" t="s">
        <v>248</v>
      </c>
      <c r="AG20" t="s">
        <v>247</v>
      </c>
      <c r="AS20">
        <f t="shared" si="1"/>
        <v>3</v>
      </c>
      <c r="AT20" t="s">
        <v>218</v>
      </c>
      <c r="AU20">
        <v>0</v>
      </c>
      <c r="AV20" t="str">
        <f t="shared" si="2"/>
        <v>CTRL_X_VFDM_E_INIT_X_X_X_X_VFDM_SVPUR</v>
      </c>
      <c r="AW20" t="str">
        <f t="shared" si="2"/>
        <v>CTRL_X_VFDM_E_INIT_X_X_X_X_VFDM_SVPUR</v>
      </c>
    </row>
    <row r="21" spans="1:56" x14ac:dyDescent="0.35">
      <c r="A21" t="s">
        <v>204</v>
      </c>
      <c r="B21" t="s">
        <v>105</v>
      </c>
      <c r="C21" t="str">
        <f>VLOOKUP(B21,templateLookup!A:B,2,0)</f>
        <v>iCVFDMTest</v>
      </c>
      <c r="D21" t="str">
        <f t="shared" si="0"/>
        <v>CTRL_X_VFDM_E_INIT_X_X_X_X_VFDM_SVPUR</v>
      </c>
      <c r="E21" t="s">
        <v>215</v>
      </c>
      <c r="F21" t="s">
        <v>208</v>
      </c>
      <c r="G21" t="s">
        <v>178</v>
      </c>
      <c r="H21" t="s">
        <v>207</v>
      </c>
      <c r="I21" t="s">
        <v>208</v>
      </c>
      <c r="J21" t="s">
        <v>208</v>
      </c>
      <c r="K21" t="s">
        <v>208</v>
      </c>
      <c r="L21" t="s">
        <v>208</v>
      </c>
      <c r="M21" t="s">
        <v>178</v>
      </c>
      <c r="N21" t="s">
        <v>249</v>
      </c>
      <c r="O21" t="s">
        <v>211</v>
      </c>
      <c r="P21" t="s">
        <v>211</v>
      </c>
      <c r="Q21" t="s">
        <v>212</v>
      </c>
      <c r="R21">
        <v>60</v>
      </c>
      <c r="S21">
        <v>90</v>
      </c>
      <c r="T21">
        <v>17</v>
      </c>
      <c r="U21">
        <v>-1</v>
      </c>
      <c r="V21" t="b">
        <v>0</v>
      </c>
      <c r="AF21" t="s">
        <v>250</v>
      </c>
      <c r="AG21" t="s">
        <v>249</v>
      </c>
      <c r="AS21">
        <f t="shared" si="1"/>
        <v>3</v>
      </c>
      <c r="AT21" t="s">
        <v>218</v>
      </c>
      <c r="AU21">
        <v>0</v>
      </c>
      <c r="AV21" t="str">
        <f t="shared" si="2"/>
        <v>ALL_GFX_PATMOD_K_INIT_X_X_X_X_X_IPU_WAITSTAGE</v>
      </c>
      <c r="AW21" t="str">
        <f t="shared" si="2"/>
        <v>ALL_GFX_PATMOD_K_INIT_X_X_X_X_X_IPU_WAITSTAGE</v>
      </c>
    </row>
    <row r="22" spans="1:56" x14ac:dyDescent="0.35">
      <c r="A22" t="s">
        <v>204</v>
      </c>
      <c r="B22" t="s">
        <v>61</v>
      </c>
      <c r="C22" t="str">
        <f>VLOOKUP(B22,templateLookup!A:B,2,0)</f>
        <v>PrimePatConfigTestMethod</v>
      </c>
      <c r="D22" t="str">
        <f>E22&amp;"_"&amp;F22&amp;"_"&amp;G22&amp;"_"&amp;H22&amp;"_"&amp;A22&amp;"_"&amp;I22&amp;"_"&amp;J22&amp;"_"&amp;K22&amp;"_"&amp;L22&amp;"_"&amp;M22&amp;"_"&amp;N22</f>
        <v>ALL_GFX_PATMOD_K_INIT_X_X_X_X_X_IPU_WAITSTAGE</v>
      </c>
      <c r="E22" t="s">
        <v>7</v>
      </c>
      <c r="F22" t="s">
        <v>251</v>
      </c>
      <c r="G22" t="s">
        <v>252</v>
      </c>
      <c r="H22" t="s">
        <v>253</v>
      </c>
      <c r="I22" t="s">
        <v>208</v>
      </c>
      <c r="J22" t="s">
        <v>208</v>
      </c>
      <c r="K22" t="s">
        <v>208</v>
      </c>
      <c r="L22" t="s">
        <v>208</v>
      </c>
      <c r="M22" t="s">
        <v>208</v>
      </c>
      <c r="N22" t="s">
        <v>254</v>
      </c>
      <c r="O22" t="s">
        <v>211</v>
      </c>
      <c r="P22" t="s">
        <v>211</v>
      </c>
      <c r="Q22" t="s">
        <v>212</v>
      </c>
      <c r="R22">
        <v>60</v>
      </c>
      <c r="S22">
        <v>90</v>
      </c>
      <c r="T22">
        <v>18</v>
      </c>
      <c r="U22">
        <v>-1</v>
      </c>
      <c r="V22" t="b">
        <v>0</v>
      </c>
      <c r="AO22" t="s">
        <v>255</v>
      </c>
      <c r="AP22" t="s">
        <v>256</v>
      </c>
      <c r="AQ22" t="s">
        <v>257</v>
      </c>
      <c r="AS22">
        <v>2</v>
      </c>
      <c r="AT22">
        <v>1</v>
      </c>
      <c r="AU22">
        <v>0</v>
      </c>
      <c r="AV22">
        <v>1</v>
      </c>
    </row>
    <row r="23" spans="1:56" x14ac:dyDescent="0.35">
      <c r="A23" s="5" t="s">
        <v>204</v>
      </c>
      <c r="B23" s="5" t="s">
        <v>50</v>
      </c>
      <c r="C23" s="5" t="str">
        <f>VLOOKUP(B23,templateLookup!A:B,2,0)</f>
        <v>COMPOSITE</v>
      </c>
      <c r="D23" s="5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1:56" x14ac:dyDescent="0.35">
      <c r="A24" s="5" t="s">
        <v>12</v>
      </c>
      <c r="B24" s="5" t="s">
        <v>49</v>
      </c>
      <c r="C24" s="5" t="str">
        <f>VLOOKUP(B24,templateLookup!A:B,2,0)</f>
        <v>COMPOSITE</v>
      </c>
      <c r="D24" s="5" t="s">
        <v>12</v>
      </c>
      <c r="E24" s="6"/>
      <c r="F24" s="6" t="s">
        <v>30</v>
      </c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</row>
    <row r="25" spans="1:56" x14ac:dyDescent="0.35">
      <c r="A25" s="32" t="s">
        <v>12</v>
      </c>
      <c r="B25" s="32" t="s">
        <v>49</v>
      </c>
      <c r="C25" s="32" t="str">
        <f>VLOOKUP(B25,templateLookup!A:B,2,0)</f>
        <v>COMPOSITE</v>
      </c>
      <c r="D25" s="10" t="s">
        <v>258</v>
      </c>
      <c r="F25" t="s">
        <v>30</v>
      </c>
      <c r="V25" s="12"/>
      <c r="AS25">
        <f t="shared" ref="AS25:AS30" si="3">COUNTA(AU25:BD25)</f>
        <v>2</v>
      </c>
      <c r="AT25">
        <v>1</v>
      </c>
      <c r="AU25" t="str">
        <f>$D32</f>
        <v>REPAIRABLE</v>
      </c>
      <c r="AV25" t="str">
        <f>$D32</f>
        <v>REPAIRABLE</v>
      </c>
    </row>
    <row r="26" spans="1:56" x14ac:dyDescent="0.35">
      <c r="A26" s="33" t="s">
        <v>12</v>
      </c>
      <c r="B26" s="33" t="s">
        <v>59</v>
      </c>
      <c r="C26" s="33" t="str">
        <f>VLOOKUP(B26,templateLookup!A:B,2,0)</f>
        <v>PrimePatConfigTestMethod</v>
      </c>
      <c r="D26" t="str">
        <f>E26&amp;"_"&amp;F26&amp;"_"&amp;G26&amp;"_"&amp;H26&amp;"_"&amp;A26&amp;"_"&amp;I26&amp;"_"&amp;J26&amp;"_"&amp;K26&amp;"_"&amp;L26&amp;"_"&amp;M26&amp;"_"&amp;N26</f>
        <v>XSA_COMMON_FUSECONFIG_E_BEGIN_TITO_X_X_X_REPAIR_RESET</v>
      </c>
      <c r="E26" t="s">
        <v>205</v>
      </c>
      <c r="F26" t="s">
        <v>30</v>
      </c>
      <c r="G26" t="s">
        <v>259</v>
      </c>
      <c r="H26" t="s">
        <v>207</v>
      </c>
      <c r="I26" t="s">
        <v>260</v>
      </c>
      <c r="J26" t="s">
        <v>208</v>
      </c>
      <c r="K26" t="s">
        <v>208</v>
      </c>
      <c r="L26" t="s">
        <v>208</v>
      </c>
      <c r="M26" t="s">
        <v>261</v>
      </c>
      <c r="N26" t="s">
        <v>209</v>
      </c>
      <c r="O26" t="s">
        <v>211</v>
      </c>
      <c r="P26" t="s">
        <v>211</v>
      </c>
      <c r="Q26" t="s">
        <v>212</v>
      </c>
      <c r="R26">
        <v>90</v>
      </c>
      <c r="S26">
        <v>60</v>
      </c>
      <c r="T26">
        <v>100</v>
      </c>
      <c r="U26">
        <v>-1</v>
      </c>
      <c r="V26" t="b">
        <v>0</v>
      </c>
      <c r="AH26" t="s">
        <v>262</v>
      </c>
      <c r="AI26" t="s">
        <v>263</v>
      </c>
      <c r="AS26">
        <f t="shared" si="3"/>
        <v>3</v>
      </c>
      <c r="AT26" t="s">
        <v>218</v>
      </c>
      <c r="AU26" t="str">
        <f t="shared" ref="AU26:BD29" si="4">$D27</f>
        <v>XSA_COMMON_SCREEN_K_BEGIN_X_X_X_X_RESET_REPAIR_GSDS</v>
      </c>
      <c r="AV26" t="str">
        <f t="shared" si="4"/>
        <v>XSA_COMMON_SCREEN_K_BEGIN_X_X_X_X_RESET_REPAIR_GSDS</v>
      </c>
      <c r="AW26" t="str">
        <f t="shared" si="4"/>
        <v>XSA_COMMON_SCREEN_K_BEGIN_X_X_X_X_RESET_REPAIR_GSDS</v>
      </c>
      <c r="BB26" s="8"/>
      <c r="BC26" s="8"/>
    </row>
    <row r="27" spans="1:56" x14ac:dyDescent="0.35">
      <c r="A27" s="33" t="s">
        <v>12</v>
      </c>
      <c r="B27" s="33" t="s">
        <v>97</v>
      </c>
      <c r="C27" s="33" t="str">
        <f>VLOOKUP(B27,templateLookup!A:B,2,0)</f>
        <v>iCScreenTest</v>
      </c>
      <c r="D27" t="str">
        <f>E27&amp;"_"&amp;F27&amp;"_"&amp;G27&amp;"_"&amp;H27&amp;"_"&amp;A27&amp;"_"&amp;I27&amp;"_"&amp;J27&amp;"_"&amp;K27&amp;"_"&amp;L27&amp;"_"&amp;M27&amp;"_"&amp;N27</f>
        <v>XSA_COMMON_SCREEN_K_BEGIN_X_X_X_X_RESET_REPAIR_GSDS</v>
      </c>
      <c r="E27" t="s">
        <v>205</v>
      </c>
      <c r="F27" t="s">
        <v>30</v>
      </c>
      <c r="G27" t="s">
        <v>206</v>
      </c>
      <c r="H27" t="s">
        <v>253</v>
      </c>
      <c r="I27" t="s">
        <v>208</v>
      </c>
      <c r="J27" t="s">
        <v>208</v>
      </c>
      <c r="K27" t="s">
        <v>208</v>
      </c>
      <c r="L27" t="s">
        <v>208</v>
      </c>
      <c r="M27" t="s">
        <v>209</v>
      </c>
      <c r="N27" t="s">
        <v>210</v>
      </c>
      <c r="O27" t="s">
        <v>211</v>
      </c>
      <c r="P27" t="s">
        <v>211</v>
      </c>
      <c r="Q27" t="s">
        <v>212</v>
      </c>
      <c r="R27">
        <v>60</v>
      </c>
      <c r="S27">
        <v>90</v>
      </c>
      <c r="T27">
        <v>101</v>
      </c>
      <c r="U27">
        <v>-1</v>
      </c>
      <c r="V27" t="b">
        <v>0</v>
      </c>
      <c r="AD27" t="s">
        <v>213</v>
      </c>
      <c r="AE27" t="s">
        <v>214</v>
      </c>
      <c r="AS27">
        <f t="shared" si="3"/>
        <v>3</v>
      </c>
      <c r="AT27">
        <v>1</v>
      </c>
      <c r="AU27" t="str">
        <f t="shared" si="4"/>
        <v>XSA_COMMON_SCREEN_K_BEGIN_X_X_X_X_RESET_REPAIR_DFF</v>
      </c>
      <c r="AV27" t="str">
        <f t="shared" si="4"/>
        <v>XSA_COMMON_SCREEN_K_BEGIN_X_X_X_X_RESET_REPAIR_DFF</v>
      </c>
      <c r="AW27" t="str">
        <f t="shared" si="4"/>
        <v>XSA_COMMON_SCREEN_K_BEGIN_X_X_X_X_RESET_REPAIR_DFF</v>
      </c>
      <c r="BB27" s="8"/>
      <c r="BC27" s="8"/>
    </row>
    <row r="28" spans="1:56" x14ac:dyDescent="0.35">
      <c r="A28" s="33" t="s">
        <v>12</v>
      </c>
      <c r="B28" s="33" t="s">
        <v>97</v>
      </c>
      <c r="C28" s="33" t="str">
        <f>VLOOKUP(B28,templateLookup!A:B,2,0)</f>
        <v>iCScreenTest</v>
      </c>
      <c r="D28" t="str">
        <f>E28&amp;"_"&amp;F28&amp;"_"&amp;G28&amp;"_"&amp;H28&amp;"_"&amp;A28&amp;"_"&amp;I28&amp;"_"&amp;J28&amp;"_"&amp;K28&amp;"_"&amp;L28&amp;"_"&amp;M28&amp;"_"&amp;N28</f>
        <v>XSA_COMMON_SCREEN_K_BEGIN_X_X_X_X_RESET_REPAIR_DFF</v>
      </c>
      <c r="E28" t="s">
        <v>205</v>
      </c>
      <c r="F28" t="s">
        <v>30</v>
      </c>
      <c r="G28" t="s">
        <v>206</v>
      </c>
      <c r="H28" t="s">
        <v>253</v>
      </c>
      <c r="I28" t="s">
        <v>208</v>
      </c>
      <c r="J28" t="s">
        <v>208</v>
      </c>
      <c r="K28" t="s">
        <v>208</v>
      </c>
      <c r="L28" t="s">
        <v>208</v>
      </c>
      <c r="M28" t="s">
        <v>209</v>
      </c>
      <c r="N28" t="s">
        <v>264</v>
      </c>
      <c r="O28" t="s">
        <v>211</v>
      </c>
      <c r="P28" t="s">
        <v>211</v>
      </c>
      <c r="Q28" t="s">
        <v>212</v>
      </c>
      <c r="R28">
        <v>60</v>
      </c>
      <c r="S28">
        <v>90</v>
      </c>
      <c r="T28">
        <v>102</v>
      </c>
      <c r="U28">
        <v>-1</v>
      </c>
      <c r="V28" t="b">
        <v>0</v>
      </c>
      <c r="AD28" t="s">
        <v>265</v>
      </c>
      <c r="AE28" t="s">
        <v>266</v>
      </c>
      <c r="AS28">
        <f t="shared" si="3"/>
        <v>3</v>
      </c>
      <c r="AT28">
        <v>1</v>
      </c>
      <c r="AU28" t="str">
        <f t="shared" si="4"/>
        <v>XSA_COMMON_REPAIR_E_BEGIN_TITO_X_X_X_X_RESET</v>
      </c>
      <c r="AV28" t="str">
        <f t="shared" si="4"/>
        <v>XSA_COMMON_REPAIR_E_BEGIN_TITO_X_X_X_X_RESET</v>
      </c>
      <c r="AW28" t="str">
        <f t="shared" si="4"/>
        <v>XSA_COMMON_REPAIR_E_BEGIN_TITO_X_X_X_X_RESET</v>
      </c>
      <c r="BB28" s="8"/>
      <c r="BC28" s="8"/>
    </row>
    <row r="29" spans="1:56" x14ac:dyDescent="0.35">
      <c r="A29" s="33" t="s">
        <v>12</v>
      </c>
      <c r="B29" s="33" t="s">
        <v>106</v>
      </c>
      <c r="C29" s="33" t="str">
        <f>VLOOKUP(B29,templateLookup!A:B,2,0)</f>
        <v>PrimeMbistVminSearchTestMethod</v>
      </c>
      <c r="D29" t="str">
        <f>E29&amp;"_"&amp;F29&amp;"_"&amp;G29&amp;"_"&amp;H29&amp;"_"&amp;A29&amp;"_"&amp;I29&amp;"_"&amp;J29&amp;"_"&amp;K29&amp;"_"&amp;L29&amp;"_"&amp;M29&amp;"_"&amp;N29</f>
        <v>XSA_COMMON_REPAIR_E_BEGIN_TITO_X_X_X_X_RESET</v>
      </c>
      <c r="E29" t="s">
        <v>205</v>
      </c>
      <c r="F29" t="s">
        <v>30</v>
      </c>
      <c r="G29" t="s">
        <v>261</v>
      </c>
      <c r="H29" t="s">
        <v>207</v>
      </c>
      <c r="I29" t="s">
        <v>260</v>
      </c>
      <c r="J29" t="s">
        <v>208</v>
      </c>
      <c r="K29" t="s">
        <v>208</v>
      </c>
      <c r="L29" t="s">
        <v>208</v>
      </c>
      <c r="M29" t="s">
        <v>208</v>
      </c>
      <c r="N29" t="s">
        <v>209</v>
      </c>
      <c r="O29" t="s">
        <v>267</v>
      </c>
      <c r="P29" t="s">
        <v>268</v>
      </c>
      <c r="Q29" t="s">
        <v>269</v>
      </c>
      <c r="R29">
        <v>60</v>
      </c>
      <c r="S29">
        <v>90</v>
      </c>
      <c r="T29">
        <v>103</v>
      </c>
      <c r="U29">
        <v>-1</v>
      </c>
      <c r="V29" t="b">
        <v>0</v>
      </c>
      <c r="W29" t="s">
        <v>270</v>
      </c>
      <c r="X29" t="s">
        <v>271</v>
      </c>
      <c r="Y29" t="s">
        <v>272</v>
      </c>
      <c r="Z29">
        <v>0.85</v>
      </c>
      <c r="AA29">
        <v>0.85</v>
      </c>
      <c r="AS29">
        <f t="shared" si="3"/>
        <v>10</v>
      </c>
      <c r="AT29" t="s">
        <v>273</v>
      </c>
      <c r="AU29" t="str">
        <f t="shared" si="4"/>
        <v>XSA_COMMON_REPAIR_E_BEGIN_TITO_X_X_X_RESET_ATOM</v>
      </c>
      <c r="AV29" t="str">
        <f t="shared" si="4"/>
        <v>XSA_COMMON_REPAIR_E_BEGIN_TITO_X_X_X_RESET_ATOM</v>
      </c>
      <c r="AW29" t="str">
        <f t="shared" si="4"/>
        <v>XSA_COMMON_REPAIR_E_BEGIN_TITO_X_X_X_RESET_ATOM</v>
      </c>
      <c r="AX29" t="str">
        <f t="shared" si="4"/>
        <v>XSA_COMMON_REPAIR_E_BEGIN_TITO_X_X_X_RESET_ATOM</v>
      </c>
      <c r="AY29" t="str">
        <f t="shared" si="4"/>
        <v>XSA_COMMON_REPAIR_E_BEGIN_TITO_X_X_X_RESET_ATOM</v>
      </c>
      <c r="AZ29" t="str">
        <f t="shared" si="4"/>
        <v>XSA_COMMON_REPAIR_E_BEGIN_TITO_X_X_X_RESET_ATOM</v>
      </c>
      <c r="BA29" t="str">
        <f t="shared" si="4"/>
        <v>XSA_COMMON_REPAIR_E_BEGIN_TITO_X_X_X_RESET_ATOM</v>
      </c>
      <c r="BB29" t="str">
        <f t="shared" si="4"/>
        <v>XSA_COMMON_REPAIR_E_BEGIN_TITO_X_X_X_RESET_ATOM</v>
      </c>
      <c r="BC29" t="str">
        <f t="shared" si="4"/>
        <v>XSA_COMMON_REPAIR_E_BEGIN_TITO_X_X_X_RESET_ATOM</v>
      </c>
      <c r="BD29" t="str">
        <f t="shared" si="4"/>
        <v>XSA_COMMON_REPAIR_E_BEGIN_TITO_X_X_X_RESET_ATOM</v>
      </c>
    </row>
    <row r="30" spans="1:56" x14ac:dyDescent="0.35">
      <c r="A30" s="33" t="s">
        <v>12</v>
      </c>
      <c r="B30" s="33" t="s">
        <v>107</v>
      </c>
      <c r="C30" s="33" t="str">
        <f>VLOOKUP(B30,templateLookup!A:B,2,0)</f>
        <v>iCRepairTest</v>
      </c>
      <c r="D30" t="str">
        <f>E30&amp;"_"&amp;F30&amp;"_"&amp;G30&amp;"_"&amp;H30&amp;"_"&amp;A30&amp;"_"&amp;I30&amp;"_"&amp;J30&amp;"_"&amp;K30&amp;"_"&amp;L30&amp;"_"&amp;M30&amp;"_"&amp;N30</f>
        <v>XSA_COMMON_REPAIR_E_BEGIN_TITO_X_X_X_RESET_ATOM</v>
      </c>
      <c r="E30" t="s">
        <v>205</v>
      </c>
      <c r="F30" t="s">
        <v>30</v>
      </c>
      <c r="G30" t="s">
        <v>261</v>
      </c>
      <c r="H30" t="s">
        <v>207</v>
      </c>
      <c r="I30" t="s">
        <v>260</v>
      </c>
      <c r="J30" t="s">
        <v>208</v>
      </c>
      <c r="K30" t="s">
        <v>208</v>
      </c>
      <c r="L30" t="s">
        <v>208</v>
      </c>
      <c r="M30" t="s">
        <v>209</v>
      </c>
      <c r="N30" t="s">
        <v>28</v>
      </c>
      <c r="O30" t="s">
        <v>211</v>
      </c>
      <c r="P30" t="s">
        <v>211</v>
      </c>
      <c r="Q30" t="s">
        <v>212</v>
      </c>
      <c r="R30">
        <v>60</v>
      </c>
      <c r="S30">
        <v>90</v>
      </c>
      <c r="T30">
        <v>104</v>
      </c>
      <c r="U30">
        <v>-1</v>
      </c>
      <c r="V30" t="b">
        <v>0</v>
      </c>
      <c r="AS30">
        <f t="shared" si="3"/>
        <v>6</v>
      </c>
      <c r="AT30" t="s">
        <v>274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B30" s="8"/>
      <c r="BC30" s="8"/>
    </row>
    <row r="31" spans="1:56" x14ac:dyDescent="0.35">
      <c r="A31" s="32" t="s">
        <v>12</v>
      </c>
      <c r="B31" s="32" t="s">
        <v>50</v>
      </c>
      <c r="C31" s="32" t="str">
        <f>VLOOKUP(B31,templateLookup!A:B,2,0)</f>
        <v>COMPOSITE</v>
      </c>
      <c r="D31" s="10" t="s">
        <v>275</v>
      </c>
      <c r="V31" s="12"/>
    </row>
    <row r="32" spans="1:56" x14ac:dyDescent="0.35">
      <c r="A32" s="32" t="s">
        <v>12</v>
      </c>
      <c r="B32" s="32" t="s">
        <v>49</v>
      </c>
      <c r="C32" s="32" t="str">
        <f>VLOOKUP(B32,templateLookup!A:B,2,0)</f>
        <v>COMPOSITE</v>
      </c>
      <c r="D32" s="10" t="s">
        <v>276</v>
      </c>
      <c r="V32" s="12"/>
      <c r="AS32">
        <f t="shared" ref="AS32:AS67" si="5">COUNTA(AU32:BD32)</f>
        <v>2</v>
      </c>
      <c r="AT32">
        <v>1</v>
      </c>
      <c r="AU32" t="str">
        <f>$D446</f>
        <v>NON_REPAIRABLE</v>
      </c>
      <c r="AV32" t="str">
        <f>$D446</f>
        <v>NON_REPAIRABLE</v>
      </c>
    </row>
    <row r="33" spans="1:56" x14ac:dyDescent="0.35">
      <c r="A33" s="50" t="s">
        <v>12</v>
      </c>
      <c r="B33" s="50" t="s">
        <v>49</v>
      </c>
      <c r="C33" s="50" t="str">
        <f>VLOOKUP(B33,templateLookup!A:B,2,0)</f>
        <v>COMPOSITE</v>
      </c>
      <c r="D33" s="5" t="s">
        <v>277</v>
      </c>
      <c r="E33" s="6"/>
      <c r="F33" s="6" t="s">
        <v>30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AS33">
        <f t="shared" si="5"/>
        <v>2</v>
      </c>
      <c r="AT33">
        <v>1</v>
      </c>
      <c r="AU33" t="str">
        <f>$D92</f>
        <v>GFX_REPAIRABLE</v>
      </c>
      <c r="AV33" t="str">
        <f>$D92</f>
        <v>GFX_REPAIRABLE</v>
      </c>
    </row>
    <row r="34" spans="1:56" x14ac:dyDescent="0.35">
      <c r="A34" s="12" t="s">
        <v>12</v>
      </c>
      <c r="B34" s="12" t="s">
        <v>61</v>
      </c>
      <c r="C34" s="12" t="str">
        <f>VLOOKUP(B34,templateLookup!A:B,2,0)</f>
        <v>PrimePatConfigTestMethod</v>
      </c>
      <c r="D34" t="str">
        <f>E34&amp;"_"&amp;F34&amp;"_"&amp;G34&amp;"_"&amp;H34&amp;"_"&amp;A34&amp;"_"&amp;I34&amp;"_"&amp;J34&amp;"_"&amp;K34&amp;"_"&amp;L34&amp;"_"&amp;M34&amp;"_"&amp;N34</f>
        <v>ALL_CCF_PATMOD_K_BEGIN_X_X_X_X_X_RESET_FREQ</v>
      </c>
      <c r="E34" t="s">
        <v>7</v>
      </c>
      <c r="F34" t="s">
        <v>22</v>
      </c>
      <c r="G34" t="s">
        <v>252</v>
      </c>
      <c r="H34" t="s">
        <v>253</v>
      </c>
      <c r="I34" t="s">
        <v>208</v>
      </c>
      <c r="J34" t="s">
        <v>208</v>
      </c>
      <c r="K34" t="s">
        <v>208</v>
      </c>
      <c r="L34" t="s">
        <v>208</v>
      </c>
      <c r="M34" t="s">
        <v>208</v>
      </c>
      <c r="N34" t="s">
        <v>278</v>
      </c>
      <c r="O34" t="s">
        <v>211</v>
      </c>
      <c r="P34" t="s">
        <v>211</v>
      </c>
      <c r="Q34" t="s">
        <v>212</v>
      </c>
      <c r="R34">
        <v>90</v>
      </c>
      <c r="S34">
        <v>10</v>
      </c>
      <c r="T34">
        <v>84</v>
      </c>
      <c r="U34">
        <v>-1</v>
      </c>
      <c r="V34" t="b">
        <v>1</v>
      </c>
      <c r="AO34" t="s">
        <v>279</v>
      </c>
      <c r="AP34" t="s">
        <v>280</v>
      </c>
      <c r="AQ34" t="s">
        <v>257</v>
      </c>
      <c r="AR34" t="s">
        <v>281</v>
      </c>
      <c r="AS34">
        <f t="shared" si="5"/>
        <v>2</v>
      </c>
      <c r="AT34">
        <v>1</v>
      </c>
      <c r="AU34" t="str">
        <f>$D35</f>
        <v>CCF_BISR</v>
      </c>
      <c r="AV34" t="str">
        <f>$D35</f>
        <v>CCF_BISR</v>
      </c>
    </row>
    <row r="35" spans="1:56" x14ac:dyDescent="0.35">
      <c r="A35" s="40" t="s">
        <v>12</v>
      </c>
      <c r="B35" s="40" t="s">
        <v>49</v>
      </c>
      <c r="C35" s="40" t="str">
        <f>VLOOKUP(B35,templateLookup!A:B,2,0)</f>
        <v>COMPOSITE</v>
      </c>
      <c r="D35" s="10" t="s">
        <v>282</v>
      </c>
      <c r="F35" t="s">
        <v>30</v>
      </c>
      <c r="V35" s="12"/>
      <c r="AS35">
        <f t="shared" si="5"/>
        <v>2</v>
      </c>
      <c r="AT35">
        <v>1</v>
      </c>
      <c r="AU35" t="str">
        <f>$D69</f>
        <v>CCF_VFDM</v>
      </c>
      <c r="AV35" t="str">
        <f>$D69</f>
        <v>CCF_VFDM</v>
      </c>
    </row>
    <row r="36" spans="1:56" x14ac:dyDescent="0.35">
      <c r="A36" s="12" t="s">
        <v>12</v>
      </c>
      <c r="B36" s="12" t="s">
        <v>54</v>
      </c>
      <c r="C36" s="12" t="str">
        <f>VLOOKUP(B36,templateLookup!A:B,2,0)</f>
        <v>PrimeMbistVminSearchTestMethod</v>
      </c>
      <c r="D36" t="str">
        <f t="shared" ref="D36:D67" si="6">E36&amp;"_"&amp;F36&amp;"_"&amp;G36&amp;"_"&amp;H36&amp;"_"&amp;A36&amp;"_"&amp;I36&amp;"_"&amp;J36&amp;"_"&amp;K36&amp;"_"&amp;L36&amp;"_"&amp;M36&amp;"_"&amp;N36</f>
        <v>SSA_CCF_HRY_E_BEGIN_TITO_CLRS_NOM_LFM_0400_CBO0_LLC_DAT_BISR_PMA0_BP0</v>
      </c>
      <c r="E36" t="s">
        <v>4</v>
      </c>
      <c r="F36" t="s">
        <v>22</v>
      </c>
      <c r="G36" t="s">
        <v>271</v>
      </c>
      <c r="H36" t="s">
        <v>207</v>
      </c>
      <c r="I36" t="s">
        <v>260</v>
      </c>
      <c r="J36" t="s">
        <v>283</v>
      </c>
      <c r="K36" t="s">
        <v>284</v>
      </c>
      <c r="L36" t="s">
        <v>285</v>
      </c>
      <c r="M36" t="str">
        <f>TEXT(400,"0000")</f>
        <v>0400</v>
      </c>
      <c r="N36" t="s">
        <v>286</v>
      </c>
      <c r="O36" t="s">
        <v>267</v>
      </c>
      <c r="P36" t="s">
        <v>287</v>
      </c>
      <c r="Q36" t="s">
        <v>288</v>
      </c>
      <c r="R36">
        <f>VLOOKUP(E36,binningRules!$B$6:$C$9,2,0)</f>
        <v>61</v>
      </c>
      <c r="S36">
        <v>10</v>
      </c>
      <c r="T36">
        <v>0</v>
      </c>
      <c r="U36">
        <v>-1</v>
      </c>
      <c r="V36" t="b">
        <v>0</v>
      </c>
      <c r="W36" t="s">
        <v>270</v>
      </c>
      <c r="X36" t="s">
        <v>271</v>
      </c>
      <c r="Y36" t="s">
        <v>272</v>
      </c>
      <c r="Z36">
        <v>0.85</v>
      </c>
      <c r="AA36">
        <v>0.85</v>
      </c>
      <c r="AS36">
        <f t="shared" si="5"/>
        <v>10</v>
      </c>
      <c r="AT36" t="s">
        <v>273</v>
      </c>
      <c r="AU36" t="str">
        <f t="shared" ref="AU36:AY64" si="7">$D37</f>
        <v>SSA_CCF_RASTER_E_BEGIN_TITO_CLRS_NOM_LFM_0400_CBO0_LLC_DAT_RASTER</v>
      </c>
      <c r="AV36" t="str">
        <f t="shared" ref="AV36:BD36" si="8">$D38</f>
        <v>SSA_CCF_HRY_E_BEGIN_TITO_CLRS_NOM_LFM_0400_CBO0_LLC_TAG_BISR_PMA0_BP2</v>
      </c>
      <c r="AW36" t="str">
        <f t="shared" si="8"/>
        <v>SSA_CCF_HRY_E_BEGIN_TITO_CLRS_NOM_LFM_0400_CBO0_LLC_TAG_BISR_PMA0_BP2</v>
      </c>
      <c r="AX36" t="str">
        <f t="shared" si="8"/>
        <v>SSA_CCF_HRY_E_BEGIN_TITO_CLRS_NOM_LFM_0400_CBO0_LLC_TAG_BISR_PMA0_BP2</v>
      </c>
      <c r="AY36" t="str">
        <f t="shared" si="8"/>
        <v>SSA_CCF_HRY_E_BEGIN_TITO_CLRS_NOM_LFM_0400_CBO0_LLC_TAG_BISR_PMA0_BP2</v>
      </c>
      <c r="AZ36" t="str">
        <f t="shared" si="8"/>
        <v>SSA_CCF_HRY_E_BEGIN_TITO_CLRS_NOM_LFM_0400_CBO0_LLC_TAG_BISR_PMA0_BP2</v>
      </c>
      <c r="BA36" t="str">
        <f t="shared" si="8"/>
        <v>SSA_CCF_HRY_E_BEGIN_TITO_CLRS_NOM_LFM_0400_CBO0_LLC_TAG_BISR_PMA0_BP2</v>
      </c>
      <c r="BB36" t="str">
        <f t="shared" si="8"/>
        <v>SSA_CCF_HRY_E_BEGIN_TITO_CLRS_NOM_LFM_0400_CBO0_LLC_TAG_BISR_PMA0_BP2</v>
      </c>
      <c r="BC36" t="str">
        <f t="shared" si="8"/>
        <v>SSA_CCF_HRY_E_BEGIN_TITO_CLRS_NOM_LFM_0400_CBO0_LLC_TAG_BISR_PMA0_BP2</v>
      </c>
      <c r="BD36" t="str">
        <f t="shared" si="8"/>
        <v>SSA_CCF_HRY_E_BEGIN_TITO_CLRS_NOM_LFM_0400_CBO0_LLC_TAG_BISR_PMA0_BP2</v>
      </c>
    </row>
    <row r="37" spans="1:56" x14ac:dyDescent="0.35">
      <c r="A37" s="12" t="s">
        <v>12</v>
      </c>
      <c r="B37" s="12" t="s">
        <v>56</v>
      </c>
      <c r="C37" s="12" t="str">
        <f>VLOOKUP(B37,templateLookup!A:B,2,0)</f>
        <v>MbistRasterTC</v>
      </c>
      <c r="D37" t="str">
        <f t="shared" si="6"/>
        <v>SSA_CCF_RASTER_E_BEGIN_TITO_CLRS_NOM_LFM_0400_CBO0_LLC_DAT_RASTER</v>
      </c>
      <c r="E37" t="s">
        <v>4</v>
      </c>
      <c r="F37" t="s">
        <v>22</v>
      </c>
      <c r="G37" t="s">
        <v>289</v>
      </c>
      <c r="H37" t="s">
        <v>207</v>
      </c>
      <c r="I37" t="s">
        <v>260</v>
      </c>
      <c r="J37" t="s">
        <v>283</v>
      </c>
      <c r="K37" t="s">
        <v>284</v>
      </c>
      <c r="L37" t="s">
        <v>285</v>
      </c>
      <c r="M37" t="str">
        <f t="shared" ref="M37:M67" si="9">TEXT(400,"0000")</f>
        <v>0400</v>
      </c>
      <c r="N37" t="s">
        <v>290</v>
      </c>
      <c r="O37" t="s">
        <v>267</v>
      </c>
      <c r="P37" t="s">
        <v>287</v>
      </c>
      <c r="Q37" t="s">
        <v>291</v>
      </c>
      <c r="R37">
        <f>VLOOKUP(E37,binningRules!$B$6:$C$9,2,0)</f>
        <v>61</v>
      </c>
      <c r="S37">
        <v>10</v>
      </c>
      <c r="T37">
        <v>1</v>
      </c>
      <c r="U37">
        <v>1</v>
      </c>
      <c r="V37" t="b">
        <v>0</v>
      </c>
      <c r="W37" t="s">
        <v>270</v>
      </c>
      <c r="AS37">
        <f t="shared" si="5"/>
        <v>5</v>
      </c>
      <c r="AT37">
        <v>1</v>
      </c>
      <c r="AU37" t="str">
        <f t="shared" si="7"/>
        <v>SSA_CCF_HRY_E_BEGIN_TITO_CLRS_NOM_LFM_0400_CBO0_LLC_TAG_BISR_PMA0_BP2</v>
      </c>
      <c r="AV37" t="str">
        <f>$D38</f>
        <v>SSA_CCF_HRY_E_BEGIN_TITO_CLRS_NOM_LFM_0400_CBO0_LLC_TAG_BISR_PMA0_BP2</v>
      </c>
      <c r="AW37" t="str">
        <f>$D38</f>
        <v>SSA_CCF_HRY_E_BEGIN_TITO_CLRS_NOM_LFM_0400_CBO0_LLC_TAG_BISR_PMA0_BP2</v>
      </c>
      <c r="AX37" t="str">
        <f>$D38</f>
        <v>SSA_CCF_HRY_E_BEGIN_TITO_CLRS_NOM_LFM_0400_CBO0_LLC_TAG_BISR_PMA0_BP2</v>
      </c>
      <c r="AY37" t="str">
        <f>$D38</f>
        <v>SSA_CCF_HRY_E_BEGIN_TITO_CLRS_NOM_LFM_0400_CBO0_LLC_TAG_BISR_PMA0_BP2</v>
      </c>
    </row>
    <row r="38" spans="1:56" x14ac:dyDescent="0.35">
      <c r="A38" s="12" t="s">
        <v>12</v>
      </c>
      <c r="B38" s="12" t="s">
        <v>54</v>
      </c>
      <c r="C38" s="12" t="str">
        <f>VLOOKUP(B38,templateLookup!A:B,2,0)</f>
        <v>PrimeMbistVminSearchTestMethod</v>
      </c>
      <c r="D38" t="str">
        <f t="shared" si="6"/>
        <v>SSA_CCF_HRY_E_BEGIN_TITO_CLRS_NOM_LFM_0400_CBO0_LLC_TAG_BISR_PMA0_BP2</v>
      </c>
      <c r="E38" t="s">
        <v>4</v>
      </c>
      <c r="F38" t="s">
        <v>22</v>
      </c>
      <c r="G38" t="s">
        <v>271</v>
      </c>
      <c r="H38" t="s">
        <v>207</v>
      </c>
      <c r="I38" t="s">
        <v>260</v>
      </c>
      <c r="J38" t="s">
        <v>283</v>
      </c>
      <c r="K38" t="s">
        <v>284</v>
      </c>
      <c r="L38" t="s">
        <v>285</v>
      </c>
      <c r="M38" t="str">
        <f t="shared" si="9"/>
        <v>0400</v>
      </c>
      <c r="N38" t="s">
        <v>292</v>
      </c>
      <c r="O38" t="s">
        <v>267</v>
      </c>
      <c r="P38" t="s">
        <v>287</v>
      </c>
      <c r="Q38" t="s">
        <v>293</v>
      </c>
      <c r="R38">
        <f>VLOOKUP(E38,binningRules!$B$6:$C$9,2,0)</f>
        <v>61</v>
      </c>
      <c r="S38">
        <v>10</v>
      </c>
      <c r="T38">
        <v>2</v>
      </c>
      <c r="U38">
        <v>-1</v>
      </c>
      <c r="V38" s="12" t="b">
        <v>0</v>
      </c>
      <c r="W38" t="s">
        <v>270</v>
      </c>
      <c r="X38" t="s">
        <v>271</v>
      </c>
      <c r="Y38" t="s">
        <v>272</v>
      </c>
      <c r="Z38">
        <v>0.85</v>
      </c>
      <c r="AA38">
        <v>0.85</v>
      </c>
      <c r="AS38">
        <f t="shared" si="5"/>
        <v>10</v>
      </c>
      <c r="AT38" t="s">
        <v>273</v>
      </c>
      <c r="AU38" t="str">
        <f t="shared" si="7"/>
        <v>SSA_CCF_RASTER_E_BEGIN_TITO_CLRS_NOM_LFM_0400_CBO0_LLC_TAG_RASTER</v>
      </c>
      <c r="AV38" t="str">
        <f t="shared" ref="AV38:BD38" si="10">$D40</f>
        <v>SSA_CCF_HRY_E_BEGIN_TITO_SAN_NOM_LFM_0400_CBO0_SAR_BISR_PMA0_BP6</v>
      </c>
      <c r="AW38" t="str">
        <f t="shared" si="10"/>
        <v>SSA_CCF_HRY_E_BEGIN_TITO_SAN_NOM_LFM_0400_CBO0_SAR_BISR_PMA0_BP6</v>
      </c>
      <c r="AX38" t="str">
        <f t="shared" si="10"/>
        <v>SSA_CCF_HRY_E_BEGIN_TITO_SAN_NOM_LFM_0400_CBO0_SAR_BISR_PMA0_BP6</v>
      </c>
      <c r="AY38" t="str">
        <f t="shared" si="10"/>
        <v>SSA_CCF_HRY_E_BEGIN_TITO_SAN_NOM_LFM_0400_CBO0_SAR_BISR_PMA0_BP6</v>
      </c>
      <c r="AZ38" t="str">
        <f t="shared" si="10"/>
        <v>SSA_CCF_HRY_E_BEGIN_TITO_SAN_NOM_LFM_0400_CBO0_SAR_BISR_PMA0_BP6</v>
      </c>
      <c r="BA38" t="str">
        <f t="shared" si="10"/>
        <v>SSA_CCF_HRY_E_BEGIN_TITO_SAN_NOM_LFM_0400_CBO0_SAR_BISR_PMA0_BP6</v>
      </c>
      <c r="BB38" t="str">
        <f t="shared" si="10"/>
        <v>SSA_CCF_HRY_E_BEGIN_TITO_SAN_NOM_LFM_0400_CBO0_SAR_BISR_PMA0_BP6</v>
      </c>
      <c r="BC38" t="str">
        <f t="shared" si="10"/>
        <v>SSA_CCF_HRY_E_BEGIN_TITO_SAN_NOM_LFM_0400_CBO0_SAR_BISR_PMA0_BP6</v>
      </c>
      <c r="BD38" t="str">
        <f t="shared" si="10"/>
        <v>SSA_CCF_HRY_E_BEGIN_TITO_SAN_NOM_LFM_0400_CBO0_SAR_BISR_PMA0_BP6</v>
      </c>
    </row>
    <row r="39" spans="1:56" x14ac:dyDescent="0.35">
      <c r="A39" s="12" t="s">
        <v>12</v>
      </c>
      <c r="B39" s="12" t="s">
        <v>56</v>
      </c>
      <c r="C39" s="12" t="str">
        <f>VLOOKUP(B39,templateLookup!A:B,2,0)</f>
        <v>MbistRasterTC</v>
      </c>
      <c r="D39" t="str">
        <f t="shared" si="6"/>
        <v>SSA_CCF_RASTER_E_BEGIN_TITO_CLRS_NOM_LFM_0400_CBO0_LLC_TAG_RASTER</v>
      </c>
      <c r="E39" t="s">
        <v>4</v>
      </c>
      <c r="F39" t="s">
        <v>22</v>
      </c>
      <c r="G39" t="s">
        <v>289</v>
      </c>
      <c r="H39" t="s">
        <v>207</v>
      </c>
      <c r="I39" t="s">
        <v>260</v>
      </c>
      <c r="J39" t="s">
        <v>283</v>
      </c>
      <c r="K39" t="s">
        <v>284</v>
      </c>
      <c r="L39" t="s">
        <v>285</v>
      </c>
      <c r="M39" t="str">
        <f t="shared" si="9"/>
        <v>0400</v>
      </c>
      <c r="N39" t="s">
        <v>294</v>
      </c>
      <c r="O39" t="s">
        <v>267</v>
      </c>
      <c r="P39" t="s">
        <v>287</v>
      </c>
      <c r="Q39" t="s">
        <v>291</v>
      </c>
      <c r="R39">
        <f>VLOOKUP(E39,binningRules!$B$6:$C$9,2,0)</f>
        <v>61</v>
      </c>
      <c r="S39">
        <v>10</v>
      </c>
      <c r="T39">
        <v>3</v>
      </c>
      <c r="U39">
        <v>1</v>
      </c>
      <c r="V39" t="b">
        <v>0</v>
      </c>
      <c r="W39" t="s">
        <v>270</v>
      </c>
      <c r="AS39">
        <f t="shared" si="5"/>
        <v>5</v>
      </c>
      <c r="AT39">
        <v>1</v>
      </c>
      <c r="AU39" t="str">
        <f t="shared" si="7"/>
        <v>SSA_CCF_HRY_E_BEGIN_TITO_SAN_NOM_LFM_0400_CBO0_SAR_BISR_PMA0_BP6</v>
      </c>
      <c r="AV39" t="str">
        <f>$D40</f>
        <v>SSA_CCF_HRY_E_BEGIN_TITO_SAN_NOM_LFM_0400_CBO0_SAR_BISR_PMA0_BP6</v>
      </c>
      <c r="AW39" t="str">
        <f>$D40</f>
        <v>SSA_CCF_HRY_E_BEGIN_TITO_SAN_NOM_LFM_0400_CBO0_SAR_BISR_PMA0_BP6</v>
      </c>
      <c r="AX39" t="str">
        <f>$D40</f>
        <v>SSA_CCF_HRY_E_BEGIN_TITO_SAN_NOM_LFM_0400_CBO0_SAR_BISR_PMA0_BP6</v>
      </c>
      <c r="AY39" t="str">
        <f>$D40</f>
        <v>SSA_CCF_HRY_E_BEGIN_TITO_SAN_NOM_LFM_0400_CBO0_SAR_BISR_PMA0_BP6</v>
      </c>
    </row>
    <row r="40" spans="1:56" x14ac:dyDescent="0.35">
      <c r="A40" s="12" t="s">
        <v>12</v>
      </c>
      <c r="B40" s="12" t="s">
        <v>54</v>
      </c>
      <c r="C40" s="12" t="str">
        <f>VLOOKUP(B40,templateLookup!A:B,2,0)</f>
        <v>PrimeMbistVminSearchTestMethod</v>
      </c>
      <c r="D40" t="str">
        <f t="shared" si="6"/>
        <v>SSA_CCF_HRY_E_BEGIN_TITO_SAN_NOM_LFM_0400_CBO0_SAR_BISR_PMA0_BP6</v>
      </c>
      <c r="E40" t="s">
        <v>4</v>
      </c>
      <c r="F40" t="s">
        <v>22</v>
      </c>
      <c r="G40" t="s">
        <v>271</v>
      </c>
      <c r="H40" t="s">
        <v>207</v>
      </c>
      <c r="I40" t="s">
        <v>260</v>
      </c>
      <c r="J40" t="s">
        <v>295</v>
      </c>
      <c r="K40" t="s">
        <v>284</v>
      </c>
      <c r="L40" t="s">
        <v>285</v>
      </c>
      <c r="M40" t="str">
        <f t="shared" si="9"/>
        <v>0400</v>
      </c>
      <c r="N40" t="s">
        <v>296</v>
      </c>
      <c r="O40" t="s">
        <v>267</v>
      </c>
      <c r="P40" t="s">
        <v>287</v>
      </c>
      <c r="Q40" t="s">
        <v>297</v>
      </c>
      <c r="R40">
        <f>VLOOKUP(E40,binningRules!$B$6:$C$9,2,0)</f>
        <v>61</v>
      </c>
      <c r="S40">
        <v>10</v>
      </c>
      <c r="T40">
        <v>4</v>
      </c>
      <c r="U40">
        <v>-1</v>
      </c>
      <c r="V40" t="b">
        <v>0</v>
      </c>
      <c r="W40" t="s">
        <v>298</v>
      </c>
      <c r="X40" t="s">
        <v>271</v>
      </c>
      <c r="Y40" t="s">
        <v>272</v>
      </c>
      <c r="Z40">
        <v>0.85</v>
      </c>
      <c r="AA40">
        <v>0.85</v>
      </c>
      <c r="AS40">
        <f t="shared" si="5"/>
        <v>10</v>
      </c>
      <c r="AT40" t="s">
        <v>273</v>
      </c>
      <c r="AU40" t="str">
        <f t="shared" si="7"/>
        <v>SSA_CCF_RASTER_E_BEGIN_TITO_SAN_NOM_LFM_0400_CBO0_SAR_RASTER</v>
      </c>
      <c r="AV40" t="str">
        <f t="shared" ref="AV40:BD40" si="11">$D42</f>
        <v>LSA_CCF_HRY_E_BEGIN_TITO_CLR_NOM_LFM_0400_CBO0_LSA_ALL_PMA0_BP4</v>
      </c>
      <c r="AW40" t="str">
        <f t="shared" si="11"/>
        <v>LSA_CCF_HRY_E_BEGIN_TITO_CLR_NOM_LFM_0400_CBO0_LSA_ALL_PMA0_BP4</v>
      </c>
      <c r="AX40" t="str">
        <f t="shared" si="11"/>
        <v>LSA_CCF_HRY_E_BEGIN_TITO_CLR_NOM_LFM_0400_CBO0_LSA_ALL_PMA0_BP4</v>
      </c>
      <c r="AY40" t="str">
        <f t="shared" si="11"/>
        <v>LSA_CCF_HRY_E_BEGIN_TITO_CLR_NOM_LFM_0400_CBO0_LSA_ALL_PMA0_BP4</v>
      </c>
      <c r="AZ40" t="str">
        <f t="shared" si="11"/>
        <v>LSA_CCF_HRY_E_BEGIN_TITO_CLR_NOM_LFM_0400_CBO0_LSA_ALL_PMA0_BP4</v>
      </c>
      <c r="BA40" t="str">
        <f t="shared" si="11"/>
        <v>LSA_CCF_HRY_E_BEGIN_TITO_CLR_NOM_LFM_0400_CBO0_LSA_ALL_PMA0_BP4</v>
      </c>
      <c r="BB40" t="str">
        <f t="shared" si="11"/>
        <v>LSA_CCF_HRY_E_BEGIN_TITO_CLR_NOM_LFM_0400_CBO0_LSA_ALL_PMA0_BP4</v>
      </c>
      <c r="BC40" t="str">
        <f t="shared" si="11"/>
        <v>LSA_CCF_HRY_E_BEGIN_TITO_CLR_NOM_LFM_0400_CBO0_LSA_ALL_PMA0_BP4</v>
      </c>
      <c r="BD40" t="str">
        <f t="shared" si="11"/>
        <v>LSA_CCF_HRY_E_BEGIN_TITO_CLR_NOM_LFM_0400_CBO0_LSA_ALL_PMA0_BP4</v>
      </c>
    </row>
    <row r="41" spans="1:56" x14ac:dyDescent="0.35">
      <c r="A41" s="12" t="s">
        <v>12</v>
      </c>
      <c r="B41" s="12" t="s">
        <v>56</v>
      </c>
      <c r="C41" s="12" t="str">
        <f>VLOOKUP(B41,templateLookup!A:B,2,0)</f>
        <v>MbistRasterTC</v>
      </c>
      <c r="D41" t="str">
        <f t="shared" si="6"/>
        <v>SSA_CCF_RASTER_E_BEGIN_TITO_SAN_NOM_LFM_0400_CBO0_SAR_RASTER</v>
      </c>
      <c r="E41" t="s">
        <v>4</v>
      </c>
      <c r="F41" t="s">
        <v>22</v>
      </c>
      <c r="G41" t="s">
        <v>289</v>
      </c>
      <c r="H41" t="s">
        <v>207</v>
      </c>
      <c r="I41" t="s">
        <v>260</v>
      </c>
      <c r="J41" t="s">
        <v>295</v>
      </c>
      <c r="K41" t="s">
        <v>284</v>
      </c>
      <c r="L41" t="s">
        <v>285</v>
      </c>
      <c r="M41" t="str">
        <f t="shared" si="9"/>
        <v>0400</v>
      </c>
      <c r="N41" t="s">
        <v>299</v>
      </c>
      <c r="O41" t="s">
        <v>267</v>
      </c>
      <c r="P41" t="s">
        <v>287</v>
      </c>
      <c r="Q41" t="s">
        <v>291</v>
      </c>
      <c r="R41">
        <f>VLOOKUP(E41,binningRules!$B$6:$C$9,2,0)</f>
        <v>61</v>
      </c>
      <c r="S41">
        <v>10</v>
      </c>
      <c r="T41">
        <v>5</v>
      </c>
      <c r="U41">
        <v>1</v>
      </c>
      <c r="V41" s="12" t="b">
        <v>0</v>
      </c>
      <c r="W41" t="s">
        <v>298</v>
      </c>
      <c r="AS41">
        <f t="shared" si="5"/>
        <v>5</v>
      </c>
      <c r="AT41">
        <v>1</v>
      </c>
      <c r="AU41" t="str">
        <f t="shared" si="7"/>
        <v>LSA_CCF_HRY_E_BEGIN_TITO_CLR_NOM_LFM_0400_CBO0_LSA_ALL_PMA0_BP4</v>
      </c>
      <c r="AV41" t="str">
        <f>$D42</f>
        <v>LSA_CCF_HRY_E_BEGIN_TITO_CLR_NOM_LFM_0400_CBO0_LSA_ALL_PMA0_BP4</v>
      </c>
      <c r="AW41" t="str">
        <f>$D42</f>
        <v>LSA_CCF_HRY_E_BEGIN_TITO_CLR_NOM_LFM_0400_CBO0_LSA_ALL_PMA0_BP4</v>
      </c>
      <c r="AX41" t="str">
        <f>$D42</f>
        <v>LSA_CCF_HRY_E_BEGIN_TITO_CLR_NOM_LFM_0400_CBO0_LSA_ALL_PMA0_BP4</v>
      </c>
      <c r="AY41" t="str">
        <f>$D42</f>
        <v>LSA_CCF_HRY_E_BEGIN_TITO_CLR_NOM_LFM_0400_CBO0_LSA_ALL_PMA0_BP4</v>
      </c>
    </row>
    <row r="42" spans="1:56" x14ac:dyDescent="0.35">
      <c r="A42" s="12" t="s">
        <v>12</v>
      </c>
      <c r="B42" s="12" t="s">
        <v>54</v>
      </c>
      <c r="C42" s="12" t="str">
        <f>VLOOKUP(B42,templateLookup!A:B,2,0)</f>
        <v>PrimeMbistVminSearchTestMethod</v>
      </c>
      <c r="D42" t="str">
        <f t="shared" si="6"/>
        <v>LSA_CCF_HRY_E_BEGIN_TITO_CLR_NOM_LFM_0400_CBO0_LSA_ALL_PMA0_BP4</v>
      </c>
      <c r="E42" t="s">
        <v>5</v>
      </c>
      <c r="F42" t="s">
        <v>22</v>
      </c>
      <c r="G42" t="s">
        <v>271</v>
      </c>
      <c r="H42" t="s">
        <v>207</v>
      </c>
      <c r="I42" t="s">
        <v>260</v>
      </c>
      <c r="J42" t="s">
        <v>300</v>
      </c>
      <c r="K42" t="s">
        <v>284</v>
      </c>
      <c r="L42" t="s">
        <v>285</v>
      </c>
      <c r="M42" t="str">
        <f t="shared" si="9"/>
        <v>0400</v>
      </c>
      <c r="N42" t="s">
        <v>301</v>
      </c>
      <c r="O42" t="s">
        <v>267</v>
      </c>
      <c r="P42" t="s">
        <v>287</v>
      </c>
      <c r="Q42" t="s">
        <v>302</v>
      </c>
      <c r="R42">
        <f>VLOOKUP(E42,binningRules!$B$6:$C$9,2,0)</f>
        <v>21</v>
      </c>
      <c r="S42">
        <v>10</v>
      </c>
      <c r="T42">
        <v>6</v>
      </c>
      <c r="U42">
        <v>-1</v>
      </c>
      <c r="V42" t="b">
        <v>0</v>
      </c>
      <c r="W42" t="s">
        <v>270</v>
      </c>
      <c r="X42" t="s">
        <v>271</v>
      </c>
      <c r="Y42" t="s">
        <v>272</v>
      </c>
      <c r="Z42">
        <v>0.85</v>
      </c>
      <c r="AA42">
        <v>0.85</v>
      </c>
      <c r="AS42">
        <f t="shared" si="5"/>
        <v>10</v>
      </c>
      <c r="AT42" t="s">
        <v>273</v>
      </c>
      <c r="AU42" t="str">
        <f t="shared" si="7"/>
        <v>LSA_CCF_RASTER_E_BEGIN_TITO_CLR_NOM_LFM_0400_CBO0_LSA_ALL_STEP0</v>
      </c>
      <c r="AV42" t="str">
        <f t="shared" ref="AV42:BD42" si="12">$D45</f>
        <v>SSA_CCF_HRY_E_BEGIN_TITO_CLRS_NOM_LFM_0400_CBO1_LLC_DAT_BISR_PMA0_BP1</v>
      </c>
      <c r="AW42" t="str">
        <f t="shared" si="7"/>
        <v>LSA_CCF_RASTER_E_BEGIN_TITO_CLR_NOM_LFM_0400_CBO0_LSA_ALL_STEP0</v>
      </c>
      <c r="AX42" t="str">
        <f t="shared" si="7"/>
        <v>LSA_CCF_RASTER_E_BEGIN_TITO_CLR_NOM_LFM_0400_CBO0_LSA_ALL_STEP0</v>
      </c>
      <c r="AY42" t="str">
        <f t="shared" si="7"/>
        <v>LSA_CCF_RASTER_E_BEGIN_TITO_CLR_NOM_LFM_0400_CBO0_LSA_ALL_STEP0</v>
      </c>
      <c r="AZ42" t="str">
        <f t="shared" si="12"/>
        <v>SSA_CCF_HRY_E_BEGIN_TITO_CLRS_NOM_LFM_0400_CBO1_LLC_DAT_BISR_PMA0_BP1</v>
      </c>
      <c r="BA42" t="str">
        <f t="shared" si="12"/>
        <v>SSA_CCF_HRY_E_BEGIN_TITO_CLRS_NOM_LFM_0400_CBO1_LLC_DAT_BISR_PMA0_BP1</v>
      </c>
      <c r="BB42" t="str">
        <f t="shared" si="12"/>
        <v>SSA_CCF_HRY_E_BEGIN_TITO_CLRS_NOM_LFM_0400_CBO1_LLC_DAT_BISR_PMA0_BP1</v>
      </c>
      <c r="BC42" t="str">
        <f t="shared" si="12"/>
        <v>SSA_CCF_HRY_E_BEGIN_TITO_CLRS_NOM_LFM_0400_CBO1_LLC_DAT_BISR_PMA0_BP1</v>
      </c>
      <c r="BD42" t="str">
        <f t="shared" si="12"/>
        <v>SSA_CCF_HRY_E_BEGIN_TITO_CLRS_NOM_LFM_0400_CBO1_LLC_DAT_BISR_PMA0_BP1</v>
      </c>
    </row>
    <row r="43" spans="1:56" x14ac:dyDescent="0.35">
      <c r="A43" s="12" t="s">
        <v>12</v>
      </c>
      <c r="B43" s="12" t="s">
        <v>56</v>
      </c>
      <c r="C43" s="12" t="str">
        <f>VLOOKUP(B43,templateLookup!A:B,2,0)</f>
        <v>MbistRasterTC</v>
      </c>
      <c r="D43" s="46" t="str">
        <f t="shared" si="6"/>
        <v>LSA_CCF_RASTER_E_BEGIN_TITO_CLR_NOM_LFM_0400_CBO0_LSA_ALL_STEP0</v>
      </c>
      <c r="E43" t="s">
        <v>5</v>
      </c>
      <c r="F43" t="s">
        <v>22</v>
      </c>
      <c r="G43" t="s">
        <v>289</v>
      </c>
      <c r="H43" t="s">
        <v>207</v>
      </c>
      <c r="I43" t="s">
        <v>260</v>
      </c>
      <c r="J43" t="s">
        <v>300</v>
      </c>
      <c r="K43" t="s">
        <v>284</v>
      </c>
      <c r="L43" t="s">
        <v>285</v>
      </c>
      <c r="M43" t="str">
        <f t="shared" si="9"/>
        <v>0400</v>
      </c>
      <c r="N43" t="s">
        <v>303</v>
      </c>
      <c r="O43" t="s">
        <v>267</v>
      </c>
      <c r="P43" t="s">
        <v>287</v>
      </c>
      <c r="Q43" t="s">
        <v>304</v>
      </c>
      <c r="R43">
        <f>VLOOKUP(E43,binningRules!$B$6:$C$9,2,0)</f>
        <v>21</v>
      </c>
      <c r="S43">
        <v>10</v>
      </c>
      <c r="T43">
        <v>7</v>
      </c>
      <c r="U43">
        <v>-1</v>
      </c>
      <c r="V43" t="b">
        <v>0</v>
      </c>
      <c r="W43" t="s">
        <v>270</v>
      </c>
      <c r="AS43">
        <f t="shared" si="5"/>
        <v>5</v>
      </c>
      <c r="AT43">
        <v>1</v>
      </c>
      <c r="AU43" t="str">
        <f t="shared" ref="AU43:AY44" si="13">$D44</f>
        <v>LSA_CCF_RASTER_E_BEGIN_TITO_CLR_NOM_LFM_0400_CBO0_LSA_ALL_STEP1</v>
      </c>
      <c r="AV43" t="str">
        <f t="shared" si="13"/>
        <v>LSA_CCF_RASTER_E_BEGIN_TITO_CLR_NOM_LFM_0400_CBO0_LSA_ALL_STEP1</v>
      </c>
      <c r="AW43" t="str">
        <f t="shared" si="13"/>
        <v>LSA_CCF_RASTER_E_BEGIN_TITO_CLR_NOM_LFM_0400_CBO0_LSA_ALL_STEP1</v>
      </c>
      <c r="AX43" t="str">
        <f t="shared" si="13"/>
        <v>LSA_CCF_RASTER_E_BEGIN_TITO_CLR_NOM_LFM_0400_CBO0_LSA_ALL_STEP1</v>
      </c>
      <c r="AY43" t="str">
        <f t="shared" si="13"/>
        <v>LSA_CCF_RASTER_E_BEGIN_TITO_CLR_NOM_LFM_0400_CBO0_LSA_ALL_STEP1</v>
      </c>
    </row>
    <row r="44" spans="1:56" x14ac:dyDescent="0.35">
      <c r="A44" s="12" t="s">
        <v>12</v>
      </c>
      <c r="B44" s="12" t="s">
        <v>56</v>
      </c>
      <c r="C44" s="12" t="str">
        <f>VLOOKUP(B44,templateLookup!A:B,2,0)</f>
        <v>MbistRasterTC</v>
      </c>
      <c r="D44" s="46" t="str">
        <f t="shared" ref="D44" si="14">E44&amp;"_"&amp;F44&amp;"_"&amp;G44&amp;"_"&amp;H44&amp;"_"&amp;A44&amp;"_"&amp;I44&amp;"_"&amp;J44&amp;"_"&amp;K44&amp;"_"&amp;L44&amp;"_"&amp;M44&amp;"_"&amp;N44</f>
        <v>LSA_CCF_RASTER_E_BEGIN_TITO_CLR_NOM_LFM_0400_CBO0_LSA_ALL_STEP1</v>
      </c>
      <c r="E44" t="s">
        <v>5</v>
      </c>
      <c r="F44" t="s">
        <v>22</v>
      </c>
      <c r="G44" t="s">
        <v>289</v>
      </c>
      <c r="H44" t="s">
        <v>207</v>
      </c>
      <c r="I44" t="s">
        <v>260</v>
      </c>
      <c r="J44" t="s">
        <v>300</v>
      </c>
      <c r="K44" t="s">
        <v>284</v>
      </c>
      <c r="L44" t="s">
        <v>285</v>
      </c>
      <c r="M44" t="str">
        <f t="shared" si="9"/>
        <v>0400</v>
      </c>
      <c r="N44" t="s">
        <v>305</v>
      </c>
      <c r="O44" t="s">
        <v>267</v>
      </c>
      <c r="P44" t="s">
        <v>287</v>
      </c>
      <c r="Q44" t="s">
        <v>306</v>
      </c>
      <c r="R44">
        <f>VLOOKUP(E44,binningRules!$B$6:$C$9,2,0)</f>
        <v>21</v>
      </c>
      <c r="S44">
        <v>10</v>
      </c>
      <c r="T44">
        <v>8</v>
      </c>
      <c r="U44">
        <v>-1</v>
      </c>
      <c r="V44" t="b">
        <v>0</v>
      </c>
      <c r="W44" t="s">
        <v>270</v>
      </c>
      <c r="AS44">
        <f t="shared" ref="AS44" si="15">COUNTA(AU44:BD44)</f>
        <v>5</v>
      </c>
      <c r="AT44">
        <v>1</v>
      </c>
      <c r="AU44" t="str">
        <f t="shared" si="13"/>
        <v>SSA_CCF_HRY_E_BEGIN_TITO_CLRS_NOM_LFM_0400_CBO1_LLC_DAT_BISR_PMA0_BP1</v>
      </c>
      <c r="AV44" t="str">
        <f t="shared" si="13"/>
        <v>SSA_CCF_HRY_E_BEGIN_TITO_CLRS_NOM_LFM_0400_CBO1_LLC_DAT_BISR_PMA0_BP1</v>
      </c>
      <c r="AW44" t="str">
        <f t="shared" si="13"/>
        <v>SSA_CCF_HRY_E_BEGIN_TITO_CLRS_NOM_LFM_0400_CBO1_LLC_DAT_BISR_PMA0_BP1</v>
      </c>
      <c r="AX44" t="str">
        <f t="shared" si="13"/>
        <v>SSA_CCF_HRY_E_BEGIN_TITO_CLRS_NOM_LFM_0400_CBO1_LLC_DAT_BISR_PMA0_BP1</v>
      </c>
      <c r="AY44" t="str">
        <f t="shared" si="13"/>
        <v>SSA_CCF_HRY_E_BEGIN_TITO_CLRS_NOM_LFM_0400_CBO1_LLC_DAT_BISR_PMA0_BP1</v>
      </c>
    </row>
    <row r="45" spans="1:56" x14ac:dyDescent="0.35">
      <c r="A45" s="12" t="s">
        <v>12</v>
      </c>
      <c r="B45" s="12" t="s">
        <v>54</v>
      </c>
      <c r="C45" s="12" t="str">
        <f>VLOOKUP(B45,templateLookup!A:B,2,0)</f>
        <v>PrimeMbistVminSearchTestMethod</v>
      </c>
      <c r="D45" t="str">
        <f t="shared" si="6"/>
        <v>SSA_CCF_HRY_E_BEGIN_TITO_CLRS_NOM_LFM_0400_CBO1_LLC_DAT_BISR_PMA0_BP1</v>
      </c>
      <c r="E45" t="s">
        <v>4</v>
      </c>
      <c r="F45" t="s">
        <v>22</v>
      </c>
      <c r="G45" t="s">
        <v>271</v>
      </c>
      <c r="H45" t="s">
        <v>207</v>
      </c>
      <c r="I45" t="s">
        <v>260</v>
      </c>
      <c r="J45" t="s">
        <v>283</v>
      </c>
      <c r="K45" t="s">
        <v>284</v>
      </c>
      <c r="L45" t="s">
        <v>285</v>
      </c>
      <c r="M45" t="str">
        <f t="shared" si="9"/>
        <v>0400</v>
      </c>
      <c r="N45" t="s">
        <v>307</v>
      </c>
      <c r="O45" t="s">
        <v>267</v>
      </c>
      <c r="P45" t="s">
        <v>287</v>
      </c>
      <c r="Q45" t="s">
        <v>308</v>
      </c>
      <c r="R45">
        <f>VLOOKUP(E45,binningRules!$B$6:$C$9,2,0)</f>
        <v>61</v>
      </c>
      <c r="S45">
        <v>10</v>
      </c>
      <c r="T45">
        <v>9</v>
      </c>
      <c r="U45">
        <v>-1</v>
      </c>
      <c r="V45" s="12" t="b">
        <v>0</v>
      </c>
      <c r="W45" t="s">
        <v>270</v>
      </c>
      <c r="X45" t="s">
        <v>271</v>
      </c>
      <c r="Y45" t="s">
        <v>272</v>
      </c>
      <c r="Z45">
        <v>0.85</v>
      </c>
      <c r="AA45">
        <v>0.85</v>
      </c>
      <c r="AS45">
        <f t="shared" si="5"/>
        <v>10</v>
      </c>
      <c r="AT45" t="s">
        <v>273</v>
      </c>
      <c r="AU45" t="str">
        <f t="shared" si="7"/>
        <v>SSA_CCF_RASTER_E_BEGIN_TITO_CLRS_NOM_LFM_0400_CBO1_LLC_DAT_RASTER</v>
      </c>
      <c r="AV45" t="str">
        <f t="shared" ref="AV45:BD45" si="16">$D47</f>
        <v>SSA_CCF_HRY_E_BEGIN_TITO_CLRS_NOM_LFM_0400_CBO1_LLC_TAG_BISR_PMA0_BP3</v>
      </c>
      <c r="AW45" t="str">
        <f t="shared" si="16"/>
        <v>SSA_CCF_HRY_E_BEGIN_TITO_CLRS_NOM_LFM_0400_CBO1_LLC_TAG_BISR_PMA0_BP3</v>
      </c>
      <c r="AX45" t="str">
        <f t="shared" si="16"/>
        <v>SSA_CCF_HRY_E_BEGIN_TITO_CLRS_NOM_LFM_0400_CBO1_LLC_TAG_BISR_PMA0_BP3</v>
      </c>
      <c r="AY45" t="str">
        <f t="shared" si="16"/>
        <v>SSA_CCF_HRY_E_BEGIN_TITO_CLRS_NOM_LFM_0400_CBO1_LLC_TAG_BISR_PMA0_BP3</v>
      </c>
      <c r="AZ45" t="str">
        <f t="shared" si="16"/>
        <v>SSA_CCF_HRY_E_BEGIN_TITO_CLRS_NOM_LFM_0400_CBO1_LLC_TAG_BISR_PMA0_BP3</v>
      </c>
      <c r="BA45" t="str">
        <f t="shared" si="16"/>
        <v>SSA_CCF_HRY_E_BEGIN_TITO_CLRS_NOM_LFM_0400_CBO1_LLC_TAG_BISR_PMA0_BP3</v>
      </c>
      <c r="BB45" t="str">
        <f t="shared" si="16"/>
        <v>SSA_CCF_HRY_E_BEGIN_TITO_CLRS_NOM_LFM_0400_CBO1_LLC_TAG_BISR_PMA0_BP3</v>
      </c>
      <c r="BC45" t="str">
        <f t="shared" si="16"/>
        <v>SSA_CCF_HRY_E_BEGIN_TITO_CLRS_NOM_LFM_0400_CBO1_LLC_TAG_BISR_PMA0_BP3</v>
      </c>
      <c r="BD45" t="str">
        <f t="shared" si="16"/>
        <v>SSA_CCF_HRY_E_BEGIN_TITO_CLRS_NOM_LFM_0400_CBO1_LLC_TAG_BISR_PMA0_BP3</v>
      </c>
    </row>
    <row r="46" spans="1:56" x14ac:dyDescent="0.35">
      <c r="A46" s="12" t="s">
        <v>12</v>
      </c>
      <c r="B46" s="12" t="s">
        <v>56</v>
      </c>
      <c r="C46" s="12" t="str">
        <f>VLOOKUP(B46,templateLookup!A:B,2,0)</f>
        <v>MbistRasterTC</v>
      </c>
      <c r="D46" t="str">
        <f t="shared" si="6"/>
        <v>SSA_CCF_RASTER_E_BEGIN_TITO_CLRS_NOM_LFM_0400_CBO1_LLC_DAT_RASTER</v>
      </c>
      <c r="E46" t="s">
        <v>4</v>
      </c>
      <c r="F46" t="s">
        <v>22</v>
      </c>
      <c r="G46" t="s">
        <v>289</v>
      </c>
      <c r="H46" t="s">
        <v>207</v>
      </c>
      <c r="I46" t="s">
        <v>260</v>
      </c>
      <c r="J46" t="s">
        <v>283</v>
      </c>
      <c r="K46" t="s">
        <v>284</v>
      </c>
      <c r="L46" t="s">
        <v>285</v>
      </c>
      <c r="M46" t="str">
        <f t="shared" si="9"/>
        <v>0400</v>
      </c>
      <c r="N46" t="s">
        <v>309</v>
      </c>
      <c r="O46" t="s">
        <v>267</v>
      </c>
      <c r="P46" t="s">
        <v>287</v>
      </c>
      <c r="Q46" t="s">
        <v>291</v>
      </c>
      <c r="R46">
        <f>VLOOKUP(E46,binningRules!$B$6:$C$9,2,0)</f>
        <v>61</v>
      </c>
      <c r="S46">
        <v>10</v>
      </c>
      <c r="T46">
        <v>10</v>
      </c>
      <c r="U46">
        <v>1</v>
      </c>
      <c r="V46" t="b">
        <v>0</v>
      </c>
      <c r="W46" t="s">
        <v>270</v>
      </c>
      <c r="AS46">
        <f t="shared" si="5"/>
        <v>5</v>
      </c>
      <c r="AT46">
        <v>1</v>
      </c>
      <c r="AU46" t="str">
        <f t="shared" si="7"/>
        <v>SSA_CCF_HRY_E_BEGIN_TITO_CLRS_NOM_LFM_0400_CBO1_LLC_TAG_BISR_PMA0_BP3</v>
      </c>
      <c r="AV46" t="str">
        <f>$D47</f>
        <v>SSA_CCF_HRY_E_BEGIN_TITO_CLRS_NOM_LFM_0400_CBO1_LLC_TAG_BISR_PMA0_BP3</v>
      </c>
      <c r="AW46" t="str">
        <f>$D47</f>
        <v>SSA_CCF_HRY_E_BEGIN_TITO_CLRS_NOM_LFM_0400_CBO1_LLC_TAG_BISR_PMA0_BP3</v>
      </c>
      <c r="AX46" t="str">
        <f>$D47</f>
        <v>SSA_CCF_HRY_E_BEGIN_TITO_CLRS_NOM_LFM_0400_CBO1_LLC_TAG_BISR_PMA0_BP3</v>
      </c>
      <c r="AY46" t="str">
        <f>$D47</f>
        <v>SSA_CCF_HRY_E_BEGIN_TITO_CLRS_NOM_LFM_0400_CBO1_LLC_TAG_BISR_PMA0_BP3</v>
      </c>
    </row>
    <row r="47" spans="1:56" x14ac:dyDescent="0.35">
      <c r="A47" s="12" t="s">
        <v>12</v>
      </c>
      <c r="B47" s="12" t="s">
        <v>54</v>
      </c>
      <c r="C47" s="12" t="str">
        <f>VLOOKUP(B47,templateLookup!A:B,2,0)</f>
        <v>PrimeMbistVminSearchTestMethod</v>
      </c>
      <c r="D47" t="str">
        <f t="shared" si="6"/>
        <v>SSA_CCF_HRY_E_BEGIN_TITO_CLRS_NOM_LFM_0400_CBO1_LLC_TAG_BISR_PMA0_BP3</v>
      </c>
      <c r="E47" t="s">
        <v>4</v>
      </c>
      <c r="F47" t="s">
        <v>22</v>
      </c>
      <c r="G47" t="s">
        <v>271</v>
      </c>
      <c r="H47" t="s">
        <v>207</v>
      </c>
      <c r="I47" t="s">
        <v>260</v>
      </c>
      <c r="J47" t="s">
        <v>283</v>
      </c>
      <c r="K47" t="s">
        <v>284</v>
      </c>
      <c r="L47" t="s">
        <v>285</v>
      </c>
      <c r="M47" t="str">
        <f t="shared" si="9"/>
        <v>0400</v>
      </c>
      <c r="N47" t="s">
        <v>310</v>
      </c>
      <c r="O47" t="s">
        <v>267</v>
      </c>
      <c r="P47" t="s">
        <v>287</v>
      </c>
      <c r="Q47" t="s">
        <v>311</v>
      </c>
      <c r="R47">
        <f>VLOOKUP(E47,binningRules!$B$6:$C$9,2,0)</f>
        <v>61</v>
      </c>
      <c r="S47">
        <v>10</v>
      </c>
      <c r="T47">
        <v>11</v>
      </c>
      <c r="U47">
        <v>-1</v>
      </c>
      <c r="V47" t="b">
        <v>0</v>
      </c>
      <c r="W47" t="s">
        <v>270</v>
      </c>
      <c r="X47" t="s">
        <v>271</v>
      </c>
      <c r="Y47" t="s">
        <v>272</v>
      </c>
      <c r="Z47">
        <v>0.85</v>
      </c>
      <c r="AA47">
        <v>0.85</v>
      </c>
      <c r="AS47">
        <f t="shared" si="5"/>
        <v>10</v>
      </c>
      <c r="AT47" t="s">
        <v>273</v>
      </c>
      <c r="AU47" t="str">
        <f t="shared" si="7"/>
        <v>SSA_CCF_RASTER_E_BEGIN_TITO_CLRS_NOM_LFM_0400_CBO1_LLC_TAG_RASTER</v>
      </c>
      <c r="AV47" t="str">
        <f t="shared" ref="AV47:BD47" si="17">$D49</f>
        <v>LSA_CCF_HRY_E_BEGIN_TITO_CLR_NOM_LFM_0400_CBO1_LSA_ALL_PMA0_BP5</v>
      </c>
      <c r="AW47" t="str">
        <f t="shared" si="17"/>
        <v>LSA_CCF_HRY_E_BEGIN_TITO_CLR_NOM_LFM_0400_CBO1_LSA_ALL_PMA0_BP5</v>
      </c>
      <c r="AX47" t="str">
        <f t="shared" si="17"/>
        <v>LSA_CCF_HRY_E_BEGIN_TITO_CLR_NOM_LFM_0400_CBO1_LSA_ALL_PMA0_BP5</v>
      </c>
      <c r="AY47" t="str">
        <f t="shared" si="17"/>
        <v>LSA_CCF_HRY_E_BEGIN_TITO_CLR_NOM_LFM_0400_CBO1_LSA_ALL_PMA0_BP5</v>
      </c>
      <c r="AZ47" t="str">
        <f t="shared" si="17"/>
        <v>LSA_CCF_HRY_E_BEGIN_TITO_CLR_NOM_LFM_0400_CBO1_LSA_ALL_PMA0_BP5</v>
      </c>
      <c r="BA47" t="str">
        <f t="shared" si="17"/>
        <v>LSA_CCF_HRY_E_BEGIN_TITO_CLR_NOM_LFM_0400_CBO1_LSA_ALL_PMA0_BP5</v>
      </c>
      <c r="BB47" t="str">
        <f t="shared" si="17"/>
        <v>LSA_CCF_HRY_E_BEGIN_TITO_CLR_NOM_LFM_0400_CBO1_LSA_ALL_PMA0_BP5</v>
      </c>
      <c r="BC47" t="str">
        <f t="shared" si="17"/>
        <v>LSA_CCF_HRY_E_BEGIN_TITO_CLR_NOM_LFM_0400_CBO1_LSA_ALL_PMA0_BP5</v>
      </c>
      <c r="BD47" t="str">
        <f t="shared" si="17"/>
        <v>LSA_CCF_HRY_E_BEGIN_TITO_CLR_NOM_LFM_0400_CBO1_LSA_ALL_PMA0_BP5</v>
      </c>
    </row>
    <row r="48" spans="1:56" x14ac:dyDescent="0.35">
      <c r="A48" s="12" t="s">
        <v>12</v>
      </c>
      <c r="B48" s="12" t="s">
        <v>56</v>
      </c>
      <c r="C48" s="12" t="str">
        <f>VLOOKUP(B48,templateLookup!A:B,2,0)</f>
        <v>MbistRasterTC</v>
      </c>
      <c r="D48" t="str">
        <f t="shared" si="6"/>
        <v>SSA_CCF_RASTER_E_BEGIN_TITO_CLRS_NOM_LFM_0400_CBO1_LLC_TAG_RASTER</v>
      </c>
      <c r="E48" t="s">
        <v>4</v>
      </c>
      <c r="F48" t="s">
        <v>22</v>
      </c>
      <c r="G48" t="s">
        <v>289</v>
      </c>
      <c r="H48" t="s">
        <v>207</v>
      </c>
      <c r="I48" t="s">
        <v>260</v>
      </c>
      <c r="J48" t="s">
        <v>283</v>
      </c>
      <c r="K48" t="s">
        <v>284</v>
      </c>
      <c r="L48" t="s">
        <v>285</v>
      </c>
      <c r="M48" t="str">
        <f t="shared" si="9"/>
        <v>0400</v>
      </c>
      <c r="N48" t="s">
        <v>312</v>
      </c>
      <c r="O48" t="s">
        <v>267</v>
      </c>
      <c r="P48" t="s">
        <v>287</v>
      </c>
      <c r="Q48" t="s">
        <v>291</v>
      </c>
      <c r="R48">
        <f>VLOOKUP(E48,binningRules!$B$6:$C$9,2,0)</f>
        <v>61</v>
      </c>
      <c r="S48">
        <v>10</v>
      </c>
      <c r="T48">
        <v>12</v>
      </c>
      <c r="U48">
        <v>1</v>
      </c>
      <c r="V48" s="12" t="b">
        <v>0</v>
      </c>
      <c r="W48" t="s">
        <v>270</v>
      </c>
      <c r="AS48">
        <f t="shared" si="5"/>
        <v>5</v>
      </c>
      <c r="AT48">
        <v>1</v>
      </c>
      <c r="AU48" t="str">
        <f t="shared" si="7"/>
        <v>LSA_CCF_HRY_E_BEGIN_TITO_CLR_NOM_LFM_0400_CBO1_LSA_ALL_PMA0_BP5</v>
      </c>
      <c r="AV48" t="str">
        <f>$D49</f>
        <v>LSA_CCF_HRY_E_BEGIN_TITO_CLR_NOM_LFM_0400_CBO1_LSA_ALL_PMA0_BP5</v>
      </c>
      <c r="AW48" t="str">
        <f>$D49</f>
        <v>LSA_CCF_HRY_E_BEGIN_TITO_CLR_NOM_LFM_0400_CBO1_LSA_ALL_PMA0_BP5</v>
      </c>
      <c r="AX48" t="str">
        <f>$D49</f>
        <v>LSA_CCF_HRY_E_BEGIN_TITO_CLR_NOM_LFM_0400_CBO1_LSA_ALL_PMA0_BP5</v>
      </c>
      <c r="AY48" t="str">
        <f>$D49</f>
        <v>LSA_CCF_HRY_E_BEGIN_TITO_CLR_NOM_LFM_0400_CBO1_LSA_ALL_PMA0_BP5</v>
      </c>
    </row>
    <row r="49" spans="1:56" x14ac:dyDescent="0.35">
      <c r="A49" s="12" t="s">
        <v>12</v>
      </c>
      <c r="B49" s="12" t="s">
        <v>54</v>
      </c>
      <c r="C49" s="12" t="str">
        <f>VLOOKUP(B49,templateLookup!A:B,2,0)</f>
        <v>PrimeMbistVminSearchTestMethod</v>
      </c>
      <c r="D49" t="str">
        <f t="shared" si="6"/>
        <v>LSA_CCF_HRY_E_BEGIN_TITO_CLR_NOM_LFM_0400_CBO1_LSA_ALL_PMA0_BP5</v>
      </c>
      <c r="E49" t="s">
        <v>5</v>
      </c>
      <c r="F49" t="s">
        <v>22</v>
      </c>
      <c r="G49" t="s">
        <v>271</v>
      </c>
      <c r="H49" t="s">
        <v>207</v>
      </c>
      <c r="I49" t="s">
        <v>260</v>
      </c>
      <c r="J49" t="s">
        <v>300</v>
      </c>
      <c r="K49" t="s">
        <v>284</v>
      </c>
      <c r="L49" t="s">
        <v>285</v>
      </c>
      <c r="M49" t="str">
        <f t="shared" si="9"/>
        <v>0400</v>
      </c>
      <c r="N49" t="s">
        <v>313</v>
      </c>
      <c r="O49" t="s">
        <v>267</v>
      </c>
      <c r="P49" t="s">
        <v>287</v>
      </c>
      <c r="Q49" t="s">
        <v>314</v>
      </c>
      <c r="R49">
        <f>VLOOKUP(E49,binningRules!$B$6:$C$9,2,0)</f>
        <v>21</v>
      </c>
      <c r="S49">
        <v>10</v>
      </c>
      <c r="T49">
        <v>13</v>
      </c>
      <c r="U49">
        <v>-1</v>
      </c>
      <c r="V49" t="b">
        <v>0</v>
      </c>
      <c r="W49" t="s">
        <v>270</v>
      </c>
      <c r="X49" t="s">
        <v>271</v>
      </c>
      <c r="Y49" t="s">
        <v>272</v>
      </c>
      <c r="Z49">
        <v>0.85</v>
      </c>
      <c r="AA49">
        <v>0.85</v>
      </c>
      <c r="AS49">
        <f t="shared" si="5"/>
        <v>10</v>
      </c>
      <c r="AT49" t="s">
        <v>273</v>
      </c>
      <c r="AU49" t="str">
        <f t="shared" si="7"/>
        <v>LSA_CCF_RASTER_E_BEGIN_TITO_CLR_NOM_LFM_0400_CBO1_LSA_ALL_STEP0</v>
      </c>
      <c r="AV49" t="str">
        <f t="shared" ref="AV49:BD49" si="18">$D52</f>
        <v>SSA_CCF_HRY_E_BEGIN_TITO_CLRS_NOM_LFM_0400_CBO2_LLC_DAT_BISR_PMA1_BP0</v>
      </c>
      <c r="AW49" t="str">
        <f t="shared" si="7"/>
        <v>LSA_CCF_RASTER_E_BEGIN_TITO_CLR_NOM_LFM_0400_CBO1_LSA_ALL_STEP0</v>
      </c>
      <c r="AX49" t="str">
        <f t="shared" si="7"/>
        <v>LSA_CCF_RASTER_E_BEGIN_TITO_CLR_NOM_LFM_0400_CBO1_LSA_ALL_STEP0</v>
      </c>
      <c r="AY49" t="str">
        <f t="shared" si="7"/>
        <v>LSA_CCF_RASTER_E_BEGIN_TITO_CLR_NOM_LFM_0400_CBO1_LSA_ALL_STEP0</v>
      </c>
      <c r="AZ49" t="str">
        <f t="shared" si="18"/>
        <v>SSA_CCF_HRY_E_BEGIN_TITO_CLRS_NOM_LFM_0400_CBO2_LLC_DAT_BISR_PMA1_BP0</v>
      </c>
      <c r="BA49" t="str">
        <f t="shared" si="18"/>
        <v>SSA_CCF_HRY_E_BEGIN_TITO_CLRS_NOM_LFM_0400_CBO2_LLC_DAT_BISR_PMA1_BP0</v>
      </c>
      <c r="BB49" t="str">
        <f t="shared" si="18"/>
        <v>SSA_CCF_HRY_E_BEGIN_TITO_CLRS_NOM_LFM_0400_CBO2_LLC_DAT_BISR_PMA1_BP0</v>
      </c>
      <c r="BC49" t="str">
        <f t="shared" si="18"/>
        <v>SSA_CCF_HRY_E_BEGIN_TITO_CLRS_NOM_LFM_0400_CBO2_LLC_DAT_BISR_PMA1_BP0</v>
      </c>
      <c r="BD49" t="str">
        <f t="shared" si="18"/>
        <v>SSA_CCF_HRY_E_BEGIN_TITO_CLRS_NOM_LFM_0400_CBO2_LLC_DAT_BISR_PMA1_BP0</v>
      </c>
    </row>
    <row r="50" spans="1:56" x14ac:dyDescent="0.35">
      <c r="A50" s="12" t="s">
        <v>12</v>
      </c>
      <c r="B50" s="12" t="s">
        <v>56</v>
      </c>
      <c r="C50" s="12" t="str">
        <f>VLOOKUP(B50,templateLookup!A:B,2,0)</f>
        <v>MbistRasterTC</v>
      </c>
      <c r="D50" s="46" t="str">
        <f t="shared" si="6"/>
        <v>LSA_CCF_RASTER_E_BEGIN_TITO_CLR_NOM_LFM_0400_CBO1_LSA_ALL_STEP0</v>
      </c>
      <c r="E50" t="s">
        <v>5</v>
      </c>
      <c r="F50" t="s">
        <v>22</v>
      </c>
      <c r="G50" t="s">
        <v>289</v>
      </c>
      <c r="H50" t="s">
        <v>207</v>
      </c>
      <c r="I50" t="s">
        <v>260</v>
      </c>
      <c r="J50" t="s">
        <v>300</v>
      </c>
      <c r="K50" t="s">
        <v>284</v>
      </c>
      <c r="L50" t="s">
        <v>285</v>
      </c>
      <c r="M50" t="str">
        <f t="shared" si="9"/>
        <v>0400</v>
      </c>
      <c r="N50" t="s">
        <v>315</v>
      </c>
      <c r="O50" t="s">
        <v>267</v>
      </c>
      <c r="P50" t="s">
        <v>287</v>
      </c>
      <c r="Q50" t="s">
        <v>316</v>
      </c>
      <c r="R50">
        <f>VLOOKUP(E50,binningRules!$B$6:$C$9,2,0)</f>
        <v>21</v>
      </c>
      <c r="S50">
        <v>10</v>
      </c>
      <c r="T50">
        <v>14</v>
      </c>
      <c r="U50">
        <v>-1</v>
      </c>
      <c r="V50" t="b">
        <v>0</v>
      </c>
      <c r="W50" t="s">
        <v>270</v>
      </c>
      <c r="AS50">
        <f t="shared" si="5"/>
        <v>5</v>
      </c>
      <c r="AT50">
        <v>1</v>
      </c>
      <c r="AU50" t="str">
        <f t="shared" ref="AU50:AY51" si="19">$D51</f>
        <v>LSA_CCF_RASTER_E_BEGIN_TITO_CLR_NOM_LFM_0400_CBO1_LSA_ALL_STEP1</v>
      </c>
      <c r="AV50" t="str">
        <f t="shared" si="19"/>
        <v>LSA_CCF_RASTER_E_BEGIN_TITO_CLR_NOM_LFM_0400_CBO1_LSA_ALL_STEP1</v>
      </c>
      <c r="AW50" t="str">
        <f t="shared" si="19"/>
        <v>LSA_CCF_RASTER_E_BEGIN_TITO_CLR_NOM_LFM_0400_CBO1_LSA_ALL_STEP1</v>
      </c>
      <c r="AX50" t="str">
        <f t="shared" si="19"/>
        <v>LSA_CCF_RASTER_E_BEGIN_TITO_CLR_NOM_LFM_0400_CBO1_LSA_ALL_STEP1</v>
      </c>
      <c r="AY50" t="str">
        <f t="shared" si="19"/>
        <v>LSA_CCF_RASTER_E_BEGIN_TITO_CLR_NOM_LFM_0400_CBO1_LSA_ALL_STEP1</v>
      </c>
    </row>
    <row r="51" spans="1:56" x14ac:dyDescent="0.35">
      <c r="A51" s="12" t="s">
        <v>12</v>
      </c>
      <c r="B51" s="12" t="s">
        <v>56</v>
      </c>
      <c r="C51" s="12" t="str">
        <f>VLOOKUP(B51,templateLookup!A:B,2,0)</f>
        <v>MbistRasterTC</v>
      </c>
      <c r="D51" s="46" t="str">
        <f t="shared" ref="D51" si="20">E51&amp;"_"&amp;F51&amp;"_"&amp;G51&amp;"_"&amp;H51&amp;"_"&amp;A51&amp;"_"&amp;I51&amp;"_"&amp;J51&amp;"_"&amp;K51&amp;"_"&amp;L51&amp;"_"&amp;M51&amp;"_"&amp;N51</f>
        <v>LSA_CCF_RASTER_E_BEGIN_TITO_CLR_NOM_LFM_0400_CBO1_LSA_ALL_STEP1</v>
      </c>
      <c r="E51" t="s">
        <v>5</v>
      </c>
      <c r="F51" t="s">
        <v>22</v>
      </c>
      <c r="G51" t="s">
        <v>289</v>
      </c>
      <c r="H51" t="s">
        <v>207</v>
      </c>
      <c r="I51" t="s">
        <v>260</v>
      </c>
      <c r="J51" t="s">
        <v>300</v>
      </c>
      <c r="K51" t="s">
        <v>284</v>
      </c>
      <c r="L51" t="s">
        <v>285</v>
      </c>
      <c r="M51" t="str">
        <f t="shared" si="9"/>
        <v>0400</v>
      </c>
      <c r="N51" t="s">
        <v>317</v>
      </c>
      <c r="O51" t="s">
        <v>267</v>
      </c>
      <c r="P51" t="s">
        <v>287</v>
      </c>
      <c r="Q51" t="s">
        <v>318</v>
      </c>
      <c r="R51">
        <f>VLOOKUP(E51,binningRules!$B$6:$C$9,2,0)</f>
        <v>21</v>
      </c>
      <c r="S51">
        <v>10</v>
      </c>
      <c r="T51">
        <v>15</v>
      </c>
      <c r="U51">
        <v>-1</v>
      </c>
      <c r="V51" t="b">
        <v>0</v>
      </c>
      <c r="W51" t="s">
        <v>270</v>
      </c>
      <c r="AS51">
        <f t="shared" ref="AS51" si="21">COUNTA(AU51:BD51)</f>
        <v>5</v>
      </c>
      <c r="AT51">
        <v>1</v>
      </c>
      <c r="AU51" t="str">
        <f t="shared" si="19"/>
        <v>SSA_CCF_HRY_E_BEGIN_TITO_CLRS_NOM_LFM_0400_CBO2_LLC_DAT_BISR_PMA1_BP0</v>
      </c>
      <c r="AV51" t="str">
        <f t="shared" si="19"/>
        <v>SSA_CCF_HRY_E_BEGIN_TITO_CLRS_NOM_LFM_0400_CBO2_LLC_DAT_BISR_PMA1_BP0</v>
      </c>
      <c r="AW51" t="str">
        <f t="shared" si="19"/>
        <v>SSA_CCF_HRY_E_BEGIN_TITO_CLRS_NOM_LFM_0400_CBO2_LLC_DAT_BISR_PMA1_BP0</v>
      </c>
      <c r="AX51" t="str">
        <f t="shared" si="19"/>
        <v>SSA_CCF_HRY_E_BEGIN_TITO_CLRS_NOM_LFM_0400_CBO2_LLC_DAT_BISR_PMA1_BP0</v>
      </c>
      <c r="AY51" t="str">
        <f t="shared" si="19"/>
        <v>SSA_CCF_HRY_E_BEGIN_TITO_CLRS_NOM_LFM_0400_CBO2_LLC_DAT_BISR_PMA1_BP0</v>
      </c>
    </row>
    <row r="52" spans="1:56" x14ac:dyDescent="0.35">
      <c r="A52" s="12" t="s">
        <v>12</v>
      </c>
      <c r="B52" s="12" t="s">
        <v>54</v>
      </c>
      <c r="C52" s="12" t="str">
        <f>VLOOKUP(B52,templateLookup!A:B,2,0)</f>
        <v>PrimeMbistVminSearchTestMethod</v>
      </c>
      <c r="D52" t="str">
        <f t="shared" si="6"/>
        <v>SSA_CCF_HRY_E_BEGIN_TITO_CLRS_NOM_LFM_0400_CBO2_LLC_DAT_BISR_PMA1_BP0</v>
      </c>
      <c r="E52" t="s">
        <v>4</v>
      </c>
      <c r="F52" t="s">
        <v>22</v>
      </c>
      <c r="G52" t="s">
        <v>271</v>
      </c>
      <c r="H52" t="s">
        <v>207</v>
      </c>
      <c r="I52" t="s">
        <v>260</v>
      </c>
      <c r="J52" t="s">
        <v>283</v>
      </c>
      <c r="K52" t="s">
        <v>284</v>
      </c>
      <c r="L52" t="s">
        <v>285</v>
      </c>
      <c r="M52" t="str">
        <f t="shared" si="9"/>
        <v>0400</v>
      </c>
      <c r="N52" t="s">
        <v>319</v>
      </c>
      <c r="O52" t="s">
        <v>267</v>
      </c>
      <c r="P52" t="s">
        <v>287</v>
      </c>
      <c r="Q52" t="s">
        <v>320</v>
      </c>
      <c r="R52">
        <f>VLOOKUP(E52,binningRules!$B$6:$C$9,2,0)</f>
        <v>61</v>
      </c>
      <c r="S52">
        <v>10</v>
      </c>
      <c r="T52">
        <v>16</v>
      </c>
      <c r="U52">
        <v>-1</v>
      </c>
      <c r="V52" t="b">
        <v>0</v>
      </c>
      <c r="W52" t="s">
        <v>270</v>
      </c>
      <c r="X52" t="s">
        <v>271</v>
      </c>
      <c r="Y52" t="s">
        <v>272</v>
      </c>
      <c r="Z52">
        <v>0.85</v>
      </c>
      <c r="AA52">
        <v>0.85</v>
      </c>
      <c r="AS52">
        <f t="shared" si="5"/>
        <v>10</v>
      </c>
      <c r="AT52" t="s">
        <v>273</v>
      </c>
      <c r="AU52" t="str">
        <f t="shared" si="7"/>
        <v>SSA_CCF_RASTER_E_BEGIN_TITO_CLRS_NOM_LFM_0400_CBO2_LLC_DAT_RASTER</v>
      </c>
      <c r="AV52" t="str">
        <f t="shared" ref="AV52:BD52" si="22">$D54</f>
        <v>SSA_CCF_HRY_E_BEGIN_TITO_CLRS_NOM_LFM_0400_CBO2_LLC_TAG_BISR_PMA1_BP2</v>
      </c>
      <c r="AW52" t="str">
        <f t="shared" si="22"/>
        <v>SSA_CCF_HRY_E_BEGIN_TITO_CLRS_NOM_LFM_0400_CBO2_LLC_TAG_BISR_PMA1_BP2</v>
      </c>
      <c r="AX52" t="str">
        <f t="shared" si="22"/>
        <v>SSA_CCF_HRY_E_BEGIN_TITO_CLRS_NOM_LFM_0400_CBO2_LLC_TAG_BISR_PMA1_BP2</v>
      </c>
      <c r="AY52" t="str">
        <f t="shared" si="22"/>
        <v>SSA_CCF_HRY_E_BEGIN_TITO_CLRS_NOM_LFM_0400_CBO2_LLC_TAG_BISR_PMA1_BP2</v>
      </c>
      <c r="AZ52" t="str">
        <f t="shared" si="22"/>
        <v>SSA_CCF_HRY_E_BEGIN_TITO_CLRS_NOM_LFM_0400_CBO2_LLC_TAG_BISR_PMA1_BP2</v>
      </c>
      <c r="BA52" t="str">
        <f t="shared" si="22"/>
        <v>SSA_CCF_HRY_E_BEGIN_TITO_CLRS_NOM_LFM_0400_CBO2_LLC_TAG_BISR_PMA1_BP2</v>
      </c>
      <c r="BB52" t="str">
        <f t="shared" si="22"/>
        <v>SSA_CCF_HRY_E_BEGIN_TITO_CLRS_NOM_LFM_0400_CBO2_LLC_TAG_BISR_PMA1_BP2</v>
      </c>
      <c r="BC52" t="str">
        <f t="shared" si="22"/>
        <v>SSA_CCF_HRY_E_BEGIN_TITO_CLRS_NOM_LFM_0400_CBO2_LLC_TAG_BISR_PMA1_BP2</v>
      </c>
      <c r="BD52" t="str">
        <f t="shared" si="22"/>
        <v>SSA_CCF_HRY_E_BEGIN_TITO_CLRS_NOM_LFM_0400_CBO2_LLC_TAG_BISR_PMA1_BP2</v>
      </c>
    </row>
    <row r="53" spans="1:56" x14ac:dyDescent="0.35">
      <c r="A53" s="12" t="s">
        <v>12</v>
      </c>
      <c r="B53" s="12" t="s">
        <v>56</v>
      </c>
      <c r="C53" s="12" t="str">
        <f>VLOOKUP(B53,templateLookup!A:B,2,0)</f>
        <v>MbistRasterTC</v>
      </c>
      <c r="D53" t="str">
        <f t="shared" si="6"/>
        <v>SSA_CCF_RASTER_E_BEGIN_TITO_CLRS_NOM_LFM_0400_CBO2_LLC_DAT_RASTER</v>
      </c>
      <c r="E53" t="s">
        <v>4</v>
      </c>
      <c r="F53" t="s">
        <v>22</v>
      </c>
      <c r="G53" t="s">
        <v>289</v>
      </c>
      <c r="H53" t="s">
        <v>207</v>
      </c>
      <c r="I53" t="s">
        <v>260</v>
      </c>
      <c r="J53" t="s">
        <v>283</v>
      </c>
      <c r="K53" t="s">
        <v>284</v>
      </c>
      <c r="L53" t="s">
        <v>285</v>
      </c>
      <c r="M53" t="str">
        <f t="shared" si="9"/>
        <v>0400</v>
      </c>
      <c r="N53" t="s">
        <v>321</v>
      </c>
      <c r="O53" t="s">
        <v>267</v>
      </c>
      <c r="P53" t="s">
        <v>287</v>
      </c>
      <c r="Q53" t="s">
        <v>291</v>
      </c>
      <c r="R53">
        <f>VLOOKUP(E53,binningRules!$B$6:$C$9,2,0)</f>
        <v>61</v>
      </c>
      <c r="S53">
        <v>10</v>
      </c>
      <c r="T53">
        <v>17</v>
      </c>
      <c r="U53">
        <v>1</v>
      </c>
      <c r="V53" s="16" t="b">
        <v>0</v>
      </c>
      <c r="W53" t="s">
        <v>270</v>
      </c>
      <c r="AS53">
        <f t="shared" si="5"/>
        <v>5</v>
      </c>
      <c r="AT53">
        <v>1</v>
      </c>
      <c r="AU53" t="str">
        <f t="shared" si="7"/>
        <v>SSA_CCF_HRY_E_BEGIN_TITO_CLRS_NOM_LFM_0400_CBO2_LLC_TAG_BISR_PMA1_BP2</v>
      </c>
      <c r="AV53" t="str">
        <f>$D54</f>
        <v>SSA_CCF_HRY_E_BEGIN_TITO_CLRS_NOM_LFM_0400_CBO2_LLC_TAG_BISR_PMA1_BP2</v>
      </c>
      <c r="AW53" t="str">
        <f>$D54</f>
        <v>SSA_CCF_HRY_E_BEGIN_TITO_CLRS_NOM_LFM_0400_CBO2_LLC_TAG_BISR_PMA1_BP2</v>
      </c>
      <c r="AX53" t="str">
        <f>$D54</f>
        <v>SSA_CCF_HRY_E_BEGIN_TITO_CLRS_NOM_LFM_0400_CBO2_LLC_TAG_BISR_PMA1_BP2</v>
      </c>
      <c r="AY53" t="str">
        <f>$D54</f>
        <v>SSA_CCF_HRY_E_BEGIN_TITO_CLRS_NOM_LFM_0400_CBO2_LLC_TAG_BISR_PMA1_BP2</v>
      </c>
    </row>
    <row r="54" spans="1:56" x14ac:dyDescent="0.35">
      <c r="A54" s="12" t="s">
        <v>12</v>
      </c>
      <c r="B54" s="12" t="s">
        <v>54</v>
      </c>
      <c r="C54" s="12" t="str">
        <f>VLOOKUP(B54,templateLookup!A:B,2,0)</f>
        <v>PrimeMbistVminSearchTestMethod</v>
      </c>
      <c r="D54" t="str">
        <f t="shared" si="6"/>
        <v>SSA_CCF_HRY_E_BEGIN_TITO_CLRS_NOM_LFM_0400_CBO2_LLC_TAG_BISR_PMA1_BP2</v>
      </c>
      <c r="E54" t="s">
        <v>4</v>
      </c>
      <c r="F54" t="s">
        <v>22</v>
      </c>
      <c r="G54" t="s">
        <v>271</v>
      </c>
      <c r="H54" t="s">
        <v>207</v>
      </c>
      <c r="I54" t="s">
        <v>260</v>
      </c>
      <c r="J54" t="s">
        <v>283</v>
      </c>
      <c r="K54" t="s">
        <v>284</v>
      </c>
      <c r="L54" t="s">
        <v>285</v>
      </c>
      <c r="M54" t="str">
        <f t="shared" si="9"/>
        <v>0400</v>
      </c>
      <c r="N54" t="s">
        <v>322</v>
      </c>
      <c r="O54" t="s">
        <v>267</v>
      </c>
      <c r="P54" t="s">
        <v>287</v>
      </c>
      <c r="Q54" t="s">
        <v>323</v>
      </c>
      <c r="R54">
        <f>VLOOKUP(E54,binningRules!$B$6:$C$9,2,0)</f>
        <v>61</v>
      </c>
      <c r="S54">
        <v>10</v>
      </c>
      <c r="T54">
        <v>18</v>
      </c>
      <c r="U54">
        <v>-1</v>
      </c>
      <c r="V54" t="b">
        <v>0</v>
      </c>
      <c r="W54" t="s">
        <v>270</v>
      </c>
      <c r="X54" t="s">
        <v>271</v>
      </c>
      <c r="Y54" t="s">
        <v>272</v>
      </c>
      <c r="Z54">
        <v>0.85</v>
      </c>
      <c r="AA54">
        <v>0.85</v>
      </c>
      <c r="AS54">
        <f t="shared" si="5"/>
        <v>10</v>
      </c>
      <c r="AT54" t="s">
        <v>273</v>
      </c>
      <c r="AU54" t="str">
        <f t="shared" si="7"/>
        <v>SSA_CCF_RASTER_E_BEGIN_TITO_CLRS_NOM_LFM_0400_CBO2_LLC_TAG_RASTER</v>
      </c>
      <c r="AV54" t="str">
        <f t="shared" ref="AV54:BD54" si="23">$D56</f>
        <v>SSA_CCF_HRY_E_BEGIN_TITO_SAN_NOM_LFM_0400_CBO2_SAR_BISR_PMA1_BP6</v>
      </c>
      <c r="AW54" t="str">
        <f t="shared" si="23"/>
        <v>SSA_CCF_HRY_E_BEGIN_TITO_SAN_NOM_LFM_0400_CBO2_SAR_BISR_PMA1_BP6</v>
      </c>
      <c r="AX54" t="str">
        <f t="shared" si="23"/>
        <v>SSA_CCF_HRY_E_BEGIN_TITO_SAN_NOM_LFM_0400_CBO2_SAR_BISR_PMA1_BP6</v>
      </c>
      <c r="AY54" t="str">
        <f t="shared" si="23"/>
        <v>SSA_CCF_HRY_E_BEGIN_TITO_SAN_NOM_LFM_0400_CBO2_SAR_BISR_PMA1_BP6</v>
      </c>
      <c r="AZ54" t="str">
        <f t="shared" si="23"/>
        <v>SSA_CCF_HRY_E_BEGIN_TITO_SAN_NOM_LFM_0400_CBO2_SAR_BISR_PMA1_BP6</v>
      </c>
      <c r="BA54" t="str">
        <f t="shared" si="23"/>
        <v>SSA_CCF_HRY_E_BEGIN_TITO_SAN_NOM_LFM_0400_CBO2_SAR_BISR_PMA1_BP6</v>
      </c>
      <c r="BB54" t="str">
        <f t="shared" si="23"/>
        <v>SSA_CCF_HRY_E_BEGIN_TITO_SAN_NOM_LFM_0400_CBO2_SAR_BISR_PMA1_BP6</v>
      </c>
      <c r="BC54" t="str">
        <f t="shared" si="23"/>
        <v>SSA_CCF_HRY_E_BEGIN_TITO_SAN_NOM_LFM_0400_CBO2_SAR_BISR_PMA1_BP6</v>
      </c>
      <c r="BD54" t="str">
        <f t="shared" si="23"/>
        <v>SSA_CCF_HRY_E_BEGIN_TITO_SAN_NOM_LFM_0400_CBO2_SAR_BISR_PMA1_BP6</v>
      </c>
    </row>
    <row r="55" spans="1:56" x14ac:dyDescent="0.35">
      <c r="A55" s="12" t="s">
        <v>12</v>
      </c>
      <c r="B55" s="12" t="s">
        <v>56</v>
      </c>
      <c r="C55" s="12" t="str">
        <f>VLOOKUP(B55,templateLookup!A:B,2,0)</f>
        <v>MbistRasterTC</v>
      </c>
      <c r="D55" t="str">
        <f t="shared" si="6"/>
        <v>SSA_CCF_RASTER_E_BEGIN_TITO_CLRS_NOM_LFM_0400_CBO2_LLC_TAG_RASTER</v>
      </c>
      <c r="E55" t="s">
        <v>4</v>
      </c>
      <c r="F55" t="s">
        <v>22</v>
      </c>
      <c r="G55" t="s">
        <v>289</v>
      </c>
      <c r="H55" t="s">
        <v>207</v>
      </c>
      <c r="I55" t="s">
        <v>260</v>
      </c>
      <c r="J55" t="s">
        <v>283</v>
      </c>
      <c r="K55" t="s">
        <v>284</v>
      </c>
      <c r="L55" t="s">
        <v>285</v>
      </c>
      <c r="M55" t="str">
        <f t="shared" si="9"/>
        <v>0400</v>
      </c>
      <c r="N55" t="s">
        <v>324</v>
      </c>
      <c r="O55" t="s">
        <v>267</v>
      </c>
      <c r="P55" t="s">
        <v>287</v>
      </c>
      <c r="Q55" t="s">
        <v>291</v>
      </c>
      <c r="R55">
        <f>VLOOKUP(E55,binningRules!$B$6:$C$9,2,0)</f>
        <v>61</v>
      </c>
      <c r="S55">
        <v>10</v>
      </c>
      <c r="T55">
        <v>19</v>
      </c>
      <c r="U55">
        <v>1</v>
      </c>
      <c r="V55" t="b">
        <v>0</v>
      </c>
      <c r="W55" t="s">
        <v>270</v>
      </c>
      <c r="AS55">
        <f t="shared" si="5"/>
        <v>5</v>
      </c>
      <c r="AT55">
        <v>1</v>
      </c>
      <c r="AU55" t="str">
        <f t="shared" si="7"/>
        <v>SSA_CCF_HRY_E_BEGIN_TITO_SAN_NOM_LFM_0400_CBO2_SAR_BISR_PMA1_BP6</v>
      </c>
      <c r="AV55" t="str">
        <f>$D56</f>
        <v>SSA_CCF_HRY_E_BEGIN_TITO_SAN_NOM_LFM_0400_CBO2_SAR_BISR_PMA1_BP6</v>
      </c>
      <c r="AW55" t="str">
        <f>$D56</f>
        <v>SSA_CCF_HRY_E_BEGIN_TITO_SAN_NOM_LFM_0400_CBO2_SAR_BISR_PMA1_BP6</v>
      </c>
      <c r="AX55" t="str">
        <f>$D56</f>
        <v>SSA_CCF_HRY_E_BEGIN_TITO_SAN_NOM_LFM_0400_CBO2_SAR_BISR_PMA1_BP6</v>
      </c>
      <c r="AY55" t="str">
        <f>$D56</f>
        <v>SSA_CCF_HRY_E_BEGIN_TITO_SAN_NOM_LFM_0400_CBO2_SAR_BISR_PMA1_BP6</v>
      </c>
    </row>
    <row r="56" spans="1:56" x14ac:dyDescent="0.35">
      <c r="A56" s="12" t="s">
        <v>12</v>
      </c>
      <c r="B56" s="12" t="s">
        <v>54</v>
      </c>
      <c r="C56" s="12" t="str">
        <f>VLOOKUP(B56,templateLookup!A:B,2,0)</f>
        <v>PrimeMbistVminSearchTestMethod</v>
      </c>
      <c r="D56" t="str">
        <f t="shared" si="6"/>
        <v>SSA_CCF_HRY_E_BEGIN_TITO_SAN_NOM_LFM_0400_CBO2_SAR_BISR_PMA1_BP6</v>
      </c>
      <c r="E56" t="s">
        <v>4</v>
      </c>
      <c r="F56" t="s">
        <v>22</v>
      </c>
      <c r="G56" t="s">
        <v>271</v>
      </c>
      <c r="H56" t="s">
        <v>207</v>
      </c>
      <c r="I56" t="s">
        <v>260</v>
      </c>
      <c r="J56" t="s">
        <v>295</v>
      </c>
      <c r="K56" t="s">
        <v>284</v>
      </c>
      <c r="L56" t="s">
        <v>285</v>
      </c>
      <c r="M56" t="str">
        <f t="shared" si="9"/>
        <v>0400</v>
      </c>
      <c r="N56" t="s">
        <v>325</v>
      </c>
      <c r="O56" t="s">
        <v>267</v>
      </c>
      <c r="P56" t="s">
        <v>287</v>
      </c>
      <c r="Q56" t="s">
        <v>326</v>
      </c>
      <c r="R56">
        <f>VLOOKUP(E56,binningRules!$B$6:$C$9,2,0)</f>
        <v>61</v>
      </c>
      <c r="S56">
        <v>10</v>
      </c>
      <c r="T56">
        <v>20</v>
      </c>
      <c r="U56">
        <v>-1</v>
      </c>
      <c r="V56" t="b">
        <v>0</v>
      </c>
      <c r="W56" t="s">
        <v>298</v>
      </c>
      <c r="X56" t="s">
        <v>271</v>
      </c>
      <c r="Y56" t="s">
        <v>272</v>
      </c>
      <c r="Z56">
        <v>0.85</v>
      </c>
      <c r="AA56">
        <v>0.85</v>
      </c>
      <c r="AS56">
        <f t="shared" si="5"/>
        <v>10</v>
      </c>
      <c r="AT56" t="s">
        <v>273</v>
      </c>
      <c r="AU56" t="str">
        <f t="shared" si="7"/>
        <v>SSA_CCF_RASTER_E_BEGIN_TITO_SAN_NOM_LFM_0400_CBO2_SAR_RASTER</v>
      </c>
      <c r="AV56" t="str">
        <f t="shared" ref="AV56:BD56" si="24">$D58</f>
        <v>LSA_CCF_HRY_E_BEGIN_TITO_CLR_NOM_LFM_0400_CBO2_LSA_ALL_PMA1_BP4</v>
      </c>
      <c r="AW56" t="str">
        <f t="shared" si="24"/>
        <v>LSA_CCF_HRY_E_BEGIN_TITO_CLR_NOM_LFM_0400_CBO2_LSA_ALL_PMA1_BP4</v>
      </c>
      <c r="AX56" t="str">
        <f t="shared" si="24"/>
        <v>LSA_CCF_HRY_E_BEGIN_TITO_CLR_NOM_LFM_0400_CBO2_LSA_ALL_PMA1_BP4</v>
      </c>
      <c r="AY56" t="str">
        <f t="shared" si="24"/>
        <v>LSA_CCF_HRY_E_BEGIN_TITO_CLR_NOM_LFM_0400_CBO2_LSA_ALL_PMA1_BP4</v>
      </c>
      <c r="AZ56" t="str">
        <f t="shared" si="24"/>
        <v>LSA_CCF_HRY_E_BEGIN_TITO_CLR_NOM_LFM_0400_CBO2_LSA_ALL_PMA1_BP4</v>
      </c>
      <c r="BA56" t="str">
        <f t="shared" si="24"/>
        <v>LSA_CCF_HRY_E_BEGIN_TITO_CLR_NOM_LFM_0400_CBO2_LSA_ALL_PMA1_BP4</v>
      </c>
      <c r="BB56" t="str">
        <f t="shared" si="24"/>
        <v>LSA_CCF_HRY_E_BEGIN_TITO_CLR_NOM_LFM_0400_CBO2_LSA_ALL_PMA1_BP4</v>
      </c>
      <c r="BC56" t="str">
        <f t="shared" si="24"/>
        <v>LSA_CCF_HRY_E_BEGIN_TITO_CLR_NOM_LFM_0400_CBO2_LSA_ALL_PMA1_BP4</v>
      </c>
      <c r="BD56" t="str">
        <f t="shared" si="24"/>
        <v>LSA_CCF_HRY_E_BEGIN_TITO_CLR_NOM_LFM_0400_CBO2_LSA_ALL_PMA1_BP4</v>
      </c>
    </row>
    <row r="57" spans="1:56" x14ac:dyDescent="0.35">
      <c r="A57" s="12" t="s">
        <v>12</v>
      </c>
      <c r="B57" s="12" t="s">
        <v>56</v>
      </c>
      <c r="C57" s="12" t="str">
        <f>VLOOKUP(B57,templateLookup!A:B,2,0)</f>
        <v>MbistRasterTC</v>
      </c>
      <c r="D57" t="str">
        <f t="shared" si="6"/>
        <v>SSA_CCF_RASTER_E_BEGIN_TITO_SAN_NOM_LFM_0400_CBO2_SAR_RASTER</v>
      </c>
      <c r="E57" t="s">
        <v>4</v>
      </c>
      <c r="F57" t="s">
        <v>22</v>
      </c>
      <c r="G57" t="s">
        <v>289</v>
      </c>
      <c r="H57" t="s">
        <v>207</v>
      </c>
      <c r="I57" t="s">
        <v>260</v>
      </c>
      <c r="J57" t="s">
        <v>295</v>
      </c>
      <c r="K57" t="s">
        <v>284</v>
      </c>
      <c r="L57" t="s">
        <v>285</v>
      </c>
      <c r="M57" t="str">
        <f t="shared" si="9"/>
        <v>0400</v>
      </c>
      <c r="N57" t="s">
        <v>327</v>
      </c>
      <c r="O57" t="s">
        <v>267</v>
      </c>
      <c r="P57" t="s">
        <v>287</v>
      </c>
      <c r="Q57" t="s">
        <v>291</v>
      </c>
      <c r="R57">
        <f>VLOOKUP(E57,binningRules!$B$6:$C$9,2,0)</f>
        <v>61</v>
      </c>
      <c r="S57">
        <v>10</v>
      </c>
      <c r="T57">
        <v>21</v>
      </c>
      <c r="U57">
        <v>1</v>
      </c>
      <c r="V57" t="b">
        <v>0</v>
      </c>
      <c r="W57" t="s">
        <v>298</v>
      </c>
      <c r="AS57">
        <f t="shared" si="5"/>
        <v>5</v>
      </c>
      <c r="AT57">
        <v>1</v>
      </c>
      <c r="AU57" t="str">
        <f t="shared" si="7"/>
        <v>LSA_CCF_HRY_E_BEGIN_TITO_CLR_NOM_LFM_0400_CBO2_LSA_ALL_PMA1_BP4</v>
      </c>
      <c r="AV57" t="str">
        <f>$D58</f>
        <v>LSA_CCF_HRY_E_BEGIN_TITO_CLR_NOM_LFM_0400_CBO2_LSA_ALL_PMA1_BP4</v>
      </c>
      <c r="AW57" t="str">
        <f>$D58</f>
        <v>LSA_CCF_HRY_E_BEGIN_TITO_CLR_NOM_LFM_0400_CBO2_LSA_ALL_PMA1_BP4</v>
      </c>
      <c r="AX57" t="str">
        <f>$D58</f>
        <v>LSA_CCF_HRY_E_BEGIN_TITO_CLR_NOM_LFM_0400_CBO2_LSA_ALL_PMA1_BP4</v>
      </c>
      <c r="AY57" t="str">
        <f>$D58</f>
        <v>LSA_CCF_HRY_E_BEGIN_TITO_CLR_NOM_LFM_0400_CBO2_LSA_ALL_PMA1_BP4</v>
      </c>
    </row>
    <row r="58" spans="1:56" x14ac:dyDescent="0.35">
      <c r="A58" s="12" t="s">
        <v>12</v>
      </c>
      <c r="B58" s="12" t="s">
        <v>54</v>
      </c>
      <c r="C58" s="12" t="str">
        <f>VLOOKUP(B58,templateLookup!A:B,2,0)</f>
        <v>PrimeMbistVminSearchTestMethod</v>
      </c>
      <c r="D58" t="str">
        <f t="shared" si="6"/>
        <v>LSA_CCF_HRY_E_BEGIN_TITO_CLR_NOM_LFM_0400_CBO2_LSA_ALL_PMA1_BP4</v>
      </c>
      <c r="E58" t="s">
        <v>5</v>
      </c>
      <c r="F58" t="s">
        <v>22</v>
      </c>
      <c r="G58" t="s">
        <v>271</v>
      </c>
      <c r="H58" t="s">
        <v>207</v>
      </c>
      <c r="I58" t="s">
        <v>260</v>
      </c>
      <c r="J58" t="s">
        <v>300</v>
      </c>
      <c r="K58" t="s">
        <v>284</v>
      </c>
      <c r="L58" t="s">
        <v>285</v>
      </c>
      <c r="M58" t="str">
        <f t="shared" si="9"/>
        <v>0400</v>
      </c>
      <c r="N58" t="s">
        <v>328</v>
      </c>
      <c r="O58" t="s">
        <v>267</v>
      </c>
      <c r="P58" t="s">
        <v>287</v>
      </c>
      <c r="Q58" t="s">
        <v>329</v>
      </c>
      <c r="R58">
        <f>VLOOKUP(E58,binningRules!$B$6:$C$9,2,0)</f>
        <v>21</v>
      </c>
      <c r="S58">
        <v>10</v>
      </c>
      <c r="T58">
        <v>22</v>
      </c>
      <c r="U58">
        <v>-1</v>
      </c>
      <c r="V58" t="b">
        <v>0</v>
      </c>
      <c r="W58" t="s">
        <v>270</v>
      </c>
      <c r="X58" t="s">
        <v>271</v>
      </c>
      <c r="Y58" t="s">
        <v>272</v>
      </c>
      <c r="Z58">
        <v>0.85</v>
      </c>
      <c r="AA58">
        <v>0.85</v>
      </c>
      <c r="AS58">
        <f t="shared" si="5"/>
        <v>10</v>
      </c>
      <c r="AT58" t="s">
        <v>273</v>
      </c>
      <c r="AU58" t="str">
        <f t="shared" si="7"/>
        <v>LSA_CCF_RASTER_E_BEGIN_TITO_CLR_NOM_LFM_0400_CBO2_LSA_ALL_STEP0</v>
      </c>
      <c r="AV58" t="str">
        <f t="shared" ref="AV58:BD58" si="25">$D61</f>
        <v>SSA_CCF_HRY_E_BEGIN_TITO_CLRS_NOM_LFM_0400_CBO3_LLC_DAT_BISR_PMA1_BP1</v>
      </c>
      <c r="AW58" t="str">
        <f t="shared" si="7"/>
        <v>LSA_CCF_RASTER_E_BEGIN_TITO_CLR_NOM_LFM_0400_CBO2_LSA_ALL_STEP0</v>
      </c>
      <c r="AX58" t="str">
        <f t="shared" si="7"/>
        <v>LSA_CCF_RASTER_E_BEGIN_TITO_CLR_NOM_LFM_0400_CBO2_LSA_ALL_STEP0</v>
      </c>
      <c r="AY58" t="str">
        <f t="shared" si="7"/>
        <v>LSA_CCF_RASTER_E_BEGIN_TITO_CLR_NOM_LFM_0400_CBO2_LSA_ALL_STEP0</v>
      </c>
      <c r="AZ58" t="str">
        <f t="shared" si="25"/>
        <v>SSA_CCF_HRY_E_BEGIN_TITO_CLRS_NOM_LFM_0400_CBO3_LLC_DAT_BISR_PMA1_BP1</v>
      </c>
      <c r="BA58" t="str">
        <f t="shared" si="25"/>
        <v>SSA_CCF_HRY_E_BEGIN_TITO_CLRS_NOM_LFM_0400_CBO3_LLC_DAT_BISR_PMA1_BP1</v>
      </c>
      <c r="BB58" t="str">
        <f t="shared" si="25"/>
        <v>SSA_CCF_HRY_E_BEGIN_TITO_CLRS_NOM_LFM_0400_CBO3_LLC_DAT_BISR_PMA1_BP1</v>
      </c>
      <c r="BC58" t="str">
        <f t="shared" si="25"/>
        <v>SSA_CCF_HRY_E_BEGIN_TITO_CLRS_NOM_LFM_0400_CBO3_LLC_DAT_BISR_PMA1_BP1</v>
      </c>
      <c r="BD58" t="str">
        <f t="shared" si="25"/>
        <v>SSA_CCF_HRY_E_BEGIN_TITO_CLRS_NOM_LFM_0400_CBO3_LLC_DAT_BISR_PMA1_BP1</v>
      </c>
    </row>
    <row r="59" spans="1:56" x14ac:dyDescent="0.35">
      <c r="A59" s="12" t="s">
        <v>12</v>
      </c>
      <c r="B59" s="12" t="s">
        <v>56</v>
      </c>
      <c r="C59" s="12" t="str">
        <f>VLOOKUP(B59,templateLookup!A:B,2,0)</f>
        <v>MbistRasterTC</v>
      </c>
      <c r="D59" s="46" t="str">
        <f t="shared" si="6"/>
        <v>LSA_CCF_RASTER_E_BEGIN_TITO_CLR_NOM_LFM_0400_CBO2_LSA_ALL_STEP0</v>
      </c>
      <c r="E59" t="s">
        <v>5</v>
      </c>
      <c r="F59" t="s">
        <v>22</v>
      </c>
      <c r="G59" t="s">
        <v>289</v>
      </c>
      <c r="H59" t="s">
        <v>207</v>
      </c>
      <c r="I59" t="s">
        <v>260</v>
      </c>
      <c r="J59" t="s">
        <v>300</v>
      </c>
      <c r="K59" t="s">
        <v>284</v>
      </c>
      <c r="L59" t="s">
        <v>285</v>
      </c>
      <c r="M59" t="str">
        <f t="shared" si="9"/>
        <v>0400</v>
      </c>
      <c r="N59" t="s">
        <v>330</v>
      </c>
      <c r="O59" t="s">
        <v>267</v>
      </c>
      <c r="P59" t="s">
        <v>287</v>
      </c>
      <c r="Q59" t="s">
        <v>331</v>
      </c>
      <c r="R59">
        <f>VLOOKUP(E59,binningRules!$B$6:$C$9,2,0)</f>
        <v>21</v>
      </c>
      <c r="S59">
        <v>10</v>
      </c>
      <c r="T59">
        <v>23</v>
      </c>
      <c r="U59">
        <v>-1</v>
      </c>
      <c r="V59" t="b">
        <v>0</v>
      </c>
      <c r="W59" t="s">
        <v>270</v>
      </c>
      <c r="AS59">
        <f t="shared" si="5"/>
        <v>5</v>
      </c>
      <c r="AT59">
        <v>1</v>
      </c>
      <c r="AU59" t="str">
        <f t="shared" ref="AU59:AY60" si="26">$D60</f>
        <v>LSA_CCF_RASTER_E_BEGIN_TITO_CLR_NOM_LFM_0400_CBO2_LSA_ALL_STEP1</v>
      </c>
      <c r="AV59" t="str">
        <f t="shared" si="26"/>
        <v>LSA_CCF_RASTER_E_BEGIN_TITO_CLR_NOM_LFM_0400_CBO2_LSA_ALL_STEP1</v>
      </c>
      <c r="AW59" t="str">
        <f t="shared" si="26"/>
        <v>LSA_CCF_RASTER_E_BEGIN_TITO_CLR_NOM_LFM_0400_CBO2_LSA_ALL_STEP1</v>
      </c>
      <c r="AX59" t="str">
        <f t="shared" si="26"/>
        <v>LSA_CCF_RASTER_E_BEGIN_TITO_CLR_NOM_LFM_0400_CBO2_LSA_ALL_STEP1</v>
      </c>
      <c r="AY59" t="str">
        <f t="shared" si="26"/>
        <v>LSA_CCF_RASTER_E_BEGIN_TITO_CLR_NOM_LFM_0400_CBO2_LSA_ALL_STEP1</v>
      </c>
    </row>
    <row r="60" spans="1:56" x14ac:dyDescent="0.35">
      <c r="A60" s="12" t="s">
        <v>12</v>
      </c>
      <c r="B60" s="12" t="s">
        <v>56</v>
      </c>
      <c r="C60" s="12" t="str">
        <f>VLOOKUP(B60,templateLookup!A:B,2,0)</f>
        <v>MbistRasterTC</v>
      </c>
      <c r="D60" s="46" t="str">
        <f t="shared" ref="D60" si="27">E60&amp;"_"&amp;F60&amp;"_"&amp;G60&amp;"_"&amp;H60&amp;"_"&amp;A60&amp;"_"&amp;I60&amp;"_"&amp;J60&amp;"_"&amp;K60&amp;"_"&amp;L60&amp;"_"&amp;M60&amp;"_"&amp;N60</f>
        <v>LSA_CCF_RASTER_E_BEGIN_TITO_CLR_NOM_LFM_0400_CBO2_LSA_ALL_STEP1</v>
      </c>
      <c r="E60" t="s">
        <v>5</v>
      </c>
      <c r="F60" t="s">
        <v>22</v>
      </c>
      <c r="G60" t="s">
        <v>289</v>
      </c>
      <c r="H60" t="s">
        <v>207</v>
      </c>
      <c r="I60" t="s">
        <v>260</v>
      </c>
      <c r="J60" t="s">
        <v>300</v>
      </c>
      <c r="K60" t="s">
        <v>284</v>
      </c>
      <c r="L60" t="s">
        <v>285</v>
      </c>
      <c r="M60" t="str">
        <f t="shared" si="9"/>
        <v>0400</v>
      </c>
      <c r="N60" t="s">
        <v>332</v>
      </c>
      <c r="O60" t="s">
        <v>267</v>
      </c>
      <c r="P60" t="s">
        <v>287</v>
      </c>
      <c r="Q60" t="s">
        <v>333</v>
      </c>
      <c r="R60">
        <f>VLOOKUP(E60,binningRules!$B$6:$C$9,2,0)</f>
        <v>21</v>
      </c>
      <c r="S60">
        <v>10</v>
      </c>
      <c r="T60">
        <v>24</v>
      </c>
      <c r="U60">
        <v>-1</v>
      </c>
      <c r="V60" t="b">
        <v>0</v>
      </c>
      <c r="W60" t="s">
        <v>270</v>
      </c>
      <c r="AS60">
        <f t="shared" ref="AS60" si="28">COUNTA(AU60:BD60)</f>
        <v>5</v>
      </c>
      <c r="AT60">
        <v>1</v>
      </c>
      <c r="AU60" t="str">
        <f t="shared" si="26"/>
        <v>SSA_CCF_HRY_E_BEGIN_TITO_CLRS_NOM_LFM_0400_CBO3_LLC_DAT_BISR_PMA1_BP1</v>
      </c>
      <c r="AV60" t="str">
        <f t="shared" si="26"/>
        <v>SSA_CCF_HRY_E_BEGIN_TITO_CLRS_NOM_LFM_0400_CBO3_LLC_DAT_BISR_PMA1_BP1</v>
      </c>
      <c r="AW60" t="str">
        <f t="shared" si="26"/>
        <v>SSA_CCF_HRY_E_BEGIN_TITO_CLRS_NOM_LFM_0400_CBO3_LLC_DAT_BISR_PMA1_BP1</v>
      </c>
      <c r="AX60" t="str">
        <f t="shared" si="26"/>
        <v>SSA_CCF_HRY_E_BEGIN_TITO_CLRS_NOM_LFM_0400_CBO3_LLC_DAT_BISR_PMA1_BP1</v>
      </c>
      <c r="AY60" t="str">
        <f t="shared" si="26"/>
        <v>SSA_CCF_HRY_E_BEGIN_TITO_CLRS_NOM_LFM_0400_CBO3_LLC_DAT_BISR_PMA1_BP1</v>
      </c>
    </row>
    <row r="61" spans="1:56" x14ac:dyDescent="0.35">
      <c r="A61" s="12" t="s">
        <v>12</v>
      </c>
      <c r="B61" s="12" t="s">
        <v>54</v>
      </c>
      <c r="C61" s="12" t="str">
        <f>VLOOKUP(B61,templateLookup!A:B,2,0)</f>
        <v>PrimeMbistVminSearchTestMethod</v>
      </c>
      <c r="D61" t="str">
        <f t="shared" si="6"/>
        <v>SSA_CCF_HRY_E_BEGIN_TITO_CLRS_NOM_LFM_0400_CBO3_LLC_DAT_BISR_PMA1_BP1</v>
      </c>
      <c r="E61" t="s">
        <v>4</v>
      </c>
      <c r="F61" t="s">
        <v>22</v>
      </c>
      <c r="G61" t="s">
        <v>271</v>
      </c>
      <c r="H61" t="s">
        <v>207</v>
      </c>
      <c r="I61" t="s">
        <v>260</v>
      </c>
      <c r="J61" t="s">
        <v>283</v>
      </c>
      <c r="K61" t="s">
        <v>284</v>
      </c>
      <c r="L61" t="s">
        <v>285</v>
      </c>
      <c r="M61" t="str">
        <f t="shared" si="9"/>
        <v>0400</v>
      </c>
      <c r="N61" t="s">
        <v>334</v>
      </c>
      <c r="O61" t="s">
        <v>267</v>
      </c>
      <c r="P61" t="s">
        <v>287</v>
      </c>
      <c r="Q61" t="s">
        <v>335</v>
      </c>
      <c r="R61">
        <f>VLOOKUP(E61,binningRules!$B$6:$C$9,2,0)</f>
        <v>61</v>
      </c>
      <c r="S61">
        <v>10</v>
      </c>
      <c r="T61">
        <v>25</v>
      </c>
      <c r="U61">
        <v>-1</v>
      </c>
      <c r="V61" t="b">
        <v>0</v>
      </c>
      <c r="W61" t="s">
        <v>270</v>
      </c>
      <c r="X61" t="s">
        <v>271</v>
      </c>
      <c r="Y61" t="s">
        <v>272</v>
      </c>
      <c r="Z61">
        <v>0.85</v>
      </c>
      <c r="AA61">
        <v>0.85</v>
      </c>
      <c r="AS61">
        <f t="shared" si="5"/>
        <v>10</v>
      </c>
      <c r="AT61" t="s">
        <v>273</v>
      </c>
      <c r="AU61" t="str">
        <f t="shared" si="7"/>
        <v>SSA_CCF_RASTER_E_BEGIN_TITO_CLRS_NOM_LFM_0400_CBO3_LLC_DAT_RASTER</v>
      </c>
      <c r="AV61" t="str">
        <f t="shared" ref="AV61:BD61" si="29">$D63</f>
        <v>SSA_CCF_HRY_E_BEGIN_TITO_CLRS_NOM_LFM_0400_CBO3_LLC_TAG_BISR_PMA1_BP3</v>
      </c>
      <c r="AW61" t="str">
        <f t="shared" si="29"/>
        <v>SSA_CCF_HRY_E_BEGIN_TITO_CLRS_NOM_LFM_0400_CBO3_LLC_TAG_BISR_PMA1_BP3</v>
      </c>
      <c r="AX61" t="str">
        <f t="shared" si="29"/>
        <v>SSA_CCF_HRY_E_BEGIN_TITO_CLRS_NOM_LFM_0400_CBO3_LLC_TAG_BISR_PMA1_BP3</v>
      </c>
      <c r="AY61" t="str">
        <f t="shared" si="29"/>
        <v>SSA_CCF_HRY_E_BEGIN_TITO_CLRS_NOM_LFM_0400_CBO3_LLC_TAG_BISR_PMA1_BP3</v>
      </c>
      <c r="AZ61" t="str">
        <f t="shared" si="29"/>
        <v>SSA_CCF_HRY_E_BEGIN_TITO_CLRS_NOM_LFM_0400_CBO3_LLC_TAG_BISR_PMA1_BP3</v>
      </c>
      <c r="BA61" t="str">
        <f t="shared" si="29"/>
        <v>SSA_CCF_HRY_E_BEGIN_TITO_CLRS_NOM_LFM_0400_CBO3_LLC_TAG_BISR_PMA1_BP3</v>
      </c>
      <c r="BB61" t="str">
        <f t="shared" si="29"/>
        <v>SSA_CCF_HRY_E_BEGIN_TITO_CLRS_NOM_LFM_0400_CBO3_LLC_TAG_BISR_PMA1_BP3</v>
      </c>
      <c r="BC61" t="str">
        <f t="shared" si="29"/>
        <v>SSA_CCF_HRY_E_BEGIN_TITO_CLRS_NOM_LFM_0400_CBO3_LLC_TAG_BISR_PMA1_BP3</v>
      </c>
      <c r="BD61" t="str">
        <f t="shared" si="29"/>
        <v>SSA_CCF_HRY_E_BEGIN_TITO_CLRS_NOM_LFM_0400_CBO3_LLC_TAG_BISR_PMA1_BP3</v>
      </c>
    </row>
    <row r="62" spans="1:56" x14ac:dyDescent="0.35">
      <c r="A62" s="12" t="s">
        <v>12</v>
      </c>
      <c r="B62" s="12" t="s">
        <v>56</v>
      </c>
      <c r="C62" s="12" t="str">
        <f>VLOOKUP(B62,templateLookup!A:B,2,0)</f>
        <v>MbistRasterTC</v>
      </c>
      <c r="D62" t="str">
        <f t="shared" si="6"/>
        <v>SSA_CCF_RASTER_E_BEGIN_TITO_CLRS_NOM_LFM_0400_CBO3_LLC_DAT_RASTER</v>
      </c>
      <c r="E62" t="s">
        <v>4</v>
      </c>
      <c r="F62" t="s">
        <v>22</v>
      </c>
      <c r="G62" t="s">
        <v>289</v>
      </c>
      <c r="H62" t="s">
        <v>207</v>
      </c>
      <c r="I62" t="s">
        <v>260</v>
      </c>
      <c r="J62" t="s">
        <v>283</v>
      </c>
      <c r="K62" t="s">
        <v>284</v>
      </c>
      <c r="L62" t="s">
        <v>285</v>
      </c>
      <c r="M62" t="str">
        <f t="shared" si="9"/>
        <v>0400</v>
      </c>
      <c r="N62" t="s">
        <v>336</v>
      </c>
      <c r="O62" t="s">
        <v>267</v>
      </c>
      <c r="P62" t="s">
        <v>287</v>
      </c>
      <c r="Q62" t="s">
        <v>291</v>
      </c>
      <c r="R62">
        <f>VLOOKUP(E62,binningRules!$B$6:$C$9,2,0)</f>
        <v>61</v>
      </c>
      <c r="S62">
        <v>10</v>
      </c>
      <c r="T62">
        <v>26</v>
      </c>
      <c r="U62">
        <v>1</v>
      </c>
      <c r="V62" t="b">
        <v>0</v>
      </c>
      <c r="W62" t="s">
        <v>270</v>
      </c>
      <c r="AS62">
        <f t="shared" si="5"/>
        <v>5</v>
      </c>
      <c r="AT62">
        <v>1</v>
      </c>
      <c r="AU62" t="str">
        <f t="shared" si="7"/>
        <v>SSA_CCF_HRY_E_BEGIN_TITO_CLRS_NOM_LFM_0400_CBO3_LLC_TAG_BISR_PMA1_BP3</v>
      </c>
      <c r="AV62" t="str">
        <f>$D63</f>
        <v>SSA_CCF_HRY_E_BEGIN_TITO_CLRS_NOM_LFM_0400_CBO3_LLC_TAG_BISR_PMA1_BP3</v>
      </c>
      <c r="AW62" t="str">
        <f>$D63</f>
        <v>SSA_CCF_HRY_E_BEGIN_TITO_CLRS_NOM_LFM_0400_CBO3_LLC_TAG_BISR_PMA1_BP3</v>
      </c>
      <c r="AX62" t="str">
        <f>$D63</f>
        <v>SSA_CCF_HRY_E_BEGIN_TITO_CLRS_NOM_LFM_0400_CBO3_LLC_TAG_BISR_PMA1_BP3</v>
      </c>
      <c r="AY62" t="str">
        <f>$D63</f>
        <v>SSA_CCF_HRY_E_BEGIN_TITO_CLRS_NOM_LFM_0400_CBO3_LLC_TAG_BISR_PMA1_BP3</v>
      </c>
    </row>
    <row r="63" spans="1:56" x14ac:dyDescent="0.35">
      <c r="A63" s="12" t="s">
        <v>12</v>
      </c>
      <c r="B63" s="12" t="s">
        <v>54</v>
      </c>
      <c r="C63" s="12" t="str">
        <f>VLOOKUP(B63,templateLookup!A:B,2,0)</f>
        <v>PrimeMbistVminSearchTestMethod</v>
      </c>
      <c r="D63" t="str">
        <f t="shared" si="6"/>
        <v>SSA_CCF_HRY_E_BEGIN_TITO_CLRS_NOM_LFM_0400_CBO3_LLC_TAG_BISR_PMA1_BP3</v>
      </c>
      <c r="E63" t="s">
        <v>4</v>
      </c>
      <c r="F63" t="s">
        <v>22</v>
      </c>
      <c r="G63" t="s">
        <v>271</v>
      </c>
      <c r="H63" t="s">
        <v>207</v>
      </c>
      <c r="I63" t="s">
        <v>260</v>
      </c>
      <c r="J63" t="s">
        <v>283</v>
      </c>
      <c r="K63" t="s">
        <v>284</v>
      </c>
      <c r="L63" t="s">
        <v>285</v>
      </c>
      <c r="M63" t="str">
        <f t="shared" si="9"/>
        <v>0400</v>
      </c>
      <c r="N63" t="s">
        <v>337</v>
      </c>
      <c r="O63" t="s">
        <v>267</v>
      </c>
      <c r="P63" t="s">
        <v>287</v>
      </c>
      <c r="Q63" t="s">
        <v>338</v>
      </c>
      <c r="R63">
        <f>VLOOKUP(E63,binningRules!$B$6:$C$9,2,0)</f>
        <v>61</v>
      </c>
      <c r="S63">
        <v>10</v>
      </c>
      <c r="T63">
        <v>27</v>
      </c>
      <c r="U63">
        <v>-1</v>
      </c>
      <c r="V63" t="b">
        <v>0</v>
      </c>
      <c r="W63" t="s">
        <v>270</v>
      </c>
      <c r="X63" t="s">
        <v>271</v>
      </c>
      <c r="Y63" t="s">
        <v>272</v>
      </c>
      <c r="Z63">
        <v>0.85</v>
      </c>
      <c r="AA63">
        <v>0.85</v>
      </c>
      <c r="AS63">
        <f t="shared" si="5"/>
        <v>10</v>
      </c>
      <c r="AT63" t="s">
        <v>273</v>
      </c>
      <c r="AU63" t="str">
        <f t="shared" si="7"/>
        <v>SSA_CCF_RASTER_E_BEGIN_TITO_CLRS_NOM_LFM_0400_CBO3_LLC_TAG_RASTER</v>
      </c>
      <c r="AV63" t="str">
        <f t="shared" ref="AV63:BD63" si="30">$D65</f>
        <v>LSA_CCF_HRY_E_BEGIN_TITO_CLR_NOM_LFM_0400_CBO3_LSA_ALL_PMA1_BP5</v>
      </c>
      <c r="AW63" t="str">
        <f t="shared" si="30"/>
        <v>LSA_CCF_HRY_E_BEGIN_TITO_CLR_NOM_LFM_0400_CBO3_LSA_ALL_PMA1_BP5</v>
      </c>
      <c r="AX63" t="str">
        <f t="shared" si="30"/>
        <v>LSA_CCF_HRY_E_BEGIN_TITO_CLR_NOM_LFM_0400_CBO3_LSA_ALL_PMA1_BP5</v>
      </c>
      <c r="AY63" t="str">
        <f t="shared" si="30"/>
        <v>LSA_CCF_HRY_E_BEGIN_TITO_CLR_NOM_LFM_0400_CBO3_LSA_ALL_PMA1_BP5</v>
      </c>
      <c r="AZ63" t="str">
        <f t="shared" si="30"/>
        <v>LSA_CCF_HRY_E_BEGIN_TITO_CLR_NOM_LFM_0400_CBO3_LSA_ALL_PMA1_BP5</v>
      </c>
      <c r="BA63" t="str">
        <f t="shared" si="30"/>
        <v>LSA_CCF_HRY_E_BEGIN_TITO_CLR_NOM_LFM_0400_CBO3_LSA_ALL_PMA1_BP5</v>
      </c>
      <c r="BB63" t="str">
        <f t="shared" si="30"/>
        <v>LSA_CCF_HRY_E_BEGIN_TITO_CLR_NOM_LFM_0400_CBO3_LSA_ALL_PMA1_BP5</v>
      </c>
      <c r="BC63" t="str">
        <f t="shared" si="30"/>
        <v>LSA_CCF_HRY_E_BEGIN_TITO_CLR_NOM_LFM_0400_CBO3_LSA_ALL_PMA1_BP5</v>
      </c>
      <c r="BD63" t="str">
        <f t="shared" si="30"/>
        <v>LSA_CCF_HRY_E_BEGIN_TITO_CLR_NOM_LFM_0400_CBO3_LSA_ALL_PMA1_BP5</v>
      </c>
    </row>
    <row r="64" spans="1:56" x14ac:dyDescent="0.35">
      <c r="A64" s="12" t="s">
        <v>12</v>
      </c>
      <c r="B64" s="12" t="s">
        <v>56</v>
      </c>
      <c r="C64" s="12" t="str">
        <f>VLOOKUP(B64,templateLookup!A:B,2,0)</f>
        <v>MbistRasterTC</v>
      </c>
      <c r="D64" t="str">
        <f t="shared" si="6"/>
        <v>SSA_CCF_RASTER_E_BEGIN_TITO_CLRS_NOM_LFM_0400_CBO3_LLC_TAG_RASTER</v>
      </c>
      <c r="E64" t="s">
        <v>4</v>
      </c>
      <c r="F64" t="s">
        <v>22</v>
      </c>
      <c r="G64" t="s">
        <v>289</v>
      </c>
      <c r="H64" t="s">
        <v>207</v>
      </c>
      <c r="I64" t="s">
        <v>260</v>
      </c>
      <c r="J64" t="s">
        <v>283</v>
      </c>
      <c r="K64" t="s">
        <v>284</v>
      </c>
      <c r="L64" t="s">
        <v>285</v>
      </c>
      <c r="M64" t="str">
        <f t="shared" si="9"/>
        <v>0400</v>
      </c>
      <c r="N64" t="s">
        <v>339</v>
      </c>
      <c r="O64" t="s">
        <v>267</v>
      </c>
      <c r="P64" t="s">
        <v>287</v>
      </c>
      <c r="Q64" t="s">
        <v>291</v>
      </c>
      <c r="R64">
        <f>VLOOKUP(E64,binningRules!$B$6:$C$9,2,0)</f>
        <v>61</v>
      </c>
      <c r="S64">
        <v>10</v>
      </c>
      <c r="T64">
        <v>28</v>
      </c>
      <c r="U64">
        <v>1</v>
      </c>
      <c r="V64" s="12" t="b">
        <v>0</v>
      </c>
      <c r="W64" t="s">
        <v>270</v>
      </c>
      <c r="AS64">
        <f t="shared" si="5"/>
        <v>5</v>
      </c>
      <c r="AT64">
        <v>1</v>
      </c>
      <c r="AU64" t="str">
        <f t="shared" si="7"/>
        <v>LSA_CCF_HRY_E_BEGIN_TITO_CLR_NOM_LFM_0400_CBO3_LSA_ALL_PMA1_BP5</v>
      </c>
      <c r="AV64" t="str">
        <f>$D65</f>
        <v>LSA_CCF_HRY_E_BEGIN_TITO_CLR_NOM_LFM_0400_CBO3_LSA_ALL_PMA1_BP5</v>
      </c>
      <c r="AW64" t="str">
        <f>$D65</f>
        <v>LSA_CCF_HRY_E_BEGIN_TITO_CLR_NOM_LFM_0400_CBO3_LSA_ALL_PMA1_BP5</v>
      </c>
      <c r="AX64" t="str">
        <f>$D65</f>
        <v>LSA_CCF_HRY_E_BEGIN_TITO_CLR_NOM_LFM_0400_CBO3_LSA_ALL_PMA1_BP5</v>
      </c>
      <c r="AY64" t="str">
        <f>$D65</f>
        <v>LSA_CCF_HRY_E_BEGIN_TITO_CLR_NOM_LFM_0400_CBO3_LSA_ALL_PMA1_BP5</v>
      </c>
    </row>
    <row r="65" spans="1:56" x14ac:dyDescent="0.35">
      <c r="A65" s="12" t="s">
        <v>12</v>
      </c>
      <c r="B65" s="12" t="s">
        <v>54</v>
      </c>
      <c r="C65" s="12" t="str">
        <f>VLOOKUP(B65,templateLookup!A:B,2,0)</f>
        <v>PrimeMbistVminSearchTestMethod</v>
      </c>
      <c r="D65" t="str">
        <f t="shared" si="6"/>
        <v>LSA_CCF_HRY_E_BEGIN_TITO_CLR_NOM_LFM_0400_CBO3_LSA_ALL_PMA1_BP5</v>
      </c>
      <c r="E65" t="s">
        <v>5</v>
      </c>
      <c r="F65" t="s">
        <v>22</v>
      </c>
      <c r="G65" t="s">
        <v>271</v>
      </c>
      <c r="H65" t="s">
        <v>207</v>
      </c>
      <c r="I65" t="s">
        <v>260</v>
      </c>
      <c r="J65" t="s">
        <v>300</v>
      </c>
      <c r="K65" t="s">
        <v>284</v>
      </c>
      <c r="L65" t="s">
        <v>285</v>
      </c>
      <c r="M65" t="str">
        <f t="shared" si="9"/>
        <v>0400</v>
      </c>
      <c r="N65" t="s">
        <v>340</v>
      </c>
      <c r="O65" t="s">
        <v>267</v>
      </c>
      <c r="P65" t="s">
        <v>287</v>
      </c>
      <c r="Q65" t="s">
        <v>341</v>
      </c>
      <c r="R65">
        <f>VLOOKUP(E65,binningRules!$B$6:$C$9,2,0)</f>
        <v>21</v>
      </c>
      <c r="S65">
        <v>10</v>
      </c>
      <c r="T65">
        <v>29</v>
      </c>
      <c r="U65">
        <v>-1</v>
      </c>
      <c r="V65" t="b">
        <v>0</v>
      </c>
      <c r="W65" t="s">
        <v>270</v>
      </c>
      <c r="X65" t="s">
        <v>271</v>
      </c>
      <c r="Y65" t="s">
        <v>272</v>
      </c>
      <c r="Z65">
        <v>0.85</v>
      </c>
      <c r="AA65">
        <v>0.85</v>
      </c>
      <c r="AS65">
        <f t="shared" si="5"/>
        <v>10</v>
      </c>
      <c r="AT65" t="s">
        <v>273</v>
      </c>
      <c r="AU65" t="str">
        <f>$D66</f>
        <v>LSA_CCF_RASTER_E_BEGIN_TITO_CLR_NOM_LFM_0400_CBO3_LSA_ALL_STEP0</v>
      </c>
      <c r="AV65">
        <v>1</v>
      </c>
      <c r="AW65" t="str">
        <f t="shared" ref="AW65:AY66" si="31">$D66</f>
        <v>LSA_CCF_RASTER_E_BEGIN_TITO_CLR_NOM_LFM_0400_CBO3_LSA_ALL_STEP0</v>
      </c>
      <c r="AX65" t="str">
        <f t="shared" si="31"/>
        <v>LSA_CCF_RASTER_E_BEGIN_TITO_CLR_NOM_LFM_0400_CBO3_LSA_ALL_STEP0</v>
      </c>
      <c r="AY65" t="str">
        <f t="shared" si="31"/>
        <v>LSA_CCF_RASTER_E_BEGIN_TITO_CLR_NOM_LFM_0400_CBO3_LSA_ALL_STEP0</v>
      </c>
      <c r="AZ65">
        <v>1</v>
      </c>
      <c r="BA65">
        <v>1</v>
      </c>
      <c r="BB65">
        <v>1</v>
      </c>
      <c r="BC65">
        <v>1</v>
      </c>
      <c r="BD65">
        <v>1</v>
      </c>
    </row>
    <row r="66" spans="1:56" x14ac:dyDescent="0.35">
      <c r="A66" s="12" t="s">
        <v>12</v>
      </c>
      <c r="B66" s="12" t="s">
        <v>56</v>
      </c>
      <c r="C66" s="12" t="str">
        <f>VLOOKUP(B66,templateLookup!A:B,2,0)</f>
        <v>MbistRasterTC</v>
      </c>
      <c r="D66" s="46" t="str">
        <f t="shared" ref="D66" si="32">E66&amp;"_"&amp;F66&amp;"_"&amp;G66&amp;"_"&amp;H66&amp;"_"&amp;A66&amp;"_"&amp;I66&amp;"_"&amp;J66&amp;"_"&amp;K66&amp;"_"&amp;L66&amp;"_"&amp;M66&amp;"_"&amp;N66</f>
        <v>LSA_CCF_RASTER_E_BEGIN_TITO_CLR_NOM_LFM_0400_CBO3_LSA_ALL_STEP0</v>
      </c>
      <c r="E66" t="s">
        <v>5</v>
      </c>
      <c r="F66" t="s">
        <v>22</v>
      </c>
      <c r="G66" t="s">
        <v>289</v>
      </c>
      <c r="H66" t="s">
        <v>207</v>
      </c>
      <c r="I66" t="s">
        <v>260</v>
      </c>
      <c r="J66" t="s">
        <v>300</v>
      </c>
      <c r="K66" t="s">
        <v>284</v>
      </c>
      <c r="L66" t="s">
        <v>285</v>
      </c>
      <c r="M66" t="str">
        <f t="shared" si="9"/>
        <v>0400</v>
      </c>
      <c r="N66" t="s">
        <v>342</v>
      </c>
      <c r="O66" t="s">
        <v>267</v>
      </c>
      <c r="P66" t="s">
        <v>287</v>
      </c>
      <c r="Q66" t="s">
        <v>343</v>
      </c>
      <c r="R66">
        <f>VLOOKUP(E66,binningRules!$B$6:$C$9,2,0)</f>
        <v>21</v>
      </c>
      <c r="S66">
        <v>10</v>
      </c>
      <c r="T66">
        <v>30</v>
      </c>
      <c r="U66">
        <v>-1</v>
      </c>
      <c r="V66" t="b">
        <v>0</v>
      </c>
      <c r="W66" t="s">
        <v>270</v>
      </c>
      <c r="AS66">
        <f t="shared" ref="AS66" si="33">COUNTA(AU66:BD66)</f>
        <v>5</v>
      </c>
      <c r="AT66">
        <v>1</v>
      </c>
      <c r="AU66" t="str">
        <f>$D67</f>
        <v>LSA_CCF_RASTER_E_BEGIN_TITO_CLR_NOM_LFM_0400_CBO3_LSA_ALL_STEP1</v>
      </c>
      <c r="AV66" t="str">
        <f>$D67</f>
        <v>LSA_CCF_RASTER_E_BEGIN_TITO_CLR_NOM_LFM_0400_CBO3_LSA_ALL_STEP1</v>
      </c>
      <c r="AW66" t="str">
        <f t="shared" si="31"/>
        <v>LSA_CCF_RASTER_E_BEGIN_TITO_CLR_NOM_LFM_0400_CBO3_LSA_ALL_STEP1</v>
      </c>
      <c r="AX66" t="str">
        <f t="shared" si="31"/>
        <v>LSA_CCF_RASTER_E_BEGIN_TITO_CLR_NOM_LFM_0400_CBO3_LSA_ALL_STEP1</v>
      </c>
      <c r="AY66" t="str">
        <f t="shared" si="31"/>
        <v>LSA_CCF_RASTER_E_BEGIN_TITO_CLR_NOM_LFM_0400_CBO3_LSA_ALL_STEP1</v>
      </c>
    </row>
    <row r="67" spans="1:56" x14ac:dyDescent="0.35">
      <c r="A67" s="12" t="s">
        <v>12</v>
      </c>
      <c r="B67" s="12" t="s">
        <v>56</v>
      </c>
      <c r="C67" s="12" t="str">
        <f>VLOOKUP(B67,templateLookup!A:B,2,0)</f>
        <v>MbistRasterTC</v>
      </c>
      <c r="D67" s="46" t="str">
        <f t="shared" si="6"/>
        <v>LSA_CCF_RASTER_E_BEGIN_TITO_CLR_NOM_LFM_0400_CBO3_LSA_ALL_STEP1</v>
      </c>
      <c r="E67" t="s">
        <v>5</v>
      </c>
      <c r="F67" t="s">
        <v>22</v>
      </c>
      <c r="G67" t="s">
        <v>289</v>
      </c>
      <c r="H67" t="s">
        <v>207</v>
      </c>
      <c r="I67" t="s">
        <v>260</v>
      </c>
      <c r="J67" t="s">
        <v>300</v>
      </c>
      <c r="K67" t="s">
        <v>284</v>
      </c>
      <c r="L67" t="s">
        <v>285</v>
      </c>
      <c r="M67" t="str">
        <f t="shared" si="9"/>
        <v>0400</v>
      </c>
      <c r="N67" t="s">
        <v>344</v>
      </c>
      <c r="O67" t="s">
        <v>267</v>
      </c>
      <c r="P67" t="s">
        <v>287</v>
      </c>
      <c r="Q67" t="s">
        <v>345</v>
      </c>
      <c r="R67">
        <f>VLOOKUP(E67,binningRules!$B$6:$C$9,2,0)</f>
        <v>21</v>
      </c>
      <c r="S67">
        <v>10</v>
      </c>
      <c r="T67">
        <v>31</v>
      </c>
      <c r="U67">
        <v>-1</v>
      </c>
      <c r="V67" t="b">
        <v>0</v>
      </c>
      <c r="W67" t="s">
        <v>270</v>
      </c>
      <c r="AS67">
        <f t="shared" si="5"/>
        <v>5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</row>
    <row r="68" spans="1:56" x14ac:dyDescent="0.35">
      <c r="A68" s="40" t="s">
        <v>12</v>
      </c>
      <c r="B68" s="40" t="s">
        <v>50</v>
      </c>
      <c r="C68" s="40" t="str">
        <f>VLOOKUP(B68,templateLookup!A:B,2,0)</f>
        <v>COMPOSITE</v>
      </c>
      <c r="D68" s="10" t="s">
        <v>346</v>
      </c>
    </row>
    <row r="69" spans="1:56" x14ac:dyDescent="0.35">
      <c r="A69" s="40" t="s">
        <v>12</v>
      </c>
      <c r="B69" s="40" t="s">
        <v>49</v>
      </c>
      <c r="C69" s="40" t="str">
        <f>VLOOKUP(B69,templateLookup!A:B,2,0)</f>
        <v>COMPOSITE</v>
      </c>
      <c r="D69" s="10" t="s">
        <v>347</v>
      </c>
      <c r="F69" t="s">
        <v>30</v>
      </c>
      <c r="AS69">
        <f>COUNTA(AU69:BD69)</f>
        <v>3</v>
      </c>
      <c r="AT69" t="s">
        <v>218</v>
      </c>
      <c r="AU69" t="str">
        <f>$D75</f>
        <v>CCF_POST_REPAIR</v>
      </c>
      <c r="AV69" t="str">
        <f>$D75</f>
        <v>CCF_POST_REPAIR</v>
      </c>
      <c r="AW69">
        <v>1</v>
      </c>
    </row>
    <row r="70" spans="1:56" x14ac:dyDescent="0.35">
      <c r="A70" s="12" t="s">
        <v>12</v>
      </c>
      <c r="B70" s="12" t="s">
        <v>97</v>
      </c>
      <c r="C70" s="12" t="str">
        <f>VLOOKUP(B70,templateLookup!A:B,2,0)</f>
        <v>iCScreenTest</v>
      </c>
      <c r="D70" t="str">
        <f>E70&amp;"_"&amp;F70&amp;"_"&amp;G70&amp;"_"&amp;H70&amp;"_"&amp;A70&amp;"_"&amp;I70&amp;"_"&amp;J70&amp;"_"&amp;K70&amp;"_"&amp;L70&amp;"_"&amp;M70&amp;"_"&amp;N70</f>
        <v>ALL_COMMON_SCREEN_E_BEGIN_X_CLRS_X_X_0400_JOIN_BISR</v>
      </c>
      <c r="E70" t="s">
        <v>7</v>
      </c>
      <c r="F70" t="s">
        <v>30</v>
      </c>
      <c r="G70" t="s">
        <v>206</v>
      </c>
      <c r="H70" t="s">
        <v>207</v>
      </c>
      <c r="I70" t="s">
        <v>208</v>
      </c>
      <c r="J70" t="s">
        <v>283</v>
      </c>
      <c r="K70" t="s">
        <v>208</v>
      </c>
      <c r="L70" t="s">
        <v>208</v>
      </c>
      <c r="M70" t="str">
        <f>TEXT(400,"0000")</f>
        <v>0400</v>
      </c>
      <c r="N70" t="s">
        <v>348</v>
      </c>
      <c r="O70" t="s">
        <v>267</v>
      </c>
      <c r="P70" t="s">
        <v>287</v>
      </c>
      <c r="Q70" t="s">
        <v>349</v>
      </c>
      <c r="R70">
        <v>61</v>
      </c>
      <c r="S70">
        <v>10</v>
      </c>
      <c r="T70">
        <v>90</v>
      </c>
      <c r="U70">
        <v>-1</v>
      </c>
      <c r="V70" t="b">
        <v>0</v>
      </c>
      <c r="AD70" t="s">
        <v>350</v>
      </c>
      <c r="AE70" t="s">
        <v>351</v>
      </c>
      <c r="AS70">
        <f>COUNTA(AU70:BD70)</f>
        <v>3</v>
      </c>
      <c r="AT70">
        <v>1</v>
      </c>
      <c r="AU70" t="str">
        <f>$D71</f>
        <v>ALL_CCF_VFDM_E_BEGIN_X_CLRS_X_X_0400_ALL</v>
      </c>
      <c r="AV70" t="str">
        <f>$D71</f>
        <v>ALL_CCF_VFDM_E_BEGIN_X_CLRS_X_X_0400_ALL</v>
      </c>
      <c r="AW70" t="str">
        <f>$D71</f>
        <v>ALL_CCF_VFDM_E_BEGIN_X_CLRS_X_X_0400_ALL</v>
      </c>
    </row>
    <row r="71" spans="1:56" x14ac:dyDescent="0.35">
      <c r="A71" s="12" t="s">
        <v>12</v>
      </c>
      <c r="B71" s="12" t="s">
        <v>87</v>
      </c>
      <c r="C71" s="12" t="str">
        <f>VLOOKUP(B71,templateLookup!A:B,2,0)</f>
        <v>iCVFDMTest</v>
      </c>
      <c r="D71" t="str">
        <f>E71&amp;"_"&amp;F71&amp;"_"&amp;G71&amp;"_"&amp;H71&amp;"_"&amp;A71&amp;"_"&amp;I71&amp;"_"&amp;J71&amp;"_"&amp;K71&amp;"_"&amp;L71&amp;"_"&amp;M71&amp;"_"&amp;N71</f>
        <v>ALL_CCF_VFDM_E_BEGIN_X_CLRS_X_X_0400_ALL</v>
      </c>
      <c r="E71" t="s">
        <v>7</v>
      </c>
      <c r="F71" t="s">
        <v>22</v>
      </c>
      <c r="G71" t="s">
        <v>178</v>
      </c>
      <c r="H71" t="s">
        <v>207</v>
      </c>
      <c r="I71" t="s">
        <v>208</v>
      </c>
      <c r="J71" t="s">
        <v>283</v>
      </c>
      <c r="K71" t="s">
        <v>208</v>
      </c>
      <c r="L71" t="s">
        <v>208</v>
      </c>
      <c r="M71" t="str">
        <f t="shared" ref="M71:M73" si="34">TEXT(400,"0000")</f>
        <v>0400</v>
      </c>
      <c r="N71" t="s">
        <v>7</v>
      </c>
      <c r="O71" t="s">
        <v>267</v>
      </c>
      <c r="P71" t="s">
        <v>287</v>
      </c>
      <c r="Q71" t="s">
        <v>349</v>
      </c>
      <c r="R71">
        <v>61</v>
      </c>
      <c r="S71">
        <v>10</v>
      </c>
      <c r="T71">
        <v>91</v>
      </c>
      <c r="U71">
        <v>-1</v>
      </c>
      <c r="V71" t="b">
        <v>0</v>
      </c>
      <c r="AF71" t="s">
        <v>240</v>
      </c>
      <c r="AG71" t="s">
        <v>352</v>
      </c>
      <c r="AS71">
        <f>COUNTA(AU71:BD71)</f>
        <v>3</v>
      </c>
      <c r="AT71" t="s">
        <v>218</v>
      </c>
      <c r="AU71" t="str">
        <f>$D72</f>
        <v>ALL_CCF_UF_K_BEGIN_X_CLRS_X_X_0400_VFDM_UF</v>
      </c>
      <c r="AV71" t="str">
        <f>$D72</f>
        <v>ALL_CCF_UF_K_BEGIN_X_CLRS_X_X_0400_VFDM_UF</v>
      </c>
      <c r="AW71">
        <v>2</v>
      </c>
    </row>
    <row r="72" spans="1:56" x14ac:dyDescent="0.35">
      <c r="A72" s="12" t="s">
        <v>12</v>
      </c>
      <c r="B72" s="12" t="s">
        <v>85</v>
      </c>
      <c r="C72" s="12" t="str">
        <f>VLOOKUP(B72,templateLookup!A:B,2,0)</f>
        <v>iCUserFuncTest</v>
      </c>
      <c r="D72" t="str">
        <f>E72&amp;"_"&amp;F72&amp;"_"&amp;G72&amp;"_"&amp;H72&amp;"_"&amp;A72&amp;"_"&amp;I72&amp;"_"&amp;J72&amp;"_"&amp;K72&amp;"_"&amp;L72&amp;"_"&amp;M72&amp;"_"&amp;N72</f>
        <v>ALL_CCF_UF_K_BEGIN_X_CLRS_X_X_0400_VFDM_UF</v>
      </c>
      <c r="E72" t="s">
        <v>7</v>
      </c>
      <c r="F72" t="s">
        <v>22</v>
      </c>
      <c r="G72" t="s">
        <v>353</v>
      </c>
      <c r="H72" t="s">
        <v>253</v>
      </c>
      <c r="I72" t="s">
        <v>208</v>
      </c>
      <c r="J72" t="s">
        <v>283</v>
      </c>
      <c r="K72" t="s">
        <v>208</v>
      </c>
      <c r="L72" t="s">
        <v>208</v>
      </c>
      <c r="M72" t="str">
        <f t="shared" si="34"/>
        <v>0400</v>
      </c>
      <c r="N72" t="s">
        <v>354</v>
      </c>
      <c r="O72" t="s">
        <v>267</v>
      </c>
      <c r="P72" t="s">
        <v>287</v>
      </c>
      <c r="Q72" t="s">
        <v>349</v>
      </c>
      <c r="R72">
        <v>90</v>
      </c>
      <c r="S72">
        <v>61</v>
      </c>
      <c r="T72">
        <v>92</v>
      </c>
      <c r="U72">
        <v>-1</v>
      </c>
      <c r="V72" t="b">
        <v>1</v>
      </c>
      <c r="AI72" t="s">
        <v>355</v>
      </c>
      <c r="AJ72" t="s">
        <v>356</v>
      </c>
      <c r="AS72">
        <f>COUNTA(AU72:BD72)</f>
        <v>3</v>
      </c>
      <c r="AT72" t="s">
        <v>218</v>
      </c>
      <c r="AU72" t="str">
        <f>$D73</f>
        <v>ALL_CCF_PATMOD_E_BEGIN_TITO_X_MAX_LFM_0400_REPAIR</v>
      </c>
      <c r="AV72" t="str">
        <f>$D73</f>
        <v>ALL_CCF_PATMOD_E_BEGIN_TITO_X_MAX_LFM_0400_REPAIR</v>
      </c>
      <c r="AW72" t="str">
        <f>$D73</f>
        <v>ALL_CCF_PATMOD_E_BEGIN_TITO_X_MAX_LFM_0400_REPAIR</v>
      </c>
    </row>
    <row r="73" spans="1:56" x14ac:dyDescent="0.35">
      <c r="A73" s="12" t="s">
        <v>12</v>
      </c>
      <c r="B73" s="12" t="s">
        <v>59</v>
      </c>
      <c r="C73" s="12" t="str">
        <f>VLOOKUP(B73,templateLookup!A:B,2,0)</f>
        <v>PrimePatConfigTestMethod</v>
      </c>
      <c r="D73" t="str">
        <f>E73&amp;"_"&amp;F73&amp;"_"&amp;G73&amp;"_"&amp;H73&amp;"_"&amp;A73&amp;"_"&amp;I73&amp;"_"&amp;J73&amp;"_"&amp;K73&amp;"_"&amp;L73&amp;"_"&amp;M73&amp;"_"&amp;N73</f>
        <v>ALL_CCF_PATMOD_E_BEGIN_TITO_X_MAX_LFM_0400_REPAIR</v>
      </c>
      <c r="E73" t="s">
        <v>7</v>
      </c>
      <c r="F73" t="s">
        <v>22</v>
      </c>
      <c r="G73" t="s">
        <v>252</v>
      </c>
      <c r="H73" t="s">
        <v>207</v>
      </c>
      <c r="I73" t="s">
        <v>260</v>
      </c>
      <c r="J73" t="s">
        <v>208</v>
      </c>
      <c r="K73" t="s">
        <v>357</v>
      </c>
      <c r="L73" t="s">
        <v>285</v>
      </c>
      <c r="M73" t="str">
        <f t="shared" si="34"/>
        <v>0400</v>
      </c>
      <c r="N73" t="s">
        <v>261</v>
      </c>
      <c r="O73" t="s">
        <v>267</v>
      </c>
      <c r="P73" t="s">
        <v>287</v>
      </c>
      <c r="Q73" t="s">
        <v>349</v>
      </c>
      <c r="R73">
        <f>VLOOKUP(E73,binningRules!$B$6:$C$9,2,0)</f>
        <v>61</v>
      </c>
      <c r="S73">
        <v>10</v>
      </c>
      <c r="T73">
        <v>93</v>
      </c>
      <c r="U73">
        <v>-1</v>
      </c>
      <c r="V73" s="12" t="b">
        <v>0</v>
      </c>
      <c r="AH73" t="s">
        <v>358</v>
      </c>
      <c r="AI73" s="13" t="s">
        <v>355</v>
      </c>
      <c r="AS73">
        <f>COUNTA(AU73:BD73)</f>
        <v>3</v>
      </c>
      <c r="AT73">
        <v>1</v>
      </c>
      <c r="AU73">
        <v>1</v>
      </c>
      <c r="AV73">
        <v>1</v>
      </c>
      <c r="AW73">
        <v>1</v>
      </c>
    </row>
    <row r="74" spans="1:56" x14ac:dyDescent="0.35">
      <c r="A74" s="40" t="s">
        <v>12</v>
      </c>
      <c r="B74" s="40" t="s">
        <v>50</v>
      </c>
      <c r="C74" s="40" t="str">
        <f>VLOOKUP(B74,templateLookup!A:B,2,0)</f>
        <v>COMPOSITE</v>
      </c>
      <c r="D74" s="10" t="s">
        <v>359</v>
      </c>
    </row>
    <row r="75" spans="1:56" x14ac:dyDescent="0.35">
      <c r="A75" s="40" t="s">
        <v>12</v>
      </c>
      <c r="B75" s="40" t="s">
        <v>49</v>
      </c>
      <c r="C75" s="40" t="str">
        <f>VLOOKUP(B75,templateLookup!A:B,2,0)</f>
        <v>COMPOSITE</v>
      </c>
      <c r="D75" s="10" t="s">
        <v>360</v>
      </c>
      <c r="F75" t="s">
        <v>30</v>
      </c>
      <c r="AS75">
        <f t="shared" ref="AS75:AS89" si="35">COUNTA(AU75:BD75)</f>
        <v>2</v>
      </c>
      <c r="AT75">
        <v>1</v>
      </c>
      <c r="AU75">
        <v>1</v>
      </c>
      <c r="AV75">
        <v>1</v>
      </c>
    </row>
    <row r="76" spans="1:56" x14ac:dyDescent="0.35">
      <c r="A76" s="12" t="s">
        <v>12</v>
      </c>
      <c r="B76" s="12" t="s">
        <v>55</v>
      </c>
      <c r="C76" s="12" t="str">
        <f>VLOOKUP(B76,templateLookup!A:B,2,0)</f>
        <v>PrimeMbistVminSearchTestMethod</v>
      </c>
      <c r="D76" t="str">
        <f t="shared" ref="D76:D89" si="36">E76&amp;"_"&amp;F76&amp;"_"&amp;G76&amp;"_"&amp;H76&amp;"_"&amp;A76&amp;"_"&amp;I76&amp;"_"&amp;J76&amp;"_"&amp;K76&amp;"_"&amp;L76&amp;"_"&amp;M76&amp;"_"&amp;N76</f>
        <v>SSA_CCF_HRY_E_BEGIN_TITO_CLRS_NOM_LFM_0400_CBO0_LLC_DAT_POST_REPAIR_PMA0_BP0</v>
      </c>
      <c r="E76" t="s">
        <v>4</v>
      </c>
      <c r="F76" t="s">
        <v>22</v>
      </c>
      <c r="G76" t="s">
        <v>271</v>
      </c>
      <c r="H76" t="s">
        <v>207</v>
      </c>
      <c r="I76" t="s">
        <v>260</v>
      </c>
      <c r="J76" t="s">
        <v>283</v>
      </c>
      <c r="K76" t="s">
        <v>284</v>
      </c>
      <c r="L76" t="s">
        <v>285</v>
      </c>
      <c r="M76" t="str">
        <f>TEXT(400,"0000")</f>
        <v>0400</v>
      </c>
      <c r="N76" t="s">
        <v>361</v>
      </c>
      <c r="O76" t="s">
        <v>267</v>
      </c>
      <c r="P76" t="s">
        <v>287</v>
      </c>
      <c r="Q76" t="s">
        <v>362</v>
      </c>
      <c r="R76">
        <f>VLOOKUP(E76,binningRules!$B$6:$C$9,2,0)</f>
        <v>61</v>
      </c>
      <c r="S76">
        <v>10</v>
      </c>
      <c r="T76">
        <v>100</v>
      </c>
      <c r="U76">
        <v>-1</v>
      </c>
      <c r="V76" t="b">
        <v>0</v>
      </c>
      <c r="W76" t="s">
        <v>270</v>
      </c>
      <c r="X76" t="s">
        <v>363</v>
      </c>
      <c r="Y76" t="s">
        <v>272</v>
      </c>
      <c r="Z76">
        <v>0.85</v>
      </c>
      <c r="AA76">
        <v>0.85</v>
      </c>
      <c r="AS76">
        <f t="shared" si="35"/>
        <v>10</v>
      </c>
      <c r="AT76" t="s">
        <v>273</v>
      </c>
      <c r="AU76" t="str">
        <f t="shared" ref="AU76:BD88" si="37">$D77</f>
        <v>SSA_CCF_HRY_E_BEGIN_TITO_CLRS_NOM_LFM_0400_CBO0_LLC_TAG_POST_REPAIR_PMA0_BP2</v>
      </c>
      <c r="AV76" t="str">
        <f t="shared" si="37"/>
        <v>SSA_CCF_HRY_E_BEGIN_TITO_CLRS_NOM_LFM_0400_CBO0_LLC_TAG_POST_REPAIR_PMA0_BP2</v>
      </c>
      <c r="AW76" t="str">
        <f t="shared" si="37"/>
        <v>SSA_CCF_HRY_E_BEGIN_TITO_CLRS_NOM_LFM_0400_CBO0_LLC_TAG_POST_REPAIR_PMA0_BP2</v>
      </c>
      <c r="AX76" t="str">
        <f t="shared" si="37"/>
        <v>SSA_CCF_HRY_E_BEGIN_TITO_CLRS_NOM_LFM_0400_CBO0_LLC_TAG_POST_REPAIR_PMA0_BP2</v>
      </c>
      <c r="AY76" t="str">
        <f t="shared" si="37"/>
        <v>SSA_CCF_HRY_E_BEGIN_TITO_CLRS_NOM_LFM_0400_CBO0_LLC_TAG_POST_REPAIR_PMA0_BP2</v>
      </c>
      <c r="AZ76" t="str">
        <f t="shared" si="37"/>
        <v>SSA_CCF_HRY_E_BEGIN_TITO_CLRS_NOM_LFM_0400_CBO0_LLC_TAG_POST_REPAIR_PMA0_BP2</v>
      </c>
      <c r="BA76" t="str">
        <f t="shared" si="37"/>
        <v>SSA_CCF_HRY_E_BEGIN_TITO_CLRS_NOM_LFM_0400_CBO0_LLC_TAG_POST_REPAIR_PMA0_BP2</v>
      </c>
      <c r="BB76" t="str">
        <f t="shared" si="37"/>
        <v>SSA_CCF_HRY_E_BEGIN_TITO_CLRS_NOM_LFM_0400_CBO0_LLC_TAG_POST_REPAIR_PMA0_BP2</v>
      </c>
      <c r="BC76" t="str">
        <f t="shared" si="37"/>
        <v>SSA_CCF_HRY_E_BEGIN_TITO_CLRS_NOM_LFM_0400_CBO0_LLC_TAG_POST_REPAIR_PMA0_BP2</v>
      </c>
      <c r="BD76" t="str">
        <f t="shared" si="37"/>
        <v>SSA_CCF_HRY_E_BEGIN_TITO_CLRS_NOM_LFM_0400_CBO0_LLC_TAG_POST_REPAIR_PMA0_BP2</v>
      </c>
    </row>
    <row r="77" spans="1:56" x14ac:dyDescent="0.35">
      <c r="A77" s="12" t="s">
        <v>12</v>
      </c>
      <c r="B77" s="12" t="s">
        <v>55</v>
      </c>
      <c r="C77" s="12" t="str">
        <f>VLOOKUP(B77,templateLookup!A:B,2,0)</f>
        <v>PrimeMbistVminSearchTestMethod</v>
      </c>
      <c r="D77" t="str">
        <f t="shared" si="36"/>
        <v>SSA_CCF_HRY_E_BEGIN_TITO_CLRS_NOM_LFM_0400_CBO0_LLC_TAG_POST_REPAIR_PMA0_BP2</v>
      </c>
      <c r="E77" t="s">
        <v>4</v>
      </c>
      <c r="F77" t="s">
        <v>22</v>
      </c>
      <c r="G77" t="s">
        <v>271</v>
      </c>
      <c r="H77" t="s">
        <v>207</v>
      </c>
      <c r="I77" t="s">
        <v>260</v>
      </c>
      <c r="J77" t="s">
        <v>283</v>
      </c>
      <c r="K77" t="s">
        <v>284</v>
      </c>
      <c r="L77" t="s">
        <v>285</v>
      </c>
      <c r="M77" t="str">
        <f t="shared" ref="M77:M89" si="38">TEXT(400,"0000")</f>
        <v>0400</v>
      </c>
      <c r="N77" t="s">
        <v>364</v>
      </c>
      <c r="O77" t="s">
        <v>267</v>
      </c>
      <c r="P77" t="s">
        <v>287</v>
      </c>
      <c r="Q77" t="s">
        <v>365</v>
      </c>
      <c r="R77">
        <f>VLOOKUP(E77,binningRules!$B$6:$C$9,2,0)</f>
        <v>61</v>
      </c>
      <c r="S77">
        <v>10</v>
      </c>
      <c r="T77">
        <v>101</v>
      </c>
      <c r="U77">
        <v>-1</v>
      </c>
      <c r="V77" t="b">
        <v>0</v>
      </c>
      <c r="W77" t="s">
        <v>270</v>
      </c>
      <c r="X77" t="s">
        <v>363</v>
      </c>
      <c r="Y77" t="s">
        <v>272</v>
      </c>
      <c r="Z77">
        <v>0.85</v>
      </c>
      <c r="AA77">
        <v>0.85</v>
      </c>
      <c r="AS77">
        <f t="shared" si="35"/>
        <v>10</v>
      </c>
      <c r="AT77" t="s">
        <v>273</v>
      </c>
      <c r="AU77" t="str">
        <f t="shared" si="37"/>
        <v>SSA_CCF_HRY_E_BEGIN_TITO_SAN_NOM_LFM_0400_CBO0_SAR_POST_REPAIR_PMA0_BP6</v>
      </c>
      <c r="AV77" t="str">
        <f t="shared" si="37"/>
        <v>SSA_CCF_HRY_E_BEGIN_TITO_SAN_NOM_LFM_0400_CBO0_SAR_POST_REPAIR_PMA0_BP6</v>
      </c>
      <c r="AW77" t="str">
        <f t="shared" si="37"/>
        <v>SSA_CCF_HRY_E_BEGIN_TITO_SAN_NOM_LFM_0400_CBO0_SAR_POST_REPAIR_PMA0_BP6</v>
      </c>
      <c r="AX77" t="str">
        <f t="shared" si="37"/>
        <v>SSA_CCF_HRY_E_BEGIN_TITO_SAN_NOM_LFM_0400_CBO0_SAR_POST_REPAIR_PMA0_BP6</v>
      </c>
      <c r="AY77" t="str">
        <f t="shared" si="37"/>
        <v>SSA_CCF_HRY_E_BEGIN_TITO_SAN_NOM_LFM_0400_CBO0_SAR_POST_REPAIR_PMA0_BP6</v>
      </c>
      <c r="AZ77" t="str">
        <f t="shared" si="37"/>
        <v>SSA_CCF_HRY_E_BEGIN_TITO_SAN_NOM_LFM_0400_CBO0_SAR_POST_REPAIR_PMA0_BP6</v>
      </c>
      <c r="BA77" t="str">
        <f t="shared" si="37"/>
        <v>SSA_CCF_HRY_E_BEGIN_TITO_SAN_NOM_LFM_0400_CBO0_SAR_POST_REPAIR_PMA0_BP6</v>
      </c>
      <c r="BB77" t="str">
        <f t="shared" si="37"/>
        <v>SSA_CCF_HRY_E_BEGIN_TITO_SAN_NOM_LFM_0400_CBO0_SAR_POST_REPAIR_PMA0_BP6</v>
      </c>
      <c r="BC77" t="str">
        <f t="shared" si="37"/>
        <v>SSA_CCF_HRY_E_BEGIN_TITO_SAN_NOM_LFM_0400_CBO0_SAR_POST_REPAIR_PMA0_BP6</v>
      </c>
      <c r="BD77" t="str">
        <f t="shared" si="37"/>
        <v>SSA_CCF_HRY_E_BEGIN_TITO_SAN_NOM_LFM_0400_CBO0_SAR_POST_REPAIR_PMA0_BP6</v>
      </c>
    </row>
    <row r="78" spans="1:56" x14ac:dyDescent="0.35">
      <c r="A78" s="12" t="s">
        <v>12</v>
      </c>
      <c r="B78" s="12" t="s">
        <v>55</v>
      </c>
      <c r="C78" s="12" t="str">
        <f>VLOOKUP(B78,templateLookup!A:B,2,0)</f>
        <v>PrimeMbistVminSearchTestMethod</v>
      </c>
      <c r="D78" t="str">
        <f t="shared" si="36"/>
        <v>SSA_CCF_HRY_E_BEGIN_TITO_SAN_NOM_LFM_0400_CBO0_SAR_POST_REPAIR_PMA0_BP6</v>
      </c>
      <c r="E78" t="s">
        <v>4</v>
      </c>
      <c r="F78" t="s">
        <v>22</v>
      </c>
      <c r="G78" t="s">
        <v>271</v>
      </c>
      <c r="H78" t="s">
        <v>207</v>
      </c>
      <c r="I78" t="s">
        <v>260</v>
      </c>
      <c r="J78" t="s">
        <v>295</v>
      </c>
      <c r="K78" t="s">
        <v>284</v>
      </c>
      <c r="L78" t="s">
        <v>285</v>
      </c>
      <c r="M78" t="str">
        <f t="shared" si="38"/>
        <v>0400</v>
      </c>
      <c r="N78" t="s">
        <v>366</v>
      </c>
      <c r="O78" t="s">
        <v>267</v>
      </c>
      <c r="P78" t="s">
        <v>287</v>
      </c>
      <c r="Q78" t="s">
        <v>367</v>
      </c>
      <c r="R78">
        <f>VLOOKUP(E78,binningRules!$B$6:$C$9,2,0)</f>
        <v>61</v>
      </c>
      <c r="S78">
        <v>10</v>
      </c>
      <c r="T78">
        <v>102</v>
      </c>
      <c r="U78">
        <v>-1</v>
      </c>
      <c r="V78" t="b">
        <v>0</v>
      </c>
      <c r="W78" t="s">
        <v>298</v>
      </c>
      <c r="X78" t="s">
        <v>363</v>
      </c>
      <c r="Y78" t="s">
        <v>272</v>
      </c>
      <c r="Z78">
        <v>0.85</v>
      </c>
      <c r="AA78">
        <v>0.85</v>
      </c>
      <c r="AS78">
        <f t="shared" si="35"/>
        <v>10</v>
      </c>
      <c r="AT78" t="s">
        <v>273</v>
      </c>
      <c r="AU78" t="str">
        <f t="shared" si="37"/>
        <v>LSA_CCF_HRY_E_BEGIN_TITO_CLR_NOM_LFM_0400_CBO0_LSA_ALL_POST_REPAIR_PMA0_BP4</v>
      </c>
      <c r="AV78" t="str">
        <f t="shared" si="37"/>
        <v>LSA_CCF_HRY_E_BEGIN_TITO_CLR_NOM_LFM_0400_CBO0_LSA_ALL_POST_REPAIR_PMA0_BP4</v>
      </c>
      <c r="AW78" t="str">
        <f t="shared" si="37"/>
        <v>LSA_CCF_HRY_E_BEGIN_TITO_CLR_NOM_LFM_0400_CBO0_LSA_ALL_POST_REPAIR_PMA0_BP4</v>
      </c>
      <c r="AX78" t="str">
        <f t="shared" si="37"/>
        <v>LSA_CCF_HRY_E_BEGIN_TITO_CLR_NOM_LFM_0400_CBO0_LSA_ALL_POST_REPAIR_PMA0_BP4</v>
      </c>
      <c r="AY78" t="str">
        <f t="shared" si="37"/>
        <v>LSA_CCF_HRY_E_BEGIN_TITO_CLR_NOM_LFM_0400_CBO0_LSA_ALL_POST_REPAIR_PMA0_BP4</v>
      </c>
      <c r="AZ78" t="str">
        <f t="shared" si="37"/>
        <v>LSA_CCF_HRY_E_BEGIN_TITO_CLR_NOM_LFM_0400_CBO0_LSA_ALL_POST_REPAIR_PMA0_BP4</v>
      </c>
      <c r="BA78" t="str">
        <f t="shared" si="37"/>
        <v>LSA_CCF_HRY_E_BEGIN_TITO_CLR_NOM_LFM_0400_CBO0_LSA_ALL_POST_REPAIR_PMA0_BP4</v>
      </c>
      <c r="BB78" t="str">
        <f t="shared" si="37"/>
        <v>LSA_CCF_HRY_E_BEGIN_TITO_CLR_NOM_LFM_0400_CBO0_LSA_ALL_POST_REPAIR_PMA0_BP4</v>
      </c>
      <c r="BC78" t="str">
        <f t="shared" si="37"/>
        <v>LSA_CCF_HRY_E_BEGIN_TITO_CLR_NOM_LFM_0400_CBO0_LSA_ALL_POST_REPAIR_PMA0_BP4</v>
      </c>
      <c r="BD78" t="str">
        <f t="shared" si="37"/>
        <v>LSA_CCF_HRY_E_BEGIN_TITO_CLR_NOM_LFM_0400_CBO0_LSA_ALL_POST_REPAIR_PMA0_BP4</v>
      </c>
    </row>
    <row r="79" spans="1:56" x14ac:dyDescent="0.35">
      <c r="A79" s="12" t="s">
        <v>12</v>
      </c>
      <c r="B79" s="12" t="s">
        <v>55</v>
      </c>
      <c r="C79" s="12" t="str">
        <f>VLOOKUP(B79,templateLookup!A:B,2,0)</f>
        <v>PrimeMbistVminSearchTestMethod</v>
      </c>
      <c r="D79" t="str">
        <f t="shared" si="36"/>
        <v>LSA_CCF_HRY_E_BEGIN_TITO_CLR_NOM_LFM_0400_CBO0_LSA_ALL_POST_REPAIR_PMA0_BP4</v>
      </c>
      <c r="E79" t="s">
        <v>5</v>
      </c>
      <c r="F79" t="s">
        <v>22</v>
      </c>
      <c r="G79" t="s">
        <v>271</v>
      </c>
      <c r="H79" t="s">
        <v>207</v>
      </c>
      <c r="I79" t="s">
        <v>260</v>
      </c>
      <c r="J79" t="s">
        <v>300</v>
      </c>
      <c r="K79" t="s">
        <v>284</v>
      </c>
      <c r="L79" t="s">
        <v>285</v>
      </c>
      <c r="M79" t="str">
        <f t="shared" si="38"/>
        <v>0400</v>
      </c>
      <c r="N79" t="s">
        <v>368</v>
      </c>
      <c r="O79" t="s">
        <v>267</v>
      </c>
      <c r="P79" t="s">
        <v>287</v>
      </c>
      <c r="Q79" t="s">
        <v>369</v>
      </c>
      <c r="R79">
        <f>VLOOKUP(E79,binningRules!$B$6:$C$9,2,0)</f>
        <v>21</v>
      </c>
      <c r="S79">
        <v>10</v>
      </c>
      <c r="T79">
        <v>103</v>
      </c>
      <c r="U79">
        <v>-1</v>
      </c>
      <c r="V79" t="b">
        <v>0</v>
      </c>
      <c r="W79" t="s">
        <v>270</v>
      </c>
      <c r="X79" t="s">
        <v>363</v>
      </c>
      <c r="Y79" t="s">
        <v>272</v>
      </c>
      <c r="Z79">
        <v>0.85</v>
      </c>
      <c r="AA79">
        <v>0.85</v>
      </c>
      <c r="AS79">
        <f t="shared" si="35"/>
        <v>10</v>
      </c>
      <c r="AT79" t="s">
        <v>273</v>
      </c>
      <c r="AU79" t="str">
        <f t="shared" si="37"/>
        <v>SSA_CCF_HRY_E_BEGIN_TITO_CLRS_NOM_LFM_0400_CBO1_LLC_DAT_POST_REPAIR_PMA0_BP1</v>
      </c>
      <c r="AV79" t="str">
        <f t="shared" si="37"/>
        <v>SSA_CCF_HRY_E_BEGIN_TITO_CLRS_NOM_LFM_0400_CBO1_LLC_DAT_POST_REPAIR_PMA0_BP1</v>
      </c>
      <c r="AW79" t="str">
        <f t="shared" si="37"/>
        <v>SSA_CCF_HRY_E_BEGIN_TITO_CLRS_NOM_LFM_0400_CBO1_LLC_DAT_POST_REPAIR_PMA0_BP1</v>
      </c>
      <c r="AX79" t="str">
        <f t="shared" si="37"/>
        <v>SSA_CCF_HRY_E_BEGIN_TITO_CLRS_NOM_LFM_0400_CBO1_LLC_DAT_POST_REPAIR_PMA0_BP1</v>
      </c>
      <c r="AY79" t="str">
        <f t="shared" si="37"/>
        <v>SSA_CCF_HRY_E_BEGIN_TITO_CLRS_NOM_LFM_0400_CBO1_LLC_DAT_POST_REPAIR_PMA0_BP1</v>
      </c>
      <c r="AZ79" t="str">
        <f t="shared" si="37"/>
        <v>SSA_CCF_HRY_E_BEGIN_TITO_CLRS_NOM_LFM_0400_CBO1_LLC_DAT_POST_REPAIR_PMA0_BP1</v>
      </c>
      <c r="BA79" t="str">
        <f t="shared" si="37"/>
        <v>SSA_CCF_HRY_E_BEGIN_TITO_CLRS_NOM_LFM_0400_CBO1_LLC_DAT_POST_REPAIR_PMA0_BP1</v>
      </c>
      <c r="BB79" t="str">
        <f t="shared" si="37"/>
        <v>SSA_CCF_HRY_E_BEGIN_TITO_CLRS_NOM_LFM_0400_CBO1_LLC_DAT_POST_REPAIR_PMA0_BP1</v>
      </c>
      <c r="BC79" t="str">
        <f t="shared" si="37"/>
        <v>SSA_CCF_HRY_E_BEGIN_TITO_CLRS_NOM_LFM_0400_CBO1_LLC_DAT_POST_REPAIR_PMA0_BP1</v>
      </c>
      <c r="BD79" t="str">
        <f t="shared" si="37"/>
        <v>SSA_CCF_HRY_E_BEGIN_TITO_CLRS_NOM_LFM_0400_CBO1_LLC_DAT_POST_REPAIR_PMA0_BP1</v>
      </c>
    </row>
    <row r="80" spans="1:56" x14ac:dyDescent="0.35">
      <c r="A80" s="12" t="s">
        <v>12</v>
      </c>
      <c r="B80" s="12" t="s">
        <v>55</v>
      </c>
      <c r="C80" s="12" t="str">
        <f>VLOOKUP(B80,templateLookup!A:B,2,0)</f>
        <v>PrimeMbistVminSearchTestMethod</v>
      </c>
      <c r="D80" t="str">
        <f t="shared" si="36"/>
        <v>SSA_CCF_HRY_E_BEGIN_TITO_CLRS_NOM_LFM_0400_CBO1_LLC_DAT_POST_REPAIR_PMA0_BP1</v>
      </c>
      <c r="E80" t="s">
        <v>4</v>
      </c>
      <c r="F80" t="s">
        <v>22</v>
      </c>
      <c r="G80" t="s">
        <v>271</v>
      </c>
      <c r="H80" t="s">
        <v>207</v>
      </c>
      <c r="I80" t="s">
        <v>260</v>
      </c>
      <c r="J80" t="s">
        <v>283</v>
      </c>
      <c r="K80" t="s">
        <v>284</v>
      </c>
      <c r="L80" t="s">
        <v>285</v>
      </c>
      <c r="M80" t="str">
        <f t="shared" si="38"/>
        <v>0400</v>
      </c>
      <c r="N80" t="s">
        <v>370</v>
      </c>
      <c r="O80" t="s">
        <v>267</v>
      </c>
      <c r="P80" t="s">
        <v>287</v>
      </c>
      <c r="Q80" t="s">
        <v>371</v>
      </c>
      <c r="R80">
        <f>VLOOKUP(E80,binningRules!$B$6:$C$9,2,0)</f>
        <v>61</v>
      </c>
      <c r="S80">
        <v>10</v>
      </c>
      <c r="T80">
        <v>104</v>
      </c>
      <c r="U80">
        <v>-1</v>
      </c>
      <c r="V80" t="b">
        <v>0</v>
      </c>
      <c r="W80" t="s">
        <v>270</v>
      </c>
      <c r="X80" t="s">
        <v>363</v>
      </c>
      <c r="Y80" t="s">
        <v>272</v>
      </c>
      <c r="Z80">
        <v>0.85</v>
      </c>
      <c r="AA80">
        <v>0.85</v>
      </c>
      <c r="AS80">
        <f t="shared" si="35"/>
        <v>10</v>
      </c>
      <c r="AT80" t="s">
        <v>273</v>
      </c>
      <c r="AU80" t="str">
        <f t="shared" si="37"/>
        <v>SSA_CCF_HRY_E_BEGIN_TITO_CLRS_NOM_LFM_0400_CBO1_LLC_TAG_POST_REPAIR_PMA0_BP3</v>
      </c>
      <c r="AV80" t="str">
        <f t="shared" si="37"/>
        <v>SSA_CCF_HRY_E_BEGIN_TITO_CLRS_NOM_LFM_0400_CBO1_LLC_TAG_POST_REPAIR_PMA0_BP3</v>
      </c>
      <c r="AW80" t="str">
        <f t="shared" si="37"/>
        <v>SSA_CCF_HRY_E_BEGIN_TITO_CLRS_NOM_LFM_0400_CBO1_LLC_TAG_POST_REPAIR_PMA0_BP3</v>
      </c>
      <c r="AX80" t="str">
        <f t="shared" si="37"/>
        <v>SSA_CCF_HRY_E_BEGIN_TITO_CLRS_NOM_LFM_0400_CBO1_LLC_TAG_POST_REPAIR_PMA0_BP3</v>
      </c>
      <c r="AY80" t="str">
        <f t="shared" si="37"/>
        <v>SSA_CCF_HRY_E_BEGIN_TITO_CLRS_NOM_LFM_0400_CBO1_LLC_TAG_POST_REPAIR_PMA0_BP3</v>
      </c>
      <c r="AZ80" t="str">
        <f t="shared" si="37"/>
        <v>SSA_CCF_HRY_E_BEGIN_TITO_CLRS_NOM_LFM_0400_CBO1_LLC_TAG_POST_REPAIR_PMA0_BP3</v>
      </c>
      <c r="BA80" t="str">
        <f t="shared" si="37"/>
        <v>SSA_CCF_HRY_E_BEGIN_TITO_CLRS_NOM_LFM_0400_CBO1_LLC_TAG_POST_REPAIR_PMA0_BP3</v>
      </c>
      <c r="BB80" t="str">
        <f t="shared" si="37"/>
        <v>SSA_CCF_HRY_E_BEGIN_TITO_CLRS_NOM_LFM_0400_CBO1_LLC_TAG_POST_REPAIR_PMA0_BP3</v>
      </c>
      <c r="BC80" t="str">
        <f t="shared" si="37"/>
        <v>SSA_CCF_HRY_E_BEGIN_TITO_CLRS_NOM_LFM_0400_CBO1_LLC_TAG_POST_REPAIR_PMA0_BP3</v>
      </c>
      <c r="BD80" t="str">
        <f t="shared" si="37"/>
        <v>SSA_CCF_HRY_E_BEGIN_TITO_CLRS_NOM_LFM_0400_CBO1_LLC_TAG_POST_REPAIR_PMA0_BP3</v>
      </c>
    </row>
    <row r="81" spans="1:56" x14ac:dyDescent="0.35">
      <c r="A81" s="12" t="s">
        <v>12</v>
      </c>
      <c r="B81" s="12" t="s">
        <v>55</v>
      </c>
      <c r="C81" s="12" t="str">
        <f>VLOOKUP(B81,templateLookup!A:B,2,0)</f>
        <v>PrimeMbistVminSearchTestMethod</v>
      </c>
      <c r="D81" t="str">
        <f t="shared" si="36"/>
        <v>SSA_CCF_HRY_E_BEGIN_TITO_CLRS_NOM_LFM_0400_CBO1_LLC_TAG_POST_REPAIR_PMA0_BP3</v>
      </c>
      <c r="E81" t="s">
        <v>4</v>
      </c>
      <c r="F81" t="s">
        <v>22</v>
      </c>
      <c r="G81" t="s">
        <v>271</v>
      </c>
      <c r="H81" t="s">
        <v>207</v>
      </c>
      <c r="I81" t="s">
        <v>260</v>
      </c>
      <c r="J81" t="s">
        <v>283</v>
      </c>
      <c r="K81" t="s">
        <v>284</v>
      </c>
      <c r="L81" t="s">
        <v>285</v>
      </c>
      <c r="M81" t="str">
        <f t="shared" si="38"/>
        <v>0400</v>
      </c>
      <c r="N81" t="s">
        <v>372</v>
      </c>
      <c r="O81" t="s">
        <v>267</v>
      </c>
      <c r="P81" t="s">
        <v>287</v>
      </c>
      <c r="Q81" t="s">
        <v>373</v>
      </c>
      <c r="R81">
        <f>VLOOKUP(E81,binningRules!$B$6:$C$9,2,0)</f>
        <v>61</v>
      </c>
      <c r="S81">
        <v>10</v>
      </c>
      <c r="T81">
        <v>105</v>
      </c>
      <c r="U81">
        <v>-1</v>
      </c>
      <c r="V81" s="12" t="b">
        <v>0</v>
      </c>
      <c r="W81" t="s">
        <v>270</v>
      </c>
      <c r="X81" t="s">
        <v>363</v>
      </c>
      <c r="Y81" t="s">
        <v>272</v>
      </c>
      <c r="Z81">
        <v>0.85</v>
      </c>
      <c r="AA81">
        <v>0.85</v>
      </c>
      <c r="AS81">
        <f t="shared" si="35"/>
        <v>10</v>
      </c>
      <c r="AT81" t="s">
        <v>273</v>
      </c>
      <c r="AU81" t="str">
        <f t="shared" si="37"/>
        <v>LSA_CCF_HRY_E_BEGIN_TITO_CLR_NOM_LFM_0400_CBO1_LSA_ALL_POST_REPAIR_PMA0_BP5</v>
      </c>
      <c r="AV81" t="str">
        <f t="shared" si="37"/>
        <v>LSA_CCF_HRY_E_BEGIN_TITO_CLR_NOM_LFM_0400_CBO1_LSA_ALL_POST_REPAIR_PMA0_BP5</v>
      </c>
      <c r="AW81" t="str">
        <f t="shared" si="37"/>
        <v>LSA_CCF_HRY_E_BEGIN_TITO_CLR_NOM_LFM_0400_CBO1_LSA_ALL_POST_REPAIR_PMA0_BP5</v>
      </c>
      <c r="AX81" t="str">
        <f t="shared" si="37"/>
        <v>LSA_CCF_HRY_E_BEGIN_TITO_CLR_NOM_LFM_0400_CBO1_LSA_ALL_POST_REPAIR_PMA0_BP5</v>
      </c>
      <c r="AY81" t="str">
        <f t="shared" si="37"/>
        <v>LSA_CCF_HRY_E_BEGIN_TITO_CLR_NOM_LFM_0400_CBO1_LSA_ALL_POST_REPAIR_PMA0_BP5</v>
      </c>
      <c r="AZ81" t="str">
        <f t="shared" si="37"/>
        <v>LSA_CCF_HRY_E_BEGIN_TITO_CLR_NOM_LFM_0400_CBO1_LSA_ALL_POST_REPAIR_PMA0_BP5</v>
      </c>
      <c r="BA81" t="str">
        <f t="shared" si="37"/>
        <v>LSA_CCF_HRY_E_BEGIN_TITO_CLR_NOM_LFM_0400_CBO1_LSA_ALL_POST_REPAIR_PMA0_BP5</v>
      </c>
      <c r="BB81" t="str">
        <f t="shared" si="37"/>
        <v>LSA_CCF_HRY_E_BEGIN_TITO_CLR_NOM_LFM_0400_CBO1_LSA_ALL_POST_REPAIR_PMA0_BP5</v>
      </c>
      <c r="BC81" t="str">
        <f t="shared" si="37"/>
        <v>LSA_CCF_HRY_E_BEGIN_TITO_CLR_NOM_LFM_0400_CBO1_LSA_ALL_POST_REPAIR_PMA0_BP5</v>
      </c>
      <c r="BD81" t="str">
        <f t="shared" si="37"/>
        <v>LSA_CCF_HRY_E_BEGIN_TITO_CLR_NOM_LFM_0400_CBO1_LSA_ALL_POST_REPAIR_PMA0_BP5</v>
      </c>
    </row>
    <row r="82" spans="1:56" x14ac:dyDescent="0.35">
      <c r="A82" s="12" t="s">
        <v>12</v>
      </c>
      <c r="B82" s="12" t="s">
        <v>55</v>
      </c>
      <c r="C82" s="12" t="str">
        <f>VLOOKUP(B82,templateLookup!A:B,2,0)</f>
        <v>PrimeMbistVminSearchTestMethod</v>
      </c>
      <c r="D82" t="str">
        <f t="shared" si="36"/>
        <v>LSA_CCF_HRY_E_BEGIN_TITO_CLR_NOM_LFM_0400_CBO1_LSA_ALL_POST_REPAIR_PMA0_BP5</v>
      </c>
      <c r="E82" t="s">
        <v>5</v>
      </c>
      <c r="F82" t="s">
        <v>22</v>
      </c>
      <c r="G82" t="s">
        <v>271</v>
      </c>
      <c r="H82" t="s">
        <v>207</v>
      </c>
      <c r="I82" t="s">
        <v>260</v>
      </c>
      <c r="J82" t="s">
        <v>300</v>
      </c>
      <c r="K82" t="s">
        <v>284</v>
      </c>
      <c r="L82" t="s">
        <v>285</v>
      </c>
      <c r="M82" t="str">
        <f t="shared" si="38"/>
        <v>0400</v>
      </c>
      <c r="N82" t="s">
        <v>374</v>
      </c>
      <c r="O82" t="s">
        <v>267</v>
      </c>
      <c r="P82" t="s">
        <v>287</v>
      </c>
      <c r="Q82" t="s">
        <v>375</v>
      </c>
      <c r="R82">
        <f>VLOOKUP(E82,binningRules!$B$6:$C$9,2,0)</f>
        <v>21</v>
      </c>
      <c r="S82">
        <v>10</v>
      </c>
      <c r="T82">
        <v>106</v>
      </c>
      <c r="U82">
        <v>-1</v>
      </c>
      <c r="V82" t="b">
        <v>0</v>
      </c>
      <c r="W82" t="s">
        <v>270</v>
      </c>
      <c r="X82" t="s">
        <v>363</v>
      </c>
      <c r="Y82" t="s">
        <v>272</v>
      </c>
      <c r="Z82">
        <v>0.85</v>
      </c>
      <c r="AA82">
        <v>0.85</v>
      </c>
      <c r="AS82">
        <f t="shared" si="35"/>
        <v>10</v>
      </c>
      <c r="AT82" t="s">
        <v>273</v>
      </c>
      <c r="AU82" t="str">
        <f t="shared" si="37"/>
        <v>SSA_CCF_HRY_E_BEGIN_TITO_CLRS_NOM_LFM_0400_CBO2_LLC_DAT_POST_REPAIR_PMA1_BP0</v>
      </c>
      <c r="AV82" t="str">
        <f t="shared" si="37"/>
        <v>SSA_CCF_HRY_E_BEGIN_TITO_CLRS_NOM_LFM_0400_CBO2_LLC_DAT_POST_REPAIR_PMA1_BP0</v>
      </c>
      <c r="AW82" t="str">
        <f t="shared" si="37"/>
        <v>SSA_CCF_HRY_E_BEGIN_TITO_CLRS_NOM_LFM_0400_CBO2_LLC_DAT_POST_REPAIR_PMA1_BP0</v>
      </c>
      <c r="AX82" t="str">
        <f t="shared" si="37"/>
        <v>SSA_CCF_HRY_E_BEGIN_TITO_CLRS_NOM_LFM_0400_CBO2_LLC_DAT_POST_REPAIR_PMA1_BP0</v>
      </c>
      <c r="AY82" t="str">
        <f t="shared" si="37"/>
        <v>SSA_CCF_HRY_E_BEGIN_TITO_CLRS_NOM_LFM_0400_CBO2_LLC_DAT_POST_REPAIR_PMA1_BP0</v>
      </c>
      <c r="AZ82" t="str">
        <f t="shared" si="37"/>
        <v>SSA_CCF_HRY_E_BEGIN_TITO_CLRS_NOM_LFM_0400_CBO2_LLC_DAT_POST_REPAIR_PMA1_BP0</v>
      </c>
      <c r="BA82" t="str">
        <f t="shared" si="37"/>
        <v>SSA_CCF_HRY_E_BEGIN_TITO_CLRS_NOM_LFM_0400_CBO2_LLC_DAT_POST_REPAIR_PMA1_BP0</v>
      </c>
      <c r="BB82" t="str">
        <f t="shared" si="37"/>
        <v>SSA_CCF_HRY_E_BEGIN_TITO_CLRS_NOM_LFM_0400_CBO2_LLC_DAT_POST_REPAIR_PMA1_BP0</v>
      </c>
      <c r="BC82" t="str">
        <f t="shared" si="37"/>
        <v>SSA_CCF_HRY_E_BEGIN_TITO_CLRS_NOM_LFM_0400_CBO2_LLC_DAT_POST_REPAIR_PMA1_BP0</v>
      </c>
      <c r="BD82" t="str">
        <f t="shared" si="37"/>
        <v>SSA_CCF_HRY_E_BEGIN_TITO_CLRS_NOM_LFM_0400_CBO2_LLC_DAT_POST_REPAIR_PMA1_BP0</v>
      </c>
    </row>
    <row r="83" spans="1:56" x14ac:dyDescent="0.35">
      <c r="A83" s="12" t="s">
        <v>12</v>
      </c>
      <c r="B83" s="12" t="s">
        <v>55</v>
      </c>
      <c r="C83" s="12" t="str">
        <f>VLOOKUP(B83,templateLookup!A:B,2,0)</f>
        <v>PrimeMbistVminSearchTestMethod</v>
      </c>
      <c r="D83" t="str">
        <f t="shared" si="36"/>
        <v>SSA_CCF_HRY_E_BEGIN_TITO_CLRS_NOM_LFM_0400_CBO2_LLC_DAT_POST_REPAIR_PMA1_BP0</v>
      </c>
      <c r="E83" t="s">
        <v>4</v>
      </c>
      <c r="F83" t="s">
        <v>22</v>
      </c>
      <c r="G83" t="s">
        <v>271</v>
      </c>
      <c r="H83" t="s">
        <v>207</v>
      </c>
      <c r="I83" t="s">
        <v>260</v>
      </c>
      <c r="J83" t="s">
        <v>283</v>
      </c>
      <c r="K83" t="s">
        <v>284</v>
      </c>
      <c r="L83" t="s">
        <v>285</v>
      </c>
      <c r="M83" t="str">
        <f t="shared" si="38"/>
        <v>0400</v>
      </c>
      <c r="N83" t="s">
        <v>376</v>
      </c>
      <c r="O83" t="s">
        <v>267</v>
      </c>
      <c r="P83" t="s">
        <v>287</v>
      </c>
      <c r="Q83" t="s">
        <v>377</v>
      </c>
      <c r="R83">
        <f>VLOOKUP(E83,binningRules!$B$6:$C$9,2,0)</f>
        <v>61</v>
      </c>
      <c r="S83">
        <v>10</v>
      </c>
      <c r="T83">
        <v>107</v>
      </c>
      <c r="U83">
        <v>-1</v>
      </c>
      <c r="V83" t="b">
        <v>0</v>
      </c>
      <c r="W83" t="s">
        <v>270</v>
      </c>
      <c r="X83" t="s">
        <v>363</v>
      </c>
      <c r="Y83" t="s">
        <v>272</v>
      </c>
      <c r="Z83">
        <v>0.85</v>
      </c>
      <c r="AA83">
        <v>0.85</v>
      </c>
      <c r="AS83">
        <f t="shared" si="35"/>
        <v>10</v>
      </c>
      <c r="AT83" t="s">
        <v>273</v>
      </c>
      <c r="AU83" t="str">
        <f t="shared" si="37"/>
        <v>SSA_CCF_HRY_E_BEGIN_TITO_CLRS_NOM_LFM_0400_CBO2_LLC_TAG_POST_REPAIR_PMA1_BP2</v>
      </c>
      <c r="AV83" t="str">
        <f t="shared" si="37"/>
        <v>SSA_CCF_HRY_E_BEGIN_TITO_CLRS_NOM_LFM_0400_CBO2_LLC_TAG_POST_REPAIR_PMA1_BP2</v>
      </c>
      <c r="AW83" t="str">
        <f t="shared" si="37"/>
        <v>SSA_CCF_HRY_E_BEGIN_TITO_CLRS_NOM_LFM_0400_CBO2_LLC_TAG_POST_REPAIR_PMA1_BP2</v>
      </c>
      <c r="AX83" t="str">
        <f t="shared" si="37"/>
        <v>SSA_CCF_HRY_E_BEGIN_TITO_CLRS_NOM_LFM_0400_CBO2_LLC_TAG_POST_REPAIR_PMA1_BP2</v>
      </c>
      <c r="AY83" t="str">
        <f t="shared" si="37"/>
        <v>SSA_CCF_HRY_E_BEGIN_TITO_CLRS_NOM_LFM_0400_CBO2_LLC_TAG_POST_REPAIR_PMA1_BP2</v>
      </c>
      <c r="AZ83" t="str">
        <f t="shared" si="37"/>
        <v>SSA_CCF_HRY_E_BEGIN_TITO_CLRS_NOM_LFM_0400_CBO2_LLC_TAG_POST_REPAIR_PMA1_BP2</v>
      </c>
      <c r="BA83" t="str">
        <f t="shared" si="37"/>
        <v>SSA_CCF_HRY_E_BEGIN_TITO_CLRS_NOM_LFM_0400_CBO2_LLC_TAG_POST_REPAIR_PMA1_BP2</v>
      </c>
      <c r="BB83" t="str">
        <f t="shared" si="37"/>
        <v>SSA_CCF_HRY_E_BEGIN_TITO_CLRS_NOM_LFM_0400_CBO2_LLC_TAG_POST_REPAIR_PMA1_BP2</v>
      </c>
      <c r="BC83" t="str">
        <f t="shared" si="37"/>
        <v>SSA_CCF_HRY_E_BEGIN_TITO_CLRS_NOM_LFM_0400_CBO2_LLC_TAG_POST_REPAIR_PMA1_BP2</v>
      </c>
      <c r="BD83" t="str">
        <f t="shared" si="37"/>
        <v>SSA_CCF_HRY_E_BEGIN_TITO_CLRS_NOM_LFM_0400_CBO2_LLC_TAG_POST_REPAIR_PMA1_BP2</v>
      </c>
    </row>
    <row r="84" spans="1:56" x14ac:dyDescent="0.35">
      <c r="A84" s="12" t="s">
        <v>12</v>
      </c>
      <c r="B84" s="12" t="s">
        <v>55</v>
      </c>
      <c r="C84" s="12" t="str">
        <f>VLOOKUP(B84,templateLookup!A:B,2,0)</f>
        <v>PrimeMbistVminSearchTestMethod</v>
      </c>
      <c r="D84" t="str">
        <f t="shared" si="36"/>
        <v>SSA_CCF_HRY_E_BEGIN_TITO_CLRS_NOM_LFM_0400_CBO2_LLC_TAG_POST_REPAIR_PMA1_BP2</v>
      </c>
      <c r="E84" t="s">
        <v>4</v>
      </c>
      <c r="F84" t="s">
        <v>22</v>
      </c>
      <c r="G84" t="s">
        <v>271</v>
      </c>
      <c r="H84" t="s">
        <v>207</v>
      </c>
      <c r="I84" t="s">
        <v>260</v>
      </c>
      <c r="J84" t="s">
        <v>283</v>
      </c>
      <c r="K84" t="s">
        <v>284</v>
      </c>
      <c r="L84" t="s">
        <v>285</v>
      </c>
      <c r="M84" t="str">
        <f t="shared" si="38"/>
        <v>0400</v>
      </c>
      <c r="N84" t="s">
        <v>378</v>
      </c>
      <c r="O84" t="s">
        <v>267</v>
      </c>
      <c r="P84" t="s">
        <v>287</v>
      </c>
      <c r="Q84" t="s">
        <v>379</v>
      </c>
      <c r="R84">
        <f>VLOOKUP(E84,binningRules!$B$6:$C$9,2,0)</f>
        <v>61</v>
      </c>
      <c r="S84">
        <v>10</v>
      </c>
      <c r="T84">
        <v>108</v>
      </c>
      <c r="U84">
        <v>-1</v>
      </c>
      <c r="V84" t="b">
        <v>0</v>
      </c>
      <c r="W84" t="s">
        <v>270</v>
      </c>
      <c r="X84" t="s">
        <v>363</v>
      </c>
      <c r="Y84" t="s">
        <v>272</v>
      </c>
      <c r="Z84">
        <v>0.85</v>
      </c>
      <c r="AA84">
        <v>0.85</v>
      </c>
      <c r="AS84">
        <f t="shared" si="35"/>
        <v>10</v>
      </c>
      <c r="AT84" t="s">
        <v>273</v>
      </c>
      <c r="AU84" t="str">
        <f t="shared" si="37"/>
        <v>SSA_CCF_HRY_E_BEGIN_TITO_SAN_NOM_LFM_0400_CBO2_SAR_POST_REPAIR_PMA1_BP6</v>
      </c>
      <c r="AV84" t="str">
        <f t="shared" si="37"/>
        <v>SSA_CCF_HRY_E_BEGIN_TITO_SAN_NOM_LFM_0400_CBO2_SAR_POST_REPAIR_PMA1_BP6</v>
      </c>
      <c r="AW84" t="str">
        <f t="shared" si="37"/>
        <v>SSA_CCF_HRY_E_BEGIN_TITO_SAN_NOM_LFM_0400_CBO2_SAR_POST_REPAIR_PMA1_BP6</v>
      </c>
      <c r="AX84" t="str">
        <f t="shared" si="37"/>
        <v>SSA_CCF_HRY_E_BEGIN_TITO_SAN_NOM_LFM_0400_CBO2_SAR_POST_REPAIR_PMA1_BP6</v>
      </c>
      <c r="AY84" t="str">
        <f t="shared" si="37"/>
        <v>SSA_CCF_HRY_E_BEGIN_TITO_SAN_NOM_LFM_0400_CBO2_SAR_POST_REPAIR_PMA1_BP6</v>
      </c>
      <c r="AZ84" t="str">
        <f t="shared" si="37"/>
        <v>SSA_CCF_HRY_E_BEGIN_TITO_SAN_NOM_LFM_0400_CBO2_SAR_POST_REPAIR_PMA1_BP6</v>
      </c>
      <c r="BA84" t="str">
        <f t="shared" si="37"/>
        <v>SSA_CCF_HRY_E_BEGIN_TITO_SAN_NOM_LFM_0400_CBO2_SAR_POST_REPAIR_PMA1_BP6</v>
      </c>
      <c r="BB84" t="str">
        <f t="shared" si="37"/>
        <v>SSA_CCF_HRY_E_BEGIN_TITO_SAN_NOM_LFM_0400_CBO2_SAR_POST_REPAIR_PMA1_BP6</v>
      </c>
      <c r="BC84" t="str">
        <f t="shared" si="37"/>
        <v>SSA_CCF_HRY_E_BEGIN_TITO_SAN_NOM_LFM_0400_CBO2_SAR_POST_REPAIR_PMA1_BP6</v>
      </c>
      <c r="BD84" t="str">
        <f t="shared" si="37"/>
        <v>SSA_CCF_HRY_E_BEGIN_TITO_SAN_NOM_LFM_0400_CBO2_SAR_POST_REPAIR_PMA1_BP6</v>
      </c>
    </row>
    <row r="85" spans="1:56" x14ac:dyDescent="0.35">
      <c r="A85" s="12" t="s">
        <v>12</v>
      </c>
      <c r="B85" s="12" t="s">
        <v>55</v>
      </c>
      <c r="C85" s="12" t="str">
        <f>VLOOKUP(B85,templateLookup!A:B,2,0)</f>
        <v>PrimeMbistVminSearchTestMethod</v>
      </c>
      <c r="D85" t="str">
        <f t="shared" si="36"/>
        <v>SSA_CCF_HRY_E_BEGIN_TITO_SAN_NOM_LFM_0400_CBO2_SAR_POST_REPAIR_PMA1_BP6</v>
      </c>
      <c r="E85" t="s">
        <v>4</v>
      </c>
      <c r="F85" t="s">
        <v>22</v>
      </c>
      <c r="G85" t="s">
        <v>271</v>
      </c>
      <c r="H85" t="s">
        <v>207</v>
      </c>
      <c r="I85" t="s">
        <v>260</v>
      </c>
      <c r="J85" t="s">
        <v>295</v>
      </c>
      <c r="K85" t="s">
        <v>284</v>
      </c>
      <c r="L85" t="s">
        <v>285</v>
      </c>
      <c r="M85" t="str">
        <f t="shared" si="38"/>
        <v>0400</v>
      </c>
      <c r="N85" t="s">
        <v>380</v>
      </c>
      <c r="O85" t="s">
        <v>267</v>
      </c>
      <c r="P85" t="s">
        <v>287</v>
      </c>
      <c r="Q85" t="s">
        <v>381</v>
      </c>
      <c r="R85">
        <f>VLOOKUP(E85,binningRules!$B$6:$C$9,2,0)</f>
        <v>61</v>
      </c>
      <c r="S85">
        <v>10</v>
      </c>
      <c r="T85">
        <v>109</v>
      </c>
      <c r="U85">
        <v>-1</v>
      </c>
      <c r="V85" t="b">
        <v>0</v>
      </c>
      <c r="W85" t="s">
        <v>298</v>
      </c>
      <c r="X85" t="s">
        <v>363</v>
      </c>
      <c r="Y85" t="s">
        <v>272</v>
      </c>
      <c r="Z85">
        <v>0.85</v>
      </c>
      <c r="AA85">
        <v>0.85</v>
      </c>
      <c r="AS85">
        <f t="shared" si="35"/>
        <v>10</v>
      </c>
      <c r="AT85" t="s">
        <v>273</v>
      </c>
      <c r="AU85" t="str">
        <f t="shared" si="37"/>
        <v>LSA_CCF_HRY_E_BEGIN_TITO_CLR_NOM_LFM_0400_CBO2_LSA_ALL_POST_REPAIR_PMA1_BP4</v>
      </c>
      <c r="AV85" t="str">
        <f t="shared" si="37"/>
        <v>LSA_CCF_HRY_E_BEGIN_TITO_CLR_NOM_LFM_0400_CBO2_LSA_ALL_POST_REPAIR_PMA1_BP4</v>
      </c>
      <c r="AW85" t="str">
        <f t="shared" si="37"/>
        <v>LSA_CCF_HRY_E_BEGIN_TITO_CLR_NOM_LFM_0400_CBO2_LSA_ALL_POST_REPAIR_PMA1_BP4</v>
      </c>
      <c r="AX85" t="str">
        <f t="shared" si="37"/>
        <v>LSA_CCF_HRY_E_BEGIN_TITO_CLR_NOM_LFM_0400_CBO2_LSA_ALL_POST_REPAIR_PMA1_BP4</v>
      </c>
      <c r="AY85" t="str">
        <f t="shared" si="37"/>
        <v>LSA_CCF_HRY_E_BEGIN_TITO_CLR_NOM_LFM_0400_CBO2_LSA_ALL_POST_REPAIR_PMA1_BP4</v>
      </c>
      <c r="AZ85" t="str">
        <f t="shared" si="37"/>
        <v>LSA_CCF_HRY_E_BEGIN_TITO_CLR_NOM_LFM_0400_CBO2_LSA_ALL_POST_REPAIR_PMA1_BP4</v>
      </c>
      <c r="BA85" t="str">
        <f t="shared" si="37"/>
        <v>LSA_CCF_HRY_E_BEGIN_TITO_CLR_NOM_LFM_0400_CBO2_LSA_ALL_POST_REPAIR_PMA1_BP4</v>
      </c>
      <c r="BB85" t="str">
        <f t="shared" si="37"/>
        <v>LSA_CCF_HRY_E_BEGIN_TITO_CLR_NOM_LFM_0400_CBO2_LSA_ALL_POST_REPAIR_PMA1_BP4</v>
      </c>
      <c r="BC85" t="str">
        <f t="shared" si="37"/>
        <v>LSA_CCF_HRY_E_BEGIN_TITO_CLR_NOM_LFM_0400_CBO2_LSA_ALL_POST_REPAIR_PMA1_BP4</v>
      </c>
      <c r="BD85" t="str">
        <f t="shared" si="37"/>
        <v>LSA_CCF_HRY_E_BEGIN_TITO_CLR_NOM_LFM_0400_CBO2_LSA_ALL_POST_REPAIR_PMA1_BP4</v>
      </c>
    </row>
    <row r="86" spans="1:56" x14ac:dyDescent="0.35">
      <c r="A86" s="12" t="s">
        <v>12</v>
      </c>
      <c r="B86" s="12" t="s">
        <v>55</v>
      </c>
      <c r="C86" s="12" t="str">
        <f>VLOOKUP(B86,templateLookup!A:B,2,0)</f>
        <v>PrimeMbistVminSearchTestMethod</v>
      </c>
      <c r="D86" t="str">
        <f t="shared" si="36"/>
        <v>LSA_CCF_HRY_E_BEGIN_TITO_CLR_NOM_LFM_0400_CBO2_LSA_ALL_POST_REPAIR_PMA1_BP4</v>
      </c>
      <c r="E86" t="s">
        <v>5</v>
      </c>
      <c r="F86" t="s">
        <v>22</v>
      </c>
      <c r="G86" t="s">
        <v>271</v>
      </c>
      <c r="H86" t="s">
        <v>207</v>
      </c>
      <c r="I86" t="s">
        <v>260</v>
      </c>
      <c r="J86" t="s">
        <v>300</v>
      </c>
      <c r="K86" t="s">
        <v>284</v>
      </c>
      <c r="L86" t="s">
        <v>285</v>
      </c>
      <c r="M86" t="str">
        <f t="shared" si="38"/>
        <v>0400</v>
      </c>
      <c r="N86" t="s">
        <v>382</v>
      </c>
      <c r="O86" t="s">
        <v>267</v>
      </c>
      <c r="P86" t="s">
        <v>287</v>
      </c>
      <c r="Q86" t="s">
        <v>383</v>
      </c>
      <c r="R86">
        <f>VLOOKUP(E86,binningRules!$B$6:$C$9,2,0)</f>
        <v>21</v>
      </c>
      <c r="S86">
        <v>10</v>
      </c>
      <c r="T86">
        <v>110</v>
      </c>
      <c r="U86">
        <v>-1</v>
      </c>
      <c r="V86" t="b">
        <v>0</v>
      </c>
      <c r="W86" t="s">
        <v>270</v>
      </c>
      <c r="X86" t="s">
        <v>363</v>
      </c>
      <c r="Y86" t="s">
        <v>272</v>
      </c>
      <c r="Z86">
        <v>0.85</v>
      </c>
      <c r="AA86">
        <v>0.85</v>
      </c>
      <c r="AS86">
        <f t="shared" si="35"/>
        <v>10</v>
      </c>
      <c r="AT86" t="s">
        <v>273</v>
      </c>
      <c r="AU86" t="str">
        <f t="shared" si="37"/>
        <v>SSA_CCF_HRY_E_BEGIN_TITO_CLRS_NOM_LFM_0400_CBO3_LLC_DAT_POST_REPAIR_PMA1_BP1</v>
      </c>
      <c r="AV86" t="str">
        <f t="shared" si="37"/>
        <v>SSA_CCF_HRY_E_BEGIN_TITO_CLRS_NOM_LFM_0400_CBO3_LLC_DAT_POST_REPAIR_PMA1_BP1</v>
      </c>
      <c r="AW86" t="str">
        <f t="shared" si="37"/>
        <v>SSA_CCF_HRY_E_BEGIN_TITO_CLRS_NOM_LFM_0400_CBO3_LLC_DAT_POST_REPAIR_PMA1_BP1</v>
      </c>
      <c r="AX86" t="str">
        <f t="shared" si="37"/>
        <v>SSA_CCF_HRY_E_BEGIN_TITO_CLRS_NOM_LFM_0400_CBO3_LLC_DAT_POST_REPAIR_PMA1_BP1</v>
      </c>
      <c r="AY86" t="str">
        <f t="shared" si="37"/>
        <v>SSA_CCF_HRY_E_BEGIN_TITO_CLRS_NOM_LFM_0400_CBO3_LLC_DAT_POST_REPAIR_PMA1_BP1</v>
      </c>
      <c r="AZ86" t="str">
        <f t="shared" si="37"/>
        <v>SSA_CCF_HRY_E_BEGIN_TITO_CLRS_NOM_LFM_0400_CBO3_LLC_DAT_POST_REPAIR_PMA1_BP1</v>
      </c>
      <c r="BA86" t="str">
        <f t="shared" si="37"/>
        <v>SSA_CCF_HRY_E_BEGIN_TITO_CLRS_NOM_LFM_0400_CBO3_LLC_DAT_POST_REPAIR_PMA1_BP1</v>
      </c>
      <c r="BB86" t="str">
        <f t="shared" si="37"/>
        <v>SSA_CCF_HRY_E_BEGIN_TITO_CLRS_NOM_LFM_0400_CBO3_LLC_DAT_POST_REPAIR_PMA1_BP1</v>
      </c>
      <c r="BC86" t="str">
        <f t="shared" si="37"/>
        <v>SSA_CCF_HRY_E_BEGIN_TITO_CLRS_NOM_LFM_0400_CBO3_LLC_DAT_POST_REPAIR_PMA1_BP1</v>
      </c>
      <c r="BD86" t="str">
        <f t="shared" si="37"/>
        <v>SSA_CCF_HRY_E_BEGIN_TITO_CLRS_NOM_LFM_0400_CBO3_LLC_DAT_POST_REPAIR_PMA1_BP1</v>
      </c>
    </row>
    <row r="87" spans="1:56" x14ac:dyDescent="0.35">
      <c r="A87" s="12" t="s">
        <v>12</v>
      </c>
      <c r="B87" s="12" t="s">
        <v>55</v>
      </c>
      <c r="C87" s="12" t="str">
        <f>VLOOKUP(B87,templateLookup!A:B,2,0)</f>
        <v>PrimeMbistVminSearchTestMethod</v>
      </c>
      <c r="D87" t="str">
        <f t="shared" si="36"/>
        <v>SSA_CCF_HRY_E_BEGIN_TITO_CLRS_NOM_LFM_0400_CBO3_LLC_DAT_POST_REPAIR_PMA1_BP1</v>
      </c>
      <c r="E87" t="s">
        <v>4</v>
      </c>
      <c r="F87" t="s">
        <v>22</v>
      </c>
      <c r="G87" t="s">
        <v>271</v>
      </c>
      <c r="H87" t="s">
        <v>207</v>
      </c>
      <c r="I87" t="s">
        <v>260</v>
      </c>
      <c r="J87" t="s">
        <v>283</v>
      </c>
      <c r="K87" t="s">
        <v>284</v>
      </c>
      <c r="L87" t="s">
        <v>285</v>
      </c>
      <c r="M87" t="str">
        <f t="shared" si="38"/>
        <v>0400</v>
      </c>
      <c r="N87" t="s">
        <v>384</v>
      </c>
      <c r="O87" t="s">
        <v>267</v>
      </c>
      <c r="P87" t="s">
        <v>287</v>
      </c>
      <c r="Q87" t="s">
        <v>385</v>
      </c>
      <c r="R87">
        <f>VLOOKUP(E87,binningRules!$B$6:$C$9,2,0)</f>
        <v>61</v>
      </c>
      <c r="S87">
        <v>10</v>
      </c>
      <c r="T87">
        <v>111</v>
      </c>
      <c r="U87">
        <v>-1</v>
      </c>
      <c r="V87" t="b">
        <v>0</v>
      </c>
      <c r="W87" t="s">
        <v>270</v>
      </c>
      <c r="X87" t="s">
        <v>363</v>
      </c>
      <c r="Y87" t="s">
        <v>272</v>
      </c>
      <c r="Z87">
        <v>0.85</v>
      </c>
      <c r="AA87">
        <v>0.85</v>
      </c>
      <c r="AS87">
        <f t="shared" si="35"/>
        <v>10</v>
      </c>
      <c r="AT87" t="s">
        <v>273</v>
      </c>
      <c r="AU87" t="str">
        <f t="shared" si="37"/>
        <v>SSA_CCF_HRY_E_BEGIN_TITO_CLRS_NOM_LFM_0400_CBO3_LLC_TAG_POST_REPAIR_PMA1_BP3</v>
      </c>
      <c r="AV87" t="str">
        <f t="shared" si="37"/>
        <v>SSA_CCF_HRY_E_BEGIN_TITO_CLRS_NOM_LFM_0400_CBO3_LLC_TAG_POST_REPAIR_PMA1_BP3</v>
      </c>
      <c r="AW87" t="str">
        <f t="shared" si="37"/>
        <v>SSA_CCF_HRY_E_BEGIN_TITO_CLRS_NOM_LFM_0400_CBO3_LLC_TAG_POST_REPAIR_PMA1_BP3</v>
      </c>
      <c r="AX87" t="str">
        <f t="shared" si="37"/>
        <v>SSA_CCF_HRY_E_BEGIN_TITO_CLRS_NOM_LFM_0400_CBO3_LLC_TAG_POST_REPAIR_PMA1_BP3</v>
      </c>
      <c r="AY87" t="str">
        <f t="shared" si="37"/>
        <v>SSA_CCF_HRY_E_BEGIN_TITO_CLRS_NOM_LFM_0400_CBO3_LLC_TAG_POST_REPAIR_PMA1_BP3</v>
      </c>
      <c r="AZ87" t="str">
        <f t="shared" si="37"/>
        <v>SSA_CCF_HRY_E_BEGIN_TITO_CLRS_NOM_LFM_0400_CBO3_LLC_TAG_POST_REPAIR_PMA1_BP3</v>
      </c>
      <c r="BA87" t="str">
        <f t="shared" si="37"/>
        <v>SSA_CCF_HRY_E_BEGIN_TITO_CLRS_NOM_LFM_0400_CBO3_LLC_TAG_POST_REPAIR_PMA1_BP3</v>
      </c>
      <c r="BB87" t="str">
        <f t="shared" si="37"/>
        <v>SSA_CCF_HRY_E_BEGIN_TITO_CLRS_NOM_LFM_0400_CBO3_LLC_TAG_POST_REPAIR_PMA1_BP3</v>
      </c>
      <c r="BC87" t="str">
        <f t="shared" si="37"/>
        <v>SSA_CCF_HRY_E_BEGIN_TITO_CLRS_NOM_LFM_0400_CBO3_LLC_TAG_POST_REPAIR_PMA1_BP3</v>
      </c>
      <c r="BD87" t="str">
        <f t="shared" si="37"/>
        <v>SSA_CCF_HRY_E_BEGIN_TITO_CLRS_NOM_LFM_0400_CBO3_LLC_TAG_POST_REPAIR_PMA1_BP3</v>
      </c>
    </row>
    <row r="88" spans="1:56" x14ac:dyDescent="0.35">
      <c r="A88" s="12" t="s">
        <v>12</v>
      </c>
      <c r="B88" s="12" t="s">
        <v>55</v>
      </c>
      <c r="C88" s="12" t="str">
        <f>VLOOKUP(B88,templateLookup!A:B,2,0)</f>
        <v>PrimeMbistVminSearchTestMethod</v>
      </c>
      <c r="D88" t="str">
        <f t="shared" si="36"/>
        <v>SSA_CCF_HRY_E_BEGIN_TITO_CLRS_NOM_LFM_0400_CBO3_LLC_TAG_POST_REPAIR_PMA1_BP3</v>
      </c>
      <c r="E88" t="s">
        <v>4</v>
      </c>
      <c r="F88" t="s">
        <v>22</v>
      </c>
      <c r="G88" t="s">
        <v>271</v>
      </c>
      <c r="H88" t="s">
        <v>207</v>
      </c>
      <c r="I88" t="s">
        <v>260</v>
      </c>
      <c r="J88" t="s">
        <v>283</v>
      </c>
      <c r="K88" t="s">
        <v>284</v>
      </c>
      <c r="L88" t="s">
        <v>285</v>
      </c>
      <c r="M88" t="str">
        <f t="shared" si="38"/>
        <v>0400</v>
      </c>
      <c r="N88" t="s">
        <v>386</v>
      </c>
      <c r="O88" t="s">
        <v>267</v>
      </c>
      <c r="P88" t="s">
        <v>287</v>
      </c>
      <c r="Q88" t="s">
        <v>387</v>
      </c>
      <c r="R88">
        <f>VLOOKUP(E88,binningRules!$B$6:$C$9,2,0)</f>
        <v>61</v>
      </c>
      <c r="S88">
        <v>10</v>
      </c>
      <c r="T88">
        <v>112</v>
      </c>
      <c r="U88">
        <v>-1</v>
      </c>
      <c r="V88" t="b">
        <v>0</v>
      </c>
      <c r="W88" t="s">
        <v>270</v>
      </c>
      <c r="X88" t="s">
        <v>363</v>
      </c>
      <c r="Y88" t="s">
        <v>272</v>
      </c>
      <c r="Z88">
        <v>0.85</v>
      </c>
      <c r="AA88">
        <v>0.85</v>
      </c>
      <c r="AS88">
        <f t="shared" si="35"/>
        <v>10</v>
      </c>
      <c r="AT88" t="s">
        <v>273</v>
      </c>
      <c r="AU88" t="str">
        <f t="shared" si="37"/>
        <v>LSA_CCF_HRY_E_BEGIN_TITO_CLR_NOM_LFM_0400_CBO3_LSA_ALL_POST_REPAIR_PMA1_BP5</v>
      </c>
      <c r="AV88" t="str">
        <f t="shared" si="37"/>
        <v>LSA_CCF_HRY_E_BEGIN_TITO_CLR_NOM_LFM_0400_CBO3_LSA_ALL_POST_REPAIR_PMA1_BP5</v>
      </c>
      <c r="AW88" t="str">
        <f t="shared" si="37"/>
        <v>LSA_CCF_HRY_E_BEGIN_TITO_CLR_NOM_LFM_0400_CBO3_LSA_ALL_POST_REPAIR_PMA1_BP5</v>
      </c>
      <c r="AX88" t="str">
        <f t="shared" si="37"/>
        <v>LSA_CCF_HRY_E_BEGIN_TITO_CLR_NOM_LFM_0400_CBO3_LSA_ALL_POST_REPAIR_PMA1_BP5</v>
      </c>
      <c r="AY88" t="str">
        <f t="shared" si="37"/>
        <v>LSA_CCF_HRY_E_BEGIN_TITO_CLR_NOM_LFM_0400_CBO3_LSA_ALL_POST_REPAIR_PMA1_BP5</v>
      </c>
      <c r="AZ88" t="str">
        <f t="shared" si="37"/>
        <v>LSA_CCF_HRY_E_BEGIN_TITO_CLR_NOM_LFM_0400_CBO3_LSA_ALL_POST_REPAIR_PMA1_BP5</v>
      </c>
      <c r="BA88" t="str">
        <f t="shared" si="37"/>
        <v>LSA_CCF_HRY_E_BEGIN_TITO_CLR_NOM_LFM_0400_CBO3_LSA_ALL_POST_REPAIR_PMA1_BP5</v>
      </c>
      <c r="BB88" t="str">
        <f t="shared" si="37"/>
        <v>LSA_CCF_HRY_E_BEGIN_TITO_CLR_NOM_LFM_0400_CBO3_LSA_ALL_POST_REPAIR_PMA1_BP5</v>
      </c>
      <c r="BC88" t="str">
        <f t="shared" si="37"/>
        <v>LSA_CCF_HRY_E_BEGIN_TITO_CLR_NOM_LFM_0400_CBO3_LSA_ALL_POST_REPAIR_PMA1_BP5</v>
      </c>
      <c r="BD88" t="str">
        <f t="shared" si="37"/>
        <v>LSA_CCF_HRY_E_BEGIN_TITO_CLR_NOM_LFM_0400_CBO3_LSA_ALL_POST_REPAIR_PMA1_BP5</v>
      </c>
    </row>
    <row r="89" spans="1:56" x14ac:dyDescent="0.35">
      <c r="A89" s="12" t="s">
        <v>12</v>
      </c>
      <c r="B89" s="12" t="s">
        <v>55</v>
      </c>
      <c r="C89" s="12" t="str">
        <f>VLOOKUP(B89,templateLookup!A:B,2,0)</f>
        <v>PrimeMbistVminSearchTestMethod</v>
      </c>
      <c r="D89" t="str">
        <f t="shared" si="36"/>
        <v>LSA_CCF_HRY_E_BEGIN_TITO_CLR_NOM_LFM_0400_CBO3_LSA_ALL_POST_REPAIR_PMA1_BP5</v>
      </c>
      <c r="E89" t="s">
        <v>5</v>
      </c>
      <c r="F89" t="s">
        <v>22</v>
      </c>
      <c r="G89" t="s">
        <v>271</v>
      </c>
      <c r="H89" t="s">
        <v>207</v>
      </c>
      <c r="I89" t="s">
        <v>260</v>
      </c>
      <c r="J89" t="s">
        <v>300</v>
      </c>
      <c r="K89" t="s">
        <v>284</v>
      </c>
      <c r="L89" t="s">
        <v>285</v>
      </c>
      <c r="M89" t="str">
        <f t="shared" si="38"/>
        <v>0400</v>
      </c>
      <c r="N89" t="s">
        <v>388</v>
      </c>
      <c r="O89" t="s">
        <v>267</v>
      </c>
      <c r="P89" t="s">
        <v>287</v>
      </c>
      <c r="Q89" t="s">
        <v>389</v>
      </c>
      <c r="R89">
        <f>VLOOKUP(E89,binningRules!$B$6:$C$9,2,0)</f>
        <v>21</v>
      </c>
      <c r="S89">
        <v>10</v>
      </c>
      <c r="T89">
        <v>113</v>
      </c>
      <c r="U89">
        <v>-1</v>
      </c>
      <c r="V89" t="b">
        <v>0</v>
      </c>
      <c r="W89" t="s">
        <v>270</v>
      </c>
      <c r="X89" t="s">
        <v>363</v>
      </c>
      <c r="Y89" t="s">
        <v>272</v>
      </c>
      <c r="Z89">
        <v>0.85</v>
      </c>
      <c r="AA89">
        <v>0.85</v>
      </c>
      <c r="AS89">
        <f t="shared" si="35"/>
        <v>10</v>
      </c>
      <c r="AT89" t="s">
        <v>273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1</v>
      </c>
      <c r="BD89">
        <v>1</v>
      </c>
    </row>
    <row r="90" spans="1:56" x14ac:dyDescent="0.35">
      <c r="A90" s="40" t="s">
        <v>12</v>
      </c>
      <c r="B90" s="40" t="s">
        <v>50</v>
      </c>
      <c r="C90" s="40" t="str">
        <f>VLOOKUP(B90,templateLookup!A:B,2,0)</f>
        <v>COMPOSITE</v>
      </c>
      <c r="D90" s="10" t="s">
        <v>390</v>
      </c>
      <c r="V90" s="12"/>
    </row>
    <row r="91" spans="1:56" x14ac:dyDescent="0.35">
      <c r="A91" s="50" t="s">
        <v>12</v>
      </c>
      <c r="B91" s="50" t="s">
        <v>50</v>
      </c>
      <c r="C91" s="50" t="str">
        <f>VLOOKUP(B91,templateLookup!A:B,2,0)</f>
        <v>COMPOSITE</v>
      </c>
      <c r="D91" s="10" t="s">
        <v>391</v>
      </c>
      <c r="V91" s="12"/>
    </row>
    <row r="92" spans="1:56" x14ac:dyDescent="0.35">
      <c r="A92" s="50" t="s">
        <v>12</v>
      </c>
      <c r="B92" s="50" t="s">
        <v>49</v>
      </c>
      <c r="C92" s="50" t="str">
        <f>VLOOKUP(B92,templateLookup!A:B,2,0)</f>
        <v>COMPOSITE</v>
      </c>
      <c r="D92" s="5" t="s">
        <v>392</v>
      </c>
      <c r="E92" s="6"/>
      <c r="F92" s="6" t="s">
        <v>30</v>
      </c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AS92">
        <f t="shared" ref="AS92:AS130" si="39">COUNTA(AU92:BD92)</f>
        <v>2</v>
      </c>
      <c r="AT92">
        <v>1</v>
      </c>
      <c r="AU92" t="str">
        <f>$D229</f>
        <v>SOC_REPAIRABLE</v>
      </c>
      <c r="AV92" t="str">
        <f>$D229</f>
        <v>SOC_REPAIRABLE</v>
      </c>
    </row>
    <row r="93" spans="1:56" x14ac:dyDescent="0.35">
      <c r="A93" s="7" t="s">
        <v>12</v>
      </c>
      <c r="B93" s="7" t="s">
        <v>61</v>
      </c>
      <c r="C93" s="7" t="str">
        <f>VLOOKUP(B93,templateLookup!A:B,2,0)</f>
        <v>PrimePatConfigTestMethod</v>
      </c>
      <c r="D93" t="str">
        <f>E93&amp;"_"&amp;F93&amp;"_"&amp;G93&amp;"_"&amp;H93&amp;"_"&amp;A93&amp;"_"&amp;I93&amp;"_"&amp;J93&amp;"_"&amp;K93&amp;"_"&amp;L93&amp;"_"&amp;M93&amp;"_"&amp;N93</f>
        <v>ALL_GFX_PATMOD_K_BEGIN_X_X_X_X_X_RESET_FREQ</v>
      </c>
      <c r="E93" t="s">
        <v>7</v>
      </c>
      <c r="F93" t="s">
        <v>251</v>
      </c>
      <c r="G93" t="s">
        <v>252</v>
      </c>
      <c r="H93" t="s">
        <v>253</v>
      </c>
      <c r="I93" t="s">
        <v>208</v>
      </c>
      <c r="J93" t="s">
        <v>208</v>
      </c>
      <c r="K93" t="s">
        <v>208</v>
      </c>
      <c r="L93" t="s">
        <v>208</v>
      </c>
      <c r="M93" t="s">
        <v>208</v>
      </c>
      <c r="N93" t="s">
        <v>278</v>
      </c>
      <c r="O93" t="s">
        <v>211</v>
      </c>
      <c r="P93" t="s">
        <v>211</v>
      </c>
      <c r="Q93" t="s">
        <v>212</v>
      </c>
      <c r="R93">
        <v>90</v>
      </c>
      <c r="S93">
        <v>40</v>
      </c>
      <c r="T93">
        <v>72</v>
      </c>
      <c r="U93">
        <v>-1</v>
      </c>
      <c r="V93" t="b">
        <v>1</v>
      </c>
      <c r="AO93" t="s">
        <v>279</v>
      </c>
      <c r="AP93" t="s">
        <v>280</v>
      </c>
      <c r="AQ93" t="s">
        <v>257</v>
      </c>
      <c r="AR93" t="s">
        <v>393</v>
      </c>
      <c r="AS93">
        <f t="shared" si="39"/>
        <v>2</v>
      </c>
      <c r="AT93">
        <v>1</v>
      </c>
      <c r="AU93" t="s">
        <v>394</v>
      </c>
      <c r="AV93" t="s">
        <v>394</v>
      </c>
      <c r="BB93" s="8"/>
      <c r="BC93" s="8"/>
    </row>
    <row r="94" spans="1:56" x14ac:dyDescent="0.35">
      <c r="A94" s="9" t="s">
        <v>12</v>
      </c>
      <c r="B94" s="9" t="s">
        <v>49</v>
      </c>
      <c r="C94" s="9" t="str">
        <f>VLOOKUP(B94,templateLookup!A:B,2,0)</f>
        <v>COMPOSITE</v>
      </c>
      <c r="D94" s="10" t="s">
        <v>394</v>
      </c>
      <c r="F94" t="s">
        <v>30</v>
      </c>
      <c r="V94" s="12"/>
      <c r="AS94">
        <f t="shared" si="39"/>
        <v>2</v>
      </c>
      <c r="AT94">
        <v>1</v>
      </c>
      <c r="AU94" t="str">
        <f>$D132</f>
        <v>DE_VFDM</v>
      </c>
      <c r="AV94" t="str">
        <f>$D132</f>
        <v>DE_VFDM</v>
      </c>
    </row>
    <row r="95" spans="1:56" x14ac:dyDescent="0.35">
      <c r="A95" s="11" t="s">
        <v>12</v>
      </c>
      <c r="B95" s="11" t="s">
        <v>54</v>
      </c>
      <c r="C95" s="11" t="str">
        <f>VLOOKUP(B95,templateLookup!A:B,2,0)</f>
        <v>PrimeMbistVminSearchTestMethod</v>
      </c>
      <c r="D95" t="str">
        <f t="shared" ref="D95:D130" si="40">E95&amp;"_"&amp;F95&amp;"_"&amp;G95&amp;"_"&amp;H95&amp;"_"&amp;A95&amp;"_"&amp;I95&amp;"_"&amp;J95&amp;"_"&amp;K95&amp;"_"&amp;L95&amp;"_"&amp;M95&amp;"_"&amp;N95</f>
        <v>SSA_GFX_HRY_E_BEGIN_TITO_SACD_NOM_LFM_0320_DISP0_BHRY_DEBS_BP0</v>
      </c>
      <c r="E95" t="s">
        <v>4</v>
      </c>
      <c r="F95" t="s">
        <v>251</v>
      </c>
      <c r="G95" t="s">
        <v>271</v>
      </c>
      <c r="H95" t="s">
        <v>207</v>
      </c>
      <c r="I95" t="s">
        <v>260</v>
      </c>
      <c r="J95" t="s">
        <v>395</v>
      </c>
      <c r="K95" t="s">
        <v>284</v>
      </c>
      <c r="L95" t="s">
        <v>285</v>
      </c>
      <c r="M95" t="str">
        <f t="shared" ref="M95:M130" si="41">TEXT(320,"0000")</f>
        <v>0320</v>
      </c>
      <c r="N95" t="s">
        <v>396</v>
      </c>
      <c r="O95" t="s">
        <v>267</v>
      </c>
      <c r="P95" t="s">
        <v>397</v>
      </c>
      <c r="Q95" t="s">
        <v>398</v>
      </c>
      <c r="R95">
        <v>61</v>
      </c>
      <c r="S95">
        <v>40</v>
      </c>
      <c r="T95">
        <v>0</v>
      </c>
      <c r="U95">
        <v>-1</v>
      </c>
      <c r="V95" t="b">
        <v>0</v>
      </c>
      <c r="W95" t="s">
        <v>298</v>
      </c>
      <c r="X95" t="s">
        <v>271</v>
      </c>
      <c r="Y95" t="s">
        <v>272</v>
      </c>
      <c r="Z95">
        <v>0.85</v>
      </c>
      <c r="AA95">
        <v>0.85</v>
      </c>
      <c r="AS95">
        <f t="shared" si="39"/>
        <v>10</v>
      </c>
      <c r="AT95" t="s">
        <v>273</v>
      </c>
      <c r="AU95" t="str">
        <f t="shared" ref="AU95:AU129" si="42">$D96</f>
        <v>SSA_GFX_HRY_E_BEGIN_TITO_SACD_NOM_LFM_0320_DISP0_BISR_DEBS_BP0</v>
      </c>
      <c r="AV95" t="str">
        <f>$D98</f>
        <v>SSA_GFX_HRY_E_BEGIN_TITO_SACD_NOM_LFM_0320_DISP1_BHRY_DEBS_BP1</v>
      </c>
      <c r="AW95" t="str">
        <f t="shared" ref="AW95:BB95" si="43">$D96</f>
        <v>SSA_GFX_HRY_E_BEGIN_TITO_SACD_NOM_LFM_0320_DISP0_BISR_DEBS_BP0</v>
      </c>
      <c r="AX95" t="str">
        <f t="shared" si="43"/>
        <v>SSA_GFX_HRY_E_BEGIN_TITO_SACD_NOM_LFM_0320_DISP0_BISR_DEBS_BP0</v>
      </c>
      <c r="AY95" t="str">
        <f t="shared" si="43"/>
        <v>SSA_GFX_HRY_E_BEGIN_TITO_SACD_NOM_LFM_0320_DISP0_BISR_DEBS_BP0</v>
      </c>
      <c r="AZ95" t="str">
        <f t="shared" si="43"/>
        <v>SSA_GFX_HRY_E_BEGIN_TITO_SACD_NOM_LFM_0320_DISP0_BISR_DEBS_BP0</v>
      </c>
      <c r="BA95" t="str">
        <f t="shared" si="43"/>
        <v>SSA_GFX_HRY_E_BEGIN_TITO_SACD_NOM_LFM_0320_DISP0_BISR_DEBS_BP0</v>
      </c>
      <c r="BB95" t="str">
        <f t="shared" si="43"/>
        <v>SSA_GFX_HRY_E_BEGIN_TITO_SACD_NOM_LFM_0320_DISP0_BISR_DEBS_BP0</v>
      </c>
      <c r="BC95" t="str">
        <f>$D98</f>
        <v>SSA_GFX_HRY_E_BEGIN_TITO_SACD_NOM_LFM_0320_DISP1_BHRY_DEBS_BP1</v>
      </c>
      <c r="BD95" t="str">
        <f>$D96</f>
        <v>SSA_GFX_HRY_E_BEGIN_TITO_SACD_NOM_LFM_0320_DISP0_BISR_DEBS_BP0</v>
      </c>
    </row>
    <row r="96" spans="1:56" x14ac:dyDescent="0.35">
      <c r="A96" s="11" t="s">
        <v>12</v>
      </c>
      <c r="B96" s="11" t="s">
        <v>54</v>
      </c>
      <c r="C96" s="11" t="str">
        <f>VLOOKUP(B96,templateLookup!A:B,2,0)</f>
        <v>PrimeMbistVminSearchTestMethod</v>
      </c>
      <c r="D96" t="str">
        <f t="shared" si="40"/>
        <v>SSA_GFX_HRY_E_BEGIN_TITO_SACD_NOM_LFM_0320_DISP0_BISR_DEBS_BP0</v>
      </c>
      <c r="E96" t="s">
        <v>4</v>
      </c>
      <c r="F96" t="s">
        <v>251</v>
      </c>
      <c r="G96" t="s">
        <v>271</v>
      </c>
      <c r="H96" t="s">
        <v>207</v>
      </c>
      <c r="I96" t="s">
        <v>260</v>
      </c>
      <c r="J96" t="s">
        <v>395</v>
      </c>
      <c r="K96" t="s">
        <v>284</v>
      </c>
      <c r="L96" t="s">
        <v>285</v>
      </c>
      <c r="M96" t="str">
        <f t="shared" si="41"/>
        <v>0320</v>
      </c>
      <c r="N96" t="s">
        <v>399</v>
      </c>
      <c r="O96" t="s">
        <v>267</v>
      </c>
      <c r="P96" t="s">
        <v>397</v>
      </c>
      <c r="Q96" t="s">
        <v>400</v>
      </c>
      <c r="R96">
        <v>61</v>
      </c>
      <c r="S96">
        <v>40</v>
      </c>
      <c r="T96">
        <v>1</v>
      </c>
      <c r="U96">
        <v>-1</v>
      </c>
      <c r="V96" t="b">
        <v>0</v>
      </c>
      <c r="W96" t="s">
        <v>298</v>
      </c>
      <c r="X96" t="s">
        <v>401</v>
      </c>
      <c r="Y96" t="s">
        <v>272</v>
      </c>
      <c r="Z96">
        <v>0.85</v>
      </c>
      <c r="AA96">
        <v>0.85</v>
      </c>
      <c r="AS96">
        <f t="shared" si="39"/>
        <v>10</v>
      </c>
      <c r="AT96" t="s">
        <v>273</v>
      </c>
      <c r="AU96" t="str">
        <f t="shared" si="42"/>
        <v>SSA_GFX_RASTER_E_BEGIN_TITO_SACD_NOM_LFM_0320_DISP0_RASTER_DEBS_BP0</v>
      </c>
      <c r="AV96" t="str">
        <f t="shared" ref="AV96:BD96" si="44">$D98</f>
        <v>SSA_GFX_HRY_E_BEGIN_TITO_SACD_NOM_LFM_0320_DISP1_BHRY_DEBS_BP1</v>
      </c>
      <c r="AW96" t="str">
        <f t="shared" si="44"/>
        <v>SSA_GFX_HRY_E_BEGIN_TITO_SACD_NOM_LFM_0320_DISP1_BHRY_DEBS_BP1</v>
      </c>
      <c r="AX96" t="str">
        <f t="shared" si="44"/>
        <v>SSA_GFX_HRY_E_BEGIN_TITO_SACD_NOM_LFM_0320_DISP1_BHRY_DEBS_BP1</v>
      </c>
      <c r="AY96" t="str">
        <f t="shared" si="44"/>
        <v>SSA_GFX_HRY_E_BEGIN_TITO_SACD_NOM_LFM_0320_DISP1_BHRY_DEBS_BP1</v>
      </c>
      <c r="AZ96" t="str">
        <f t="shared" si="44"/>
        <v>SSA_GFX_HRY_E_BEGIN_TITO_SACD_NOM_LFM_0320_DISP1_BHRY_DEBS_BP1</v>
      </c>
      <c r="BA96" t="str">
        <f t="shared" si="44"/>
        <v>SSA_GFX_HRY_E_BEGIN_TITO_SACD_NOM_LFM_0320_DISP1_BHRY_DEBS_BP1</v>
      </c>
      <c r="BB96" t="str">
        <f t="shared" si="44"/>
        <v>SSA_GFX_HRY_E_BEGIN_TITO_SACD_NOM_LFM_0320_DISP1_BHRY_DEBS_BP1</v>
      </c>
      <c r="BC96" t="str">
        <f t="shared" si="44"/>
        <v>SSA_GFX_HRY_E_BEGIN_TITO_SACD_NOM_LFM_0320_DISP1_BHRY_DEBS_BP1</v>
      </c>
      <c r="BD96" t="str">
        <f t="shared" si="44"/>
        <v>SSA_GFX_HRY_E_BEGIN_TITO_SACD_NOM_LFM_0320_DISP1_BHRY_DEBS_BP1</v>
      </c>
    </row>
    <row r="97" spans="1:56" x14ac:dyDescent="0.35">
      <c r="A97" s="11" t="s">
        <v>12</v>
      </c>
      <c r="B97" s="11" t="s">
        <v>56</v>
      </c>
      <c r="C97" s="11" t="str">
        <f>VLOOKUP(B97,templateLookup!A:B,2,0)</f>
        <v>MbistRasterTC</v>
      </c>
      <c r="D97" t="str">
        <f t="shared" si="40"/>
        <v>SSA_GFX_RASTER_E_BEGIN_TITO_SACD_NOM_LFM_0320_DISP0_RASTER_DEBS_BP0</v>
      </c>
      <c r="E97" t="s">
        <v>4</v>
      </c>
      <c r="F97" t="s">
        <v>251</v>
      </c>
      <c r="G97" t="s">
        <v>289</v>
      </c>
      <c r="H97" t="s">
        <v>207</v>
      </c>
      <c r="I97" t="s">
        <v>260</v>
      </c>
      <c r="J97" t="s">
        <v>395</v>
      </c>
      <c r="K97" t="s">
        <v>284</v>
      </c>
      <c r="L97" t="s">
        <v>285</v>
      </c>
      <c r="M97" t="str">
        <f t="shared" si="41"/>
        <v>0320</v>
      </c>
      <c r="N97" t="s">
        <v>402</v>
      </c>
      <c r="O97" t="s">
        <v>267</v>
      </c>
      <c r="P97" t="s">
        <v>397</v>
      </c>
      <c r="Q97" t="s">
        <v>291</v>
      </c>
      <c r="R97">
        <v>61</v>
      </c>
      <c r="S97">
        <v>40</v>
      </c>
      <c r="T97">
        <v>2</v>
      </c>
      <c r="U97">
        <v>1</v>
      </c>
      <c r="V97" s="12" t="b">
        <v>0</v>
      </c>
      <c r="W97" t="s">
        <v>298</v>
      </c>
      <c r="AS97">
        <f t="shared" si="39"/>
        <v>5</v>
      </c>
      <c r="AT97">
        <v>1</v>
      </c>
      <c r="AU97" t="str">
        <f t="shared" si="42"/>
        <v>SSA_GFX_HRY_E_BEGIN_TITO_SACD_NOM_LFM_0320_DISP1_BHRY_DEBS_BP1</v>
      </c>
      <c r="AV97" t="str">
        <f>$D98</f>
        <v>SSA_GFX_HRY_E_BEGIN_TITO_SACD_NOM_LFM_0320_DISP1_BHRY_DEBS_BP1</v>
      </c>
      <c r="AW97" t="str">
        <f>$D98</f>
        <v>SSA_GFX_HRY_E_BEGIN_TITO_SACD_NOM_LFM_0320_DISP1_BHRY_DEBS_BP1</v>
      </c>
      <c r="AX97" t="str">
        <f>$D98</f>
        <v>SSA_GFX_HRY_E_BEGIN_TITO_SACD_NOM_LFM_0320_DISP1_BHRY_DEBS_BP1</v>
      </c>
      <c r="AY97" t="str">
        <f>$D98</f>
        <v>SSA_GFX_HRY_E_BEGIN_TITO_SACD_NOM_LFM_0320_DISP1_BHRY_DEBS_BP1</v>
      </c>
    </row>
    <row r="98" spans="1:56" x14ac:dyDescent="0.35">
      <c r="A98" s="11" t="s">
        <v>12</v>
      </c>
      <c r="B98" s="11" t="s">
        <v>54</v>
      </c>
      <c r="C98" s="11" t="str">
        <f>VLOOKUP(B98,templateLookup!A:B,2,0)</f>
        <v>PrimeMbistVminSearchTestMethod</v>
      </c>
      <c r="D98" t="str">
        <f t="shared" si="40"/>
        <v>SSA_GFX_HRY_E_BEGIN_TITO_SACD_NOM_LFM_0320_DISP1_BHRY_DEBS_BP1</v>
      </c>
      <c r="E98" t="s">
        <v>4</v>
      </c>
      <c r="F98" t="s">
        <v>251</v>
      </c>
      <c r="G98" t="s">
        <v>271</v>
      </c>
      <c r="H98" t="s">
        <v>207</v>
      </c>
      <c r="I98" t="s">
        <v>260</v>
      </c>
      <c r="J98" t="s">
        <v>395</v>
      </c>
      <c r="K98" t="s">
        <v>284</v>
      </c>
      <c r="L98" t="s">
        <v>285</v>
      </c>
      <c r="M98" t="str">
        <f t="shared" si="41"/>
        <v>0320</v>
      </c>
      <c r="N98" t="s">
        <v>403</v>
      </c>
      <c r="O98" t="s">
        <v>267</v>
      </c>
      <c r="P98" t="s">
        <v>397</v>
      </c>
      <c r="Q98" t="s">
        <v>404</v>
      </c>
      <c r="R98">
        <v>61</v>
      </c>
      <c r="S98">
        <v>40</v>
      </c>
      <c r="T98">
        <v>3</v>
      </c>
      <c r="U98">
        <v>-1</v>
      </c>
      <c r="V98" t="b">
        <v>0</v>
      </c>
      <c r="W98" t="s">
        <v>298</v>
      </c>
      <c r="X98" t="s">
        <v>271</v>
      </c>
      <c r="Y98" t="s">
        <v>272</v>
      </c>
      <c r="Z98">
        <v>0.85</v>
      </c>
      <c r="AA98">
        <v>0.85</v>
      </c>
      <c r="AS98">
        <f t="shared" si="39"/>
        <v>10</v>
      </c>
      <c r="AT98" t="s">
        <v>273</v>
      </c>
      <c r="AU98" t="str">
        <f t="shared" si="42"/>
        <v>SSA_GFX_HRY_E_BEGIN_TITO_SACD_NOM_LFM_0320_DISP1_BISR_DEBS_BP1</v>
      </c>
      <c r="AV98" t="str">
        <f>$D101</f>
        <v>SSA_GFX_HRY_E_BEGIN_TITO_SACD_NOM_LFM_0320_DISP2_BHRY_DEBS_BP2</v>
      </c>
      <c r="AW98" t="str">
        <f t="shared" ref="AW98:BB98" si="45">$D99</f>
        <v>SSA_GFX_HRY_E_BEGIN_TITO_SACD_NOM_LFM_0320_DISP1_BISR_DEBS_BP1</v>
      </c>
      <c r="AX98" t="str">
        <f t="shared" si="45"/>
        <v>SSA_GFX_HRY_E_BEGIN_TITO_SACD_NOM_LFM_0320_DISP1_BISR_DEBS_BP1</v>
      </c>
      <c r="AY98" t="str">
        <f t="shared" si="45"/>
        <v>SSA_GFX_HRY_E_BEGIN_TITO_SACD_NOM_LFM_0320_DISP1_BISR_DEBS_BP1</v>
      </c>
      <c r="AZ98" t="str">
        <f t="shared" si="45"/>
        <v>SSA_GFX_HRY_E_BEGIN_TITO_SACD_NOM_LFM_0320_DISP1_BISR_DEBS_BP1</v>
      </c>
      <c r="BA98" t="str">
        <f t="shared" si="45"/>
        <v>SSA_GFX_HRY_E_BEGIN_TITO_SACD_NOM_LFM_0320_DISP1_BISR_DEBS_BP1</v>
      </c>
      <c r="BB98" t="str">
        <f t="shared" si="45"/>
        <v>SSA_GFX_HRY_E_BEGIN_TITO_SACD_NOM_LFM_0320_DISP1_BISR_DEBS_BP1</v>
      </c>
      <c r="BC98" t="str">
        <f>$D101</f>
        <v>SSA_GFX_HRY_E_BEGIN_TITO_SACD_NOM_LFM_0320_DISP2_BHRY_DEBS_BP2</v>
      </c>
      <c r="BD98" t="str">
        <f>$D99</f>
        <v>SSA_GFX_HRY_E_BEGIN_TITO_SACD_NOM_LFM_0320_DISP1_BISR_DEBS_BP1</v>
      </c>
    </row>
    <row r="99" spans="1:56" x14ac:dyDescent="0.35">
      <c r="A99" s="11" t="s">
        <v>12</v>
      </c>
      <c r="B99" s="11" t="s">
        <v>54</v>
      </c>
      <c r="C99" s="11" t="str">
        <f>VLOOKUP(B99,templateLookup!A:B,2,0)</f>
        <v>PrimeMbistVminSearchTestMethod</v>
      </c>
      <c r="D99" t="str">
        <f t="shared" si="40"/>
        <v>SSA_GFX_HRY_E_BEGIN_TITO_SACD_NOM_LFM_0320_DISP1_BISR_DEBS_BP1</v>
      </c>
      <c r="E99" t="s">
        <v>4</v>
      </c>
      <c r="F99" t="s">
        <v>251</v>
      </c>
      <c r="G99" t="s">
        <v>271</v>
      </c>
      <c r="H99" t="s">
        <v>207</v>
      </c>
      <c r="I99" t="s">
        <v>260</v>
      </c>
      <c r="J99" t="s">
        <v>395</v>
      </c>
      <c r="K99" t="s">
        <v>284</v>
      </c>
      <c r="L99" t="s">
        <v>285</v>
      </c>
      <c r="M99" t="str">
        <f t="shared" si="41"/>
        <v>0320</v>
      </c>
      <c r="N99" t="s">
        <v>405</v>
      </c>
      <c r="O99" t="s">
        <v>267</v>
      </c>
      <c r="P99" t="s">
        <v>397</v>
      </c>
      <c r="Q99" t="s">
        <v>406</v>
      </c>
      <c r="R99">
        <v>61</v>
      </c>
      <c r="S99">
        <v>40</v>
      </c>
      <c r="T99">
        <v>4</v>
      </c>
      <c r="U99">
        <v>-1</v>
      </c>
      <c r="V99" t="b">
        <v>0</v>
      </c>
      <c r="W99" t="s">
        <v>298</v>
      </c>
      <c r="X99" t="s">
        <v>401</v>
      </c>
      <c r="Y99" t="s">
        <v>272</v>
      </c>
      <c r="Z99">
        <v>0.85</v>
      </c>
      <c r="AA99">
        <v>0.85</v>
      </c>
      <c r="AS99">
        <f t="shared" si="39"/>
        <v>10</v>
      </c>
      <c r="AT99" t="s">
        <v>273</v>
      </c>
      <c r="AU99" t="str">
        <f t="shared" si="42"/>
        <v>SSA_GFX_RASTER_E_BEGIN_TITO_SACD_NOM_LFM_0320_DISP1_RASTER_DEBS_BP1</v>
      </c>
      <c r="AV99" t="str">
        <f t="shared" ref="AV99:BD99" si="46">$D101</f>
        <v>SSA_GFX_HRY_E_BEGIN_TITO_SACD_NOM_LFM_0320_DISP2_BHRY_DEBS_BP2</v>
      </c>
      <c r="AW99" t="str">
        <f t="shared" si="46"/>
        <v>SSA_GFX_HRY_E_BEGIN_TITO_SACD_NOM_LFM_0320_DISP2_BHRY_DEBS_BP2</v>
      </c>
      <c r="AX99" t="str">
        <f t="shared" si="46"/>
        <v>SSA_GFX_HRY_E_BEGIN_TITO_SACD_NOM_LFM_0320_DISP2_BHRY_DEBS_BP2</v>
      </c>
      <c r="AY99" t="str">
        <f t="shared" si="46"/>
        <v>SSA_GFX_HRY_E_BEGIN_TITO_SACD_NOM_LFM_0320_DISP2_BHRY_DEBS_BP2</v>
      </c>
      <c r="AZ99" t="str">
        <f t="shared" si="46"/>
        <v>SSA_GFX_HRY_E_BEGIN_TITO_SACD_NOM_LFM_0320_DISP2_BHRY_DEBS_BP2</v>
      </c>
      <c r="BA99" t="str">
        <f t="shared" si="46"/>
        <v>SSA_GFX_HRY_E_BEGIN_TITO_SACD_NOM_LFM_0320_DISP2_BHRY_DEBS_BP2</v>
      </c>
      <c r="BB99" t="str">
        <f t="shared" si="46"/>
        <v>SSA_GFX_HRY_E_BEGIN_TITO_SACD_NOM_LFM_0320_DISP2_BHRY_DEBS_BP2</v>
      </c>
      <c r="BC99" t="str">
        <f t="shared" si="46"/>
        <v>SSA_GFX_HRY_E_BEGIN_TITO_SACD_NOM_LFM_0320_DISP2_BHRY_DEBS_BP2</v>
      </c>
      <c r="BD99" t="str">
        <f t="shared" si="46"/>
        <v>SSA_GFX_HRY_E_BEGIN_TITO_SACD_NOM_LFM_0320_DISP2_BHRY_DEBS_BP2</v>
      </c>
    </row>
    <row r="100" spans="1:56" x14ac:dyDescent="0.35">
      <c r="A100" s="11" t="s">
        <v>12</v>
      </c>
      <c r="B100" s="11" t="s">
        <v>56</v>
      </c>
      <c r="C100" s="11" t="str">
        <f>VLOOKUP(B100,templateLookup!A:B,2,0)</f>
        <v>MbistRasterTC</v>
      </c>
      <c r="D100" t="str">
        <f t="shared" si="40"/>
        <v>SSA_GFX_RASTER_E_BEGIN_TITO_SACD_NOM_LFM_0320_DISP1_RASTER_DEBS_BP1</v>
      </c>
      <c r="E100" t="s">
        <v>4</v>
      </c>
      <c r="F100" t="s">
        <v>251</v>
      </c>
      <c r="G100" t="s">
        <v>289</v>
      </c>
      <c r="H100" t="s">
        <v>207</v>
      </c>
      <c r="I100" t="s">
        <v>260</v>
      </c>
      <c r="J100" t="s">
        <v>395</v>
      </c>
      <c r="K100" t="s">
        <v>284</v>
      </c>
      <c r="L100" t="s">
        <v>285</v>
      </c>
      <c r="M100" t="str">
        <f t="shared" si="41"/>
        <v>0320</v>
      </c>
      <c r="N100" t="s">
        <v>407</v>
      </c>
      <c r="O100" t="s">
        <v>267</v>
      </c>
      <c r="P100" t="s">
        <v>397</v>
      </c>
      <c r="Q100" t="s">
        <v>291</v>
      </c>
      <c r="R100">
        <v>61</v>
      </c>
      <c r="S100">
        <v>40</v>
      </c>
      <c r="T100">
        <v>5</v>
      </c>
      <c r="U100">
        <v>1</v>
      </c>
      <c r="V100" s="12" t="b">
        <v>0</v>
      </c>
      <c r="W100" t="s">
        <v>298</v>
      </c>
      <c r="AS100">
        <f t="shared" si="39"/>
        <v>5</v>
      </c>
      <c r="AT100">
        <v>1</v>
      </c>
      <c r="AU100" t="str">
        <f t="shared" si="42"/>
        <v>SSA_GFX_HRY_E_BEGIN_TITO_SACD_NOM_LFM_0320_DISP2_BHRY_DEBS_BP2</v>
      </c>
      <c r="AV100" t="str">
        <f>$D101</f>
        <v>SSA_GFX_HRY_E_BEGIN_TITO_SACD_NOM_LFM_0320_DISP2_BHRY_DEBS_BP2</v>
      </c>
      <c r="AW100" t="str">
        <f>$D101</f>
        <v>SSA_GFX_HRY_E_BEGIN_TITO_SACD_NOM_LFM_0320_DISP2_BHRY_DEBS_BP2</v>
      </c>
      <c r="AX100" t="str">
        <f>$D101</f>
        <v>SSA_GFX_HRY_E_BEGIN_TITO_SACD_NOM_LFM_0320_DISP2_BHRY_DEBS_BP2</v>
      </c>
      <c r="AY100" t="str">
        <f>$D101</f>
        <v>SSA_GFX_HRY_E_BEGIN_TITO_SACD_NOM_LFM_0320_DISP2_BHRY_DEBS_BP2</v>
      </c>
    </row>
    <row r="101" spans="1:56" x14ac:dyDescent="0.35">
      <c r="A101" s="11" t="s">
        <v>12</v>
      </c>
      <c r="B101" s="11" t="s">
        <v>54</v>
      </c>
      <c r="C101" s="11" t="str">
        <f>VLOOKUP(B101,templateLookup!A:B,2,0)</f>
        <v>PrimeMbistVminSearchTestMethod</v>
      </c>
      <c r="D101" t="str">
        <f t="shared" si="40"/>
        <v>SSA_GFX_HRY_E_BEGIN_TITO_SACD_NOM_LFM_0320_DISP2_BHRY_DEBS_BP2</v>
      </c>
      <c r="E101" t="s">
        <v>4</v>
      </c>
      <c r="F101" t="s">
        <v>251</v>
      </c>
      <c r="G101" t="s">
        <v>271</v>
      </c>
      <c r="H101" t="s">
        <v>207</v>
      </c>
      <c r="I101" t="s">
        <v>260</v>
      </c>
      <c r="J101" t="s">
        <v>395</v>
      </c>
      <c r="K101" t="s">
        <v>284</v>
      </c>
      <c r="L101" t="s">
        <v>285</v>
      </c>
      <c r="M101" t="str">
        <f t="shared" si="41"/>
        <v>0320</v>
      </c>
      <c r="N101" t="s">
        <v>408</v>
      </c>
      <c r="O101" t="s">
        <v>267</v>
      </c>
      <c r="P101" t="s">
        <v>397</v>
      </c>
      <c r="Q101" t="s">
        <v>409</v>
      </c>
      <c r="R101">
        <v>61</v>
      </c>
      <c r="S101">
        <v>40</v>
      </c>
      <c r="T101">
        <v>6</v>
      </c>
      <c r="U101">
        <v>-1</v>
      </c>
      <c r="V101" t="b">
        <v>0</v>
      </c>
      <c r="W101" t="s">
        <v>298</v>
      </c>
      <c r="X101" t="s">
        <v>271</v>
      </c>
      <c r="Y101" t="s">
        <v>272</v>
      </c>
      <c r="Z101">
        <v>0.85</v>
      </c>
      <c r="AA101">
        <v>0.85</v>
      </c>
      <c r="AS101">
        <f t="shared" si="39"/>
        <v>10</v>
      </c>
      <c r="AT101" t="s">
        <v>273</v>
      </c>
      <c r="AU101" t="str">
        <f t="shared" si="42"/>
        <v>SSA_GFX_HRY_E_BEGIN_TITO_SACD_NOM_LFM_0320_DISP2_BISR_DEBS_BP2</v>
      </c>
      <c r="AV101" t="str">
        <f>$D104</f>
        <v>SSA_GFX_HRY_E_BEGIN_TITO_SACD_NOM_LFM_0320_DISP3_BHRY_DEBS_BP3</v>
      </c>
      <c r="AW101" t="str">
        <f t="shared" ref="AW101:BB101" si="47">$D102</f>
        <v>SSA_GFX_HRY_E_BEGIN_TITO_SACD_NOM_LFM_0320_DISP2_BISR_DEBS_BP2</v>
      </c>
      <c r="AX101" t="str">
        <f t="shared" si="47"/>
        <v>SSA_GFX_HRY_E_BEGIN_TITO_SACD_NOM_LFM_0320_DISP2_BISR_DEBS_BP2</v>
      </c>
      <c r="AY101" t="str">
        <f t="shared" si="47"/>
        <v>SSA_GFX_HRY_E_BEGIN_TITO_SACD_NOM_LFM_0320_DISP2_BISR_DEBS_BP2</v>
      </c>
      <c r="AZ101" t="str">
        <f t="shared" si="47"/>
        <v>SSA_GFX_HRY_E_BEGIN_TITO_SACD_NOM_LFM_0320_DISP2_BISR_DEBS_BP2</v>
      </c>
      <c r="BA101" t="str">
        <f t="shared" si="47"/>
        <v>SSA_GFX_HRY_E_BEGIN_TITO_SACD_NOM_LFM_0320_DISP2_BISR_DEBS_BP2</v>
      </c>
      <c r="BB101" t="str">
        <f t="shared" si="47"/>
        <v>SSA_GFX_HRY_E_BEGIN_TITO_SACD_NOM_LFM_0320_DISP2_BISR_DEBS_BP2</v>
      </c>
      <c r="BC101" t="str">
        <f>$D104</f>
        <v>SSA_GFX_HRY_E_BEGIN_TITO_SACD_NOM_LFM_0320_DISP3_BHRY_DEBS_BP3</v>
      </c>
      <c r="BD101" t="str">
        <f>$D102</f>
        <v>SSA_GFX_HRY_E_BEGIN_TITO_SACD_NOM_LFM_0320_DISP2_BISR_DEBS_BP2</v>
      </c>
    </row>
    <row r="102" spans="1:56" x14ac:dyDescent="0.35">
      <c r="A102" s="11" t="s">
        <v>12</v>
      </c>
      <c r="B102" s="11" t="s">
        <v>54</v>
      </c>
      <c r="C102" s="11" t="str">
        <f>VLOOKUP(B102,templateLookup!A:B,2,0)</f>
        <v>PrimeMbistVminSearchTestMethod</v>
      </c>
      <c r="D102" t="str">
        <f t="shared" si="40"/>
        <v>SSA_GFX_HRY_E_BEGIN_TITO_SACD_NOM_LFM_0320_DISP2_BISR_DEBS_BP2</v>
      </c>
      <c r="E102" t="s">
        <v>4</v>
      </c>
      <c r="F102" t="s">
        <v>251</v>
      </c>
      <c r="G102" t="s">
        <v>271</v>
      </c>
      <c r="H102" t="s">
        <v>207</v>
      </c>
      <c r="I102" t="s">
        <v>260</v>
      </c>
      <c r="J102" t="s">
        <v>395</v>
      </c>
      <c r="K102" t="s">
        <v>284</v>
      </c>
      <c r="L102" t="s">
        <v>285</v>
      </c>
      <c r="M102" t="str">
        <f t="shared" si="41"/>
        <v>0320</v>
      </c>
      <c r="N102" t="s">
        <v>410</v>
      </c>
      <c r="O102" t="s">
        <v>267</v>
      </c>
      <c r="P102" t="s">
        <v>397</v>
      </c>
      <c r="Q102" t="s">
        <v>411</v>
      </c>
      <c r="R102">
        <v>61</v>
      </c>
      <c r="S102">
        <v>40</v>
      </c>
      <c r="T102">
        <v>7</v>
      </c>
      <c r="U102">
        <v>-1</v>
      </c>
      <c r="V102" t="b">
        <v>0</v>
      </c>
      <c r="W102" t="s">
        <v>298</v>
      </c>
      <c r="X102" t="s">
        <v>401</v>
      </c>
      <c r="Y102" t="s">
        <v>272</v>
      </c>
      <c r="Z102">
        <v>0.85</v>
      </c>
      <c r="AA102">
        <v>0.85</v>
      </c>
      <c r="AS102">
        <f t="shared" si="39"/>
        <v>10</v>
      </c>
      <c r="AT102" t="s">
        <v>273</v>
      </c>
      <c r="AU102" t="str">
        <f t="shared" si="42"/>
        <v>SSA_GFX_RASTER_E_BEGIN_TITO_SACD_NOM_LFM_0320_DISP2_RASTER_DEBS_BP2</v>
      </c>
      <c r="AV102" t="str">
        <f t="shared" ref="AV102:BD102" si="48">$D104</f>
        <v>SSA_GFX_HRY_E_BEGIN_TITO_SACD_NOM_LFM_0320_DISP3_BHRY_DEBS_BP3</v>
      </c>
      <c r="AW102" t="str">
        <f t="shared" si="48"/>
        <v>SSA_GFX_HRY_E_BEGIN_TITO_SACD_NOM_LFM_0320_DISP3_BHRY_DEBS_BP3</v>
      </c>
      <c r="AX102" t="str">
        <f t="shared" si="48"/>
        <v>SSA_GFX_HRY_E_BEGIN_TITO_SACD_NOM_LFM_0320_DISP3_BHRY_DEBS_BP3</v>
      </c>
      <c r="AY102" t="str">
        <f t="shared" si="48"/>
        <v>SSA_GFX_HRY_E_BEGIN_TITO_SACD_NOM_LFM_0320_DISP3_BHRY_DEBS_BP3</v>
      </c>
      <c r="AZ102" t="str">
        <f t="shared" si="48"/>
        <v>SSA_GFX_HRY_E_BEGIN_TITO_SACD_NOM_LFM_0320_DISP3_BHRY_DEBS_BP3</v>
      </c>
      <c r="BA102" t="str">
        <f t="shared" si="48"/>
        <v>SSA_GFX_HRY_E_BEGIN_TITO_SACD_NOM_LFM_0320_DISP3_BHRY_DEBS_BP3</v>
      </c>
      <c r="BB102" t="str">
        <f t="shared" si="48"/>
        <v>SSA_GFX_HRY_E_BEGIN_TITO_SACD_NOM_LFM_0320_DISP3_BHRY_DEBS_BP3</v>
      </c>
      <c r="BC102" t="str">
        <f t="shared" si="48"/>
        <v>SSA_GFX_HRY_E_BEGIN_TITO_SACD_NOM_LFM_0320_DISP3_BHRY_DEBS_BP3</v>
      </c>
      <c r="BD102" t="str">
        <f t="shared" si="48"/>
        <v>SSA_GFX_HRY_E_BEGIN_TITO_SACD_NOM_LFM_0320_DISP3_BHRY_DEBS_BP3</v>
      </c>
    </row>
    <row r="103" spans="1:56" x14ac:dyDescent="0.35">
      <c r="A103" s="11" t="s">
        <v>12</v>
      </c>
      <c r="B103" s="11" t="s">
        <v>56</v>
      </c>
      <c r="C103" s="11" t="str">
        <f>VLOOKUP(B103,templateLookup!A:B,2,0)</f>
        <v>MbistRasterTC</v>
      </c>
      <c r="D103" t="str">
        <f t="shared" si="40"/>
        <v>SSA_GFX_RASTER_E_BEGIN_TITO_SACD_NOM_LFM_0320_DISP2_RASTER_DEBS_BP2</v>
      </c>
      <c r="E103" t="s">
        <v>4</v>
      </c>
      <c r="F103" t="s">
        <v>251</v>
      </c>
      <c r="G103" t="s">
        <v>289</v>
      </c>
      <c r="H103" t="s">
        <v>207</v>
      </c>
      <c r="I103" t="s">
        <v>260</v>
      </c>
      <c r="J103" t="s">
        <v>395</v>
      </c>
      <c r="K103" t="s">
        <v>284</v>
      </c>
      <c r="L103" t="s">
        <v>285</v>
      </c>
      <c r="M103" t="str">
        <f t="shared" si="41"/>
        <v>0320</v>
      </c>
      <c r="N103" t="s">
        <v>412</v>
      </c>
      <c r="O103" t="s">
        <v>267</v>
      </c>
      <c r="P103" t="s">
        <v>397</v>
      </c>
      <c r="Q103" t="s">
        <v>291</v>
      </c>
      <c r="R103">
        <v>61</v>
      </c>
      <c r="S103">
        <v>40</v>
      </c>
      <c r="T103">
        <v>8</v>
      </c>
      <c r="U103">
        <v>1</v>
      </c>
      <c r="V103" s="12" t="b">
        <v>0</v>
      </c>
      <c r="W103" t="s">
        <v>298</v>
      </c>
      <c r="AS103">
        <f t="shared" si="39"/>
        <v>5</v>
      </c>
      <c r="AT103">
        <v>1</v>
      </c>
      <c r="AU103" t="str">
        <f t="shared" si="42"/>
        <v>SSA_GFX_HRY_E_BEGIN_TITO_SACD_NOM_LFM_0320_DISP3_BHRY_DEBS_BP3</v>
      </c>
      <c r="AV103" t="str">
        <f>$D104</f>
        <v>SSA_GFX_HRY_E_BEGIN_TITO_SACD_NOM_LFM_0320_DISP3_BHRY_DEBS_BP3</v>
      </c>
      <c r="AW103" t="str">
        <f>$D104</f>
        <v>SSA_GFX_HRY_E_BEGIN_TITO_SACD_NOM_LFM_0320_DISP3_BHRY_DEBS_BP3</v>
      </c>
      <c r="AX103" t="str">
        <f>$D104</f>
        <v>SSA_GFX_HRY_E_BEGIN_TITO_SACD_NOM_LFM_0320_DISP3_BHRY_DEBS_BP3</v>
      </c>
      <c r="AY103" t="str">
        <f>$D104</f>
        <v>SSA_GFX_HRY_E_BEGIN_TITO_SACD_NOM_LFM_0320_DISP3_BHRY_DEBS_BP3</v>
      </c>
    </row>
    <row r="104" spans="1:56" x14ac:dyDescent="0.35">
      <c r="A104" s="11" t="s">
        <v>12</v>
      </c>
      <c r="B104" s="11" t="s">
        <v>54</v>
      </c>
      <c r="C104" s="11" t="str">
        <f>VLOOKUP(B104,templateLookup!A:B,2,0)</f>
        <v>PrimeMbistVminSearchTestMethod</v>
      </c>
      <c r="D104" t="str">
        <f t="shared" si="40"/>
        <v>SSA_GFX_HRY_E_BEGIN_TITO_SACD_NOM_LFM_0320_DISP3_BHRY_DEBS_BP3</v>
      </c>
      <c r="E104" t="s">
        <v>4</v>
      </c>
      <c r="F104" t="s">
        <v>251</v>
      </c>
      <c r="G104" t="s">
        <v>271</v>
      </c>
      <c r="H104" t="s">
        <v>207</v>
      </c>
      <c r="I104" t="s">
        <v>260</v>
      </c>
      <c r="J104" t="s">
        <v>395</v>
      </c>
      <c r="K104" t="s">
        <v>284</v>
      </c>
      <c r="L104" t="s">
        <v>285</v>
      </c>
      <c r="M104" t="str">
        <f t="shared" si="41"/>
        <v>0320</v>
      </c>
      <c r="N104" t="s">
        <v>413</v>
      </c>
      <c r="O104" t="s">
        <v>267</v>
      </c>
      <c r="P104" t="s">
        <v>397</v>
      </c>
      <c r="Q104" t="s">
        <v>414</v>
      </c>
      <c r="R104">
        <v>61</v>
      </c>
      <c r="S104">
        <v>40</v>
      </c>
      <c r="T104">
        <v>9</v>
      </c>
      <c r="U104">
        <v>-1</v>
      </c>
      <c r="V104" t="b">
        <v>0</v>
      </c>
      <c r="W104" t="s">
        <v>298</v>
      </c>
      <c r="X104" t="s">
        <v>271</v>
      </c>
      <c r="Y104" t="s">
        <v>272</v>
      </c>
      <c r="Z104">
        <v>0.85</v>
      </c>
      <c r="AA104">
        <v>0.85</v>
      </c>
      <c r="AS104">
        <f t="shared" si="39"/>
        <v>10</v>
      </c>
      <c r="AT104" t="s">
        <v>273</v>
      </c>
      <c r="AU104" t="str">
        <f t="shared" si="42"/>
        <v>SSA_GFX_HRY_E_BEGIN_TITO_SACD_NOM_LFM_0320_DISP3_BISR_DEBS_BP3</v>
      </c>
      <c r="AV104" t="str">
        <f>$D107</f>
        <v>SSA_GFX_HRY_E_BEGIN_TITO_SACD_NOM_LFM_0320_DISP4_BHRY_DEBS_BP4</v>
      </c>
      <c r="AW104" t="str">
        <f t="shared" ref="AW104:BB104" si="49">$D105</f>
        <v>SSA_GFX_HRY_E_BEGIN_TITO_SACD_NOM_LFM_0320_DISP3_BISR_DEBS_BP3</v>
      </c>
      <c r="AX104" t="str">
        <f t="shared" si="49"/>
        <v>SSA_GFX_HRY_E_BEGIN_TITO_SACD_NOM_LFM_0320_DISP3_BISR_DEBS_BP3</v>
      </c>
      <c r="AY104" t="str">
        <f t="shared" si="49"/>
        <v>SSA_GFX_HRY_E_BEGIN_TITO_SACD_NOM_LFM_0320_DISP3_BISR_DEBS_BP3</v>
      </c>
      <c r="AZ104" t="str">
        <f t="shared" si="49"/>
        <v>SSA_GFX_HRY_E_BEGIN_TITO_SACD_NOM_LFM_0320_DISP3_BISR_DEBS_BP3</v>
      </c>
      <c r="BA104" t="str">
        <f t="shared" si="49"/>
        <v>SSA_GFX_HRY_E_BEGIN_TITO_SACD_NOM_LFM_0320_DISP3_BISR_DEBS_BP3</v>
      </c>
      <c r="BB104" t="str">
        <f t="shared" si="49"/>
        <v>SSA_GFX_HRY_E_BEGIN_TITO_SACD_NOM_LFM_0320_DISP3_BISR_DEBS_BP3</v>
      </c>
      <c r="BC104" t="str">
        <f>$D107</f>
        <v>SSA_GFX_HRY_E_BEGIN_TITO_SACD_NOM_LFM_0320_DISP4_BHRY_DEBS_BP4</v>
      </c>
      <c r="BD104" t="str">
        <f>$D105</f>
        <v>SSA_GFX_HRY_E_BEGIN_TITO_SACD_NOM_LFM_0320_DISP3_BISR_DEBS_BP3</v>
      </c>
    </row>
    <row r="105" spans="1:56" x14ac:dyDescent="0.35">
      <c r="A105" s="11" t="s">
        <v>12</v>
      </c>
      <c r="B105" s="11" t="s">
        <v>54</v>
      </c>
      <c r="C105" s="11" t="str">
        <f>VLOOKUP(B105,templateLookup!A:B,2,0)</f>
        <v>PrimeMbistVminSearchTestMethod</v>
      </c>
      <c r="D105" t="str">
        <f t="shared" si="40"/>
        <v>SSA_GFX_HRY_E_BEGIN_TITO_SACD_NOM_LFM_0320_DISP3_BISR_DEBS_BP3</v>
      </c>
      <c r="E105" t="s">
        <v>4</v>
      </c>
      <c r="F105" t="s">
        <v>251</v>
      </c>
      <c r="G105" t="s">
        <v>271</v>
      </c>
      <c r="H105" t="s">
        <v>207</v>
      </c>
      <c r="I105" t="s">
        <v>260</v>
      </c>
      <c r="J105" t="s">
        <v>395</v>
      </c>
      <c r="K105" t="s">
        <v>284</v>
      </c>
      <c r="L105" t="s">
        <v>285</v>
      </c>
      <c r="M105" t="str">
        <f t="shared" si="41"/>
        <v>0320</v>
      </c>
      <c r="N105" t="s">
        <v>415</v>
      </c>
      <c r="O105" t="s">
        <v>267</v>
      </c>
      <c r="P105" t="s">
        <v>397</v>
      </c>
      <c r="Q105" t="s">
        <v>416</v>
      </c>
      <c r="R105">
        <v>61</v>
      </c>
      <c r="S105">
        <v>40</v>
      </c>
      <c r="T105">
        <v>10</v>
      </c>
      <c r="U105">
        <v>-1</v>
      </c>
      <c r="V105" t="b">
        <v>0</v>
      </c>
      <c r="W105" t="s">
        <v>298</v>
      </c>
      <c r="X105" t="s">
        <v>401</v>
      </c>
      <c r="Y105" t="s">
        <v>272</v>
      </c>
      <c r="Z105">
        <v>0.85</v>
      </c>
      <c r="AA105">
        <v>0.85</v>
      </c>
      <c r="AS105">
        <f t="shared" si="39"/>
        <v>10</v>
      </c>
      <c r="AT105" t="s">
        <v>273</v>
      </c>
      <c r="AU105" t="str">
        <f t="shared" si="42"/>
        <v>SSA_GFX_RASTER_E_BEGIN_TITO_SACD_NOM_LFM_0320_DISP3_RASTER_DEBS_BP3</v>
      </c>
      <c r="AV105" t="str">
        <f t="shared" ref="AV105:BD105" si="50">$D107</f>
        <v>SSA_GFX_HRY_E_BEGIN_TITO_SACD_NOM_LFM_0320_DISP4_BHRY_DEBS_BP4</v>
      </c>
      <c r="AW105" t="str">
        <f t="shared" si="50"/>
        <v>SSA_GFX_HRY_E_BEGIN_TITO_SACD_NOM_LFM_0320_DISP4_BHRY_DEBS_BP4</v>
      </c>
      <c r="AX105" t="str">
        <f t="shared" si="50"/>
        <v>SSA_GFX_HRY_E_BEGIN_TITO_SACD_NOM_LFM_0320_DISP4_BHRY_DEBS_BP4</v>
      </c>
      <c r="AY105" t="str">
        <f t="shared" si="50"/>
        <v>SSA_GFX_HRY_E_BEGIN_TITO_SACD_NOM_LFM_0320_DISP4_BHRY_DEBS_BP4</v>
      </c>
      <c r="AZ105" t="str">
        <f t="shared" si="50"/>
        <v>SSA_GFX_HRY_E_BEGIN_TITO_SACD_NOM_LFM_0320_DISP4_BHRY_DEBS_BP4</v>
      </c>
      <c r="BA105" t="str">
        <f t="shared" si="50"/>
        <v>SSA_GFX_HRY_E_BEGIN_TITO_SACD_NOM_LFM_0320_DISP4_BHRY_DEBS_BP4</v>
      </c>
      <c r="BB105" t="str">
        <f t="shared" si="50"/>
        <v>SSA_GFX_HRY_E_BEGIN_TITO_SACD_NOM_LFM_0320_DISP4_BHRY_DEBS_BP4</v>
      </c>
      <c r="BC105" t="str">
        <f t="shared" si="50"/>
        <v>SSA_GFX_HRY_E_BEGIN_TITO_SACD_NOM_LFM_0320_DISP4_BHRY_DEBS_BP4</v>
      </c>
      <c r="BD105" t="str">
        <f t="shared" si="50"/>
        <v>SSA_GFX_HRY_E_BEGIN_TITO_SACD_NOM_LFM_0320_DISP4_BHRY_DEBS_BP4</v>
      </c>
    </row>
    <row r="106" spans="1:56" x14ac:dyDescent="0.35">
      <c r="A106" s="11" t="s">
        <v>12</v>
      </c>
      <c r="B106" s="11" t="s">
        <v>56</v>
      </c>
      <c r="C106" s="11" t="str">
        <f>VLOOKUP(B106,templateLookup!A:B,2,0)</f>
        <v>MbistRasterTC</v>
      </c>
      <c r="D106" t="str">
        <f t="shared" si="40"/>
        <v>SSA_GFX_RASTER_E_BEGIN_TITO_SACD_NOM_LFM_0320_DISP3_RASTER_DEBS_BP3</v>
      </c>
      <c r="E106" t="s">
        <v>4</v>
      </c>
      <c r="F106" t="s">
        <v>251</v>
      </c>
      <c r="G106" t="s">
        <v>289</v>
      </c>
      <c r="H106" t="s">
        <v>207</v>
      </c>
      <c r="I106" t="s">
        <v>260</v>
      </c>
      <c r="J106" t="s">
        <v>395</v>
      </c>
      <c r="K106" t="s">
        <v>284</v>
      </c>
      <c r="L106" t="s">
        <v>285</v>
      </c>
      <c r="M106" t="str">
        <f t="shared" si="41"/>
        <v>0320</v>
      </c>
      <c r="N106" t="s">
        <v>417</v>
      </c>
      <c r="O106" t="s">
        <v>267</v>
      </c>
      <c r="P106" t="s">
        <v>397</v>
      </c>
      <c r="Q106" t="s">
        <v>291</v>
      </c>
      <c r="R106">
        <v>61</v>
      </c>
      <c r="S106">
        <v>40</v>
      </c>
      <c r="T106">
        <v>11</v>
      </c>
      <c r="U106">
        <v>1</v>
      </c>
      <c r="V106" s="12" t="b">
        <v>0</v>
      </c>
      <c r="W106" t="s">
        <v>298</v>
      </c>
      <c r="AS106">
        <f t="shared" si="39"/>
        <v>5</v>
      </c>
      <c r="AT106">
        <v>1</v>
      </c>
      <c r="AU106" t="str">
        <f t="shared" si="42"/>
        <v>SSA_GFX_HRY_E_BEGIN_TITO_SACD_NOM_LFM_0320_DISP4_BHRY_DEBS_BP4</v>
      </c>
      <c r="AV106" t="str">
        <f>$D107</f>
        <v>SSA_GFX_HRY_E_BEGIN_TITO_SACD_NOM_LFM_0320_DISP4_BHRY_DEBS_BP4</v>
      </c>
      <c r="AW106" t="str">
        <f>$D107</f>
        <v>SSA_GFX_HRY_E_BEGIN_TITO_SACD_NOM_LFM_0320_DISP4_BHRY_DEBS_BP4</v>
      </c>
      <c r="AX106" t="str">
        <f>$D107</f>
        <v>SSA_GFX_HRY_E_BEGIN_TITO_SACD_NOM_LFM_0320_DISP4_BHRY_DEBS_BP4</v>
      </c>
      <c r="AY106" t="str">
        <f>$D107</f>
        <v>SSA_GFX_HRY_E_BEGIN_TITO_SACD_NOM_LFM_0320_DISP4_BHRY_DEBS_BP4</v>
      </c>
    </row>
    <row r="107" spans="1:56" x14ac:dyDescent="0.35">
      <c r="A107" s="11" t="s">
        <v>12</v>
      </c>
      <c r="B107" s="11" t="s">
        <v>54</v>
      </c>
      <c r="C107" s="11" t="str">
        <f>VLOOKUP(B107,templateLookup!A:B,2,0)</f>
        <v>PrimeMbistVminSearchTestMethod</v>
      </c>
      <c r="D107" t="str">
        <f t="shared" si="40"/>
        <v>SSA_GFX_HRY_E_BEGIN_TITO_SACD_NOM_LFM_0320_DISP4_BHRY_DEBS_BP4</v>
      </c>
      <c r="E107" t="s">
        <v>4</v>
      </c>
      <c r="F107" t="s">
        <v>251</v>
      </c>
      <c r="G107" t="s">
        <v>271</v>
      </c>
      <c r="H107" t="s">
        <v>207</v>
      </c>
      <c r="I107" t="s">
        <v>260</v>
      </c>
      <c r="J107" t="s">
        <v>395</v>
      </c>
      <c r="K107" t="s">
        <v>284</v>
      </c>
      <c r="L107" t="s">
        <v>285</v>
      </c>
      <c r="M107" t="str">
        <f t="shared" si="41"/>
        <v>0320</v>
      </c>
      <c r="N107" t="s">
        <v>418</v>
      </c>
      <c r="O107" t="s">
        <v>267</v>
      </c>
      <c r="P107" t="s">
        <v>397</v>
      </c>
      <c r="Q107" t="s">
        <v>419</v>
      </c>
      <c r="R107">
        <v>61</v>
      </c>
      <c r="S107">
        <v>40</v>
      </c>
      <c r="T107">
        <v>12</v>
      </c>
      <c r="U107">
        <v>-1</v>
      </c>
      <c r="V107" t="b">
        <v>0</v>
      </c>
      <c r="W107" t="s">
        <v>298</v>
      </c>
      <c r="X107" t="s">
        <v>271</v>
      </c>
      <c r="Y107" t="s">
        <v>272</v>
      </c>
      <c r="Z107">
        <v>0.85</v>
      </c>
      <c r="AA107">
        <v>0.85</v>
      </c>
      <c r="AS107">
        <f t="shared" si="39"/>
        <v>10</v>
      </c>
      <c r="AT107" t="s">
        <v>273</v>
      </c>
      <c r="AU107" t="str">
        <f t="shared" si="42"/>
        <v>SSA_GFX_HRY_E_BEGIN_TITO_SACD_NOM_LFM_0320_DISP4_BISR_DEBS_BP4</v>
      </c>
      <c r="AV107" t="str">
        <f>$D110</f>
        <v>SSA_GFX_HRY_E_BEGIN_TITO_SACD_NOM_LFM_0320_DISP5_BHRY_DEBS_BP5</v>
      </c>
      <c r="AW107" t="str">
        <f t="shared" ref="AW107:BB107" si="51">$D108</f>
        <v>SSA_GFX_HRY_E_BEGIN_TITO_SACD_NOM_LFM_0320_DISP4_BISR_DEBS_BP4</v>
      </c>
      <c r="AX107" t="str">
        <f t="shared" si="51"/>
        <v>SSA_GFX_HRY_E_BEGIN_TITO_SACD_NOM_LFM_0320_DISP4_BISR_DEBS_BP4</v>
      </c>
      <c r="AY107" t="str">
        <f t="shared" si="51"/>
        <v>SSA_GFX_HRY_E_BEGIN_TITO_SACD_NOM_LFM_0320_DISP4_BISR_DEBS_BP4</v>
      </c>
      <c r="AZ107" t="str">
        <f t="shared" si="51"/>
        <v>SSA_GFX_HRY_E_BEGIN_TITO_SACD_NOM_LFM_0320_DISP4_BISR_DEBS_BP4</v>
      </c>
      <c r="BA107" t="str">
        <f t="shared" si="51"/>
        <v>SSA_GFX_HRY_E_BEGIN_TITO_SACD_NOM_LFM_0320_DISP4_BISR_DEBS_BP4</v>
      </c>
      <c r="BB107" t="str">
        <f t="shared" si="51"/>
        <v>SSA_GFX_HRY_E_BEGIN_TITO_SACD_NOM_LFM_0320_DISP4_BISR_DEBS_BP4</v>
      </c>
      <c r="BC107" t="str">
        <f>$D110</f>
        <v>SSA_GFX_HRY_E_BEGIN_TITO_SACD_NOM_LFM_0320_DISP5_BHRY_DEBS_BP5</v>
      </c>
      <c r="BD107" t="str">
        <f>$D108</f>
        <v>SSA_GFX_HRY_E_BEGIN_TITO_SACD_NOM_LFM_0320_DISP4_BISR_DEBS_BP4</v>
      </c>
    </row>
    <row r="108" spans="1:56" x14ac:dyDescent="0.35">
      <c r="A108" s="11" t="s">
        <v>12</v>
      </c>
      <c r="B108" s="11" t="s">
        <v>54</v>
      </c>
      <c r="C108" s="11" t="str">
        <f>VLOOKUP(B108,templateLookup!A:B,2,0)</f>
        <v>PrimeMbistVminSearchTestMethod</v>
      </c>
      <c r="D108" t="str">
        <f t="shared" si="40"/>
        <v>SSA_GFX_HRY_E_BEGIN_TITO_SACD_NOM_LFM_0320_DISP4_BISR_DEBS_BP4</v>
      </c>
      <c r="E108" t="s">
        <v>4</v>
      </c>
      <c r="F108" t="s">
        <v>251</v>
      </c>
      <c r="G108" t="s">
        <v>271</v>
      </c>
      <c r="H108" t="s">
        <v>207</v>
      </c>
      <c r="I108" t="s">
        <v>260</v>
      </c>
      <c r="J108" t="s">
        <v>395</v>
      </c>
      <c r="K108" t="s">
        <v>284</v>
      </c>
      <c r="L108" t="s">
        <v>285</v>
      </c>
      <c r="M108" t="str">
        <f t="shared" si="41"/>
        <v>0320</v>
      </c>
      <c r="N108" t="s">
        <v>420</v>
      </c>
      <c r="O108" t="s">
        <v>267</v>
      </c>
      <c r="P108" t="s">
        <v>397</v>
      </c>
      <c r="Q108" t="s">
        <v>421</v>
      </c>
      <c r="R108">
        <v>61</v>
      </c>
      <c r="S108">
        <v>40</v>
      </c>
      <c r="T108">
        <v>13</v>
      </c>
      <c r="U108">
        <v>-1</v>
      </c>
      <c r="V108" t="b">
        <v>0</v>
      </c>
      <c r="W108" t="s">
        <v>298</v>
      </c>
      <c r="X108" t="s">
        <v>401</v>
      </c>
      <c r="Y108" t="s">
        <v>272</v>
      </c>
      <c r="Z108">
        <v>0.85</v>
      </c>
      <c r="AA108">
        <v>0.85</v>
      </c>
      <c r="AS108">
        <f t="shared" si="39"/>
        <v>10</v>
      </c>
      <c r="AT108" t="s">
        <v>273</v>
      </c>
      <c r="AU108" t="str">
        <f t="shared" si="42"/>
        <v>SSA_GFX_RASTER_E_BEGIN_TITO_SACD_NOM_LFM_0320_DISP4_RASTER_DEBS_BP4</v>
      </c>
      <c r="AV108" t="str">
        <f t="shared" ref="AV108:BD108" si="52">$D110</f>
        <v>SSA_GFX_HRY_E_BEGIN_TITO_SACD_NOM_LFM_0320_DISP5_BHRY_DEBS_BP5</v>
      </c>
      <c r="AW108" t="str">
        <f t="shared" si="52"/>
        <v>SSA_GFX_HRY_E_BEGIN_TITO_SACD_NOM_LFM_0320_DISP5_BHRY_DEBS_BP5</v>
      </c>
      <c r="AX108" t="str">
        <f t="shared" si="52"/>
        <v>SSA_GFX_HRY_E_BEGIN_TITO_SACD_NOM_LFM_0320_DISP5_BHRY_DEBS_BP5</v>
      </c>
      <c r="AY108" t="str">
        <f t="shared" si="52"/>
        <v>SSA_GFX_HRY_E_BEGIN_TITO_SACD_NOM_LFM_0320_DISP5_BHRY_DEBS_BP5</v>
      </c>
      <c r="AZ108" t="str">
        <f t="shared" si="52"/>
        <v>SSA_GFX_HRY_E_BEGIN_TITO_SACD_NOM_LFM_0320_DISP5_BHRY_DEBS_BP5</v>
      </c>
      <c r="BA108" t="str">
        <f t="shared" si="52"/>
        <v>SSA_GFX_HRY_E_BEGIN_TITO_SACD_NOM_LFM_0320_DISP5_BHRY_DEBS_BP5</v>
      </c>
      <c r="BB108" t="str">
        <f t="shared" si="52"/>
        <v>SSA_GFX_HRY_E_BEGIN_TITO_SACD_NOM_LFM_0320_DISP5_BHRY_DEBS_BP5</v>
      </c>
      <c r="BC108" t="str">
        <f t="shared" si="52"/>
        <v>SSA_GFX_HRY_E_BEGIN_TITO_SACD_NOM_LFM_0320_DISP5_BHRY_DEBS_BP5</v>
      </c>
      <c r="BD108" t="str">
        <f t="shared" si="52"/>
        <v>SSA_GFX_HRY_E_BEGIN_TITO_SACD_NOM_LFM_0320_DISP5_BHRY_DEBS_BP5</v>
      </c>
    </row>
    <row r="109" spans="1:56" x14ac:dyDescent="0.35">
      <c r="A109" s="11" t="s">
        <v>12</v>
      </c>
      <c r="B109" s="11" t="s">
        <v>56</v>
      </c>
      <c r="C109" s="11" t="str">
        <f>VLOOKUP(B109,templateLookup!A:B,2,0)</f>
        <v>MbistRasterTC</v>
      </c>
      <c r="D109" t="str">
        <f t="shared" si="40"/>
        <v>SSA_GFX_RASTER_E_BEGIN_TITO_SACD_NOM_LFM_0320_DISP4_RASTER_DEBS_BP4</v>
      </c>
      <c r="E109" t="s">
        <v>4</v>
      </c>
      <c r="F109" t="s">
        <v>251</v>
      </c>
      <c r="G109" t="s">
        <v>289</v>
      </c>
      <c r="H109" t="s">
        <v>207</v>
      </c>
      <c r="I109" t="s">
        <v>260</v>
      </c>
      <c r="J109" t="s">
        <v>395</v>
      </c>
      <c r="K109" t="s">
        <v>284</v>
      </c>
      <c r="L109" t="s">
        <v>285</v>
      </c>
      <c r="M109" t="str">
        <f t="shared" si="41"/>
        <v>0320</v>
      </c>
      <c r="N109" t="s">
        <v>422</v>
      </c>
      <c r="O109" t="s">
        <v>267</v>
      </c>
      <c r="P109" t="s">
        <v>397</v>
      </c>
      <c r="Q109" t="s">
        <v>291</v>
      </c>
      <c r="R109">
        <v>61</v>
      </c>
      <c r="S109">
        <v>40</v>
      </c>
      <c r="T109">
        <v>14</v>
      </c>
      <c r="U109">
        <v>1</v>
      </c>
      <c r="V109" s="12" t="b">
        <v>0</v>
      </c>
      <c r="W109" t="s">
        <v>298</v>
      </c>
      <c r="AS109">
        <f t="shared" si="39"/>
        <v>5</v>
      </c>
      <c r="AT109">
        <v>1</v>
      </c>
      <c r="AU109" t="str">
        <f t="shared" si="42"/>
        <v>SSA_GFX_HRY_E_BEGIN_TITO_SACD_NOM_LFM_0320_DISP5_BHRY_DEBS_BP5</v>
      </c>
      <c r="AV109" t="str">
        <f>$D110</f>
        <v>SSA_GFX_HRY_E_BEGIN_TITO_SACD_NOM_LFM_0320_DISP5_BHRY_DEBS_BP5</v>
      </c>
      <c r="AW109" t="str">
        <f>$D110</f>
        <v>SSA_GFX_HRY_E_BEGIN_TITO_SACD_NOM_LFM_0320_DISP5_BHRY_DEBS_BP5</v>
      </c>
      <c r="AX109" t="str">
        <f>$D110</f>
        <v>SSA_GFX_HRY_E_BEGIN_TITO_SACD_NOM_LFM_0320_DISP5_BHRY_DEBS_BP5</v>
      </c>
      <c r="AY109" t="str">
        <f>$D110</f>
        <v>SSA_GFX_HRY_E_BEGIN_TITO_SACD_NOM_LFM_0320_DISP5_BHRY_DEBS_BP5</v>
      </c>
    </row>
    <row r="110" spans="1:56" x14ac:dyDescent="0.35">
      <c r="A110" s="11" t="s">
        <v>12</v>
      </c>
      <c r="B110" s="11" t="s">
        <v>54</v>
      </c>
      <c r="C110" s="11" t="str">
        <f>VLOOKUP(B110,templateLookup!A:B,2,0)</f>
        <v>PrimeMbistVminSearchTestMethod</v>
      </c>
      <c r="D110" t="str">
        <f t="shared" si="40"/>
        <v>SSA_GFX_HRY_E_BEGIN_TITO_SACD_NOM_LFM_0320_DISP5_BHRY_DEBS_BP5</v>
      </c>
      <c r="E110" t="s">
        <v>4</v>
      </c>
      <c r="F110" t="s">
        <v>251</v>
      </c>
      <c r="G110" t="s">
        <v>271</v>
      </c>
      <c r="H110" t="s">
        <v>207</v>
      </c>
      <c r="I110" t="s">
        <v>260</v>
      </c>
      <c r="J110" t="s">
        <v>395</v>
      </c>
      <c r="K110" t="s">
        <v>284</v>
      </c>
      <c r="L110" t="s">
        <v>285</v>
      </c>
      <c r="M110" t="str">
        <f t="shared" si="41"/>
        <v>0320</v>
      </c>
      <c r="N110" t="s">
        <v>423</v>
      </c>
      <c r="O110" t="s">
        <v>267</v>
      </c>
      <c r="P110" t="s">
        <v>397</v>
      </c>
      <c r="Q110" t="s">
        <v>424</v>
      </c>
      <c r="R110">
        <v>61</v>
      </c>
      <c r="S110">
        <v>40</v>
      </c>
      <c r="T110">
        <v>15</v>
      </c>
      <c r="U110">
        <v>-1</v>
      </c>
      <c r="V110" t="b">
        <v>0</v>
      </c>
      <c r="W110" t="s">
        <v>298</v>
      </c>
      <c r="X110" t="s">
        <v>271</v>
      </c>
      <c r="Y110" t="s">
        <v>272</v>
      </c>
      <c r="Z110">
        <v>0.85</v>
      </c>
      <c r="AA110">
        <v>0.85</v>
      </c>
      <c r="AS110">
        <f t="shared" si="39"/>
        <v>10</v>
      </c>
      <c r="AT110" t="s">
        <v>273</v>
      </c>
      <c r="AU110" t="str">
        <f t="shared" si="42"/>
        <v>SSA_GFX_HRY_E_BEGIN_TITO_SACD_NOM_LFM_0320_DISP5_BISR_DEBS_BP5</v>
      </c>
      <c r="AV110" t="str">
        <f>$D113</f>
        <v>LSA_GFX_HRY_E_BEGIN_TITO_SACD_NOM_LFM_0320_DISP0_BHRY_DEBS_BP0</v>
      </c>
      <c r="AW110" t="str">
        <f t="shared" ref="AW110:BB110" si="53">$D111</f>
        <v>SSA_GFX_HRY_E_BEGIN_TITO_SACD_NOM_LFM_0320_DISP5_BISR_DEBS_BP5</v>
      </c>
      <c r="AX110" t="str">
        <f t="shared" si="53"/>
        <v>SSA_GFX_HRY_E_BEGIN_TITO_SACD_NOM_LFM_0320_DISP5_BISR_DEBS_BP5</v>
      </c>
      <c r="AY110" t="str">
        <f t="shared" si="53"/>
        <v>SSA_GFX_HRY_E_BEGIN_TITO_SACD_NOM_LFM_0320_DISP5_BISR_DEBS_BP5</v>
      </c>
      <c r="AZ110" t="str">
        <f t="shared" si="53"/>
        <v>SSA_GFX_HRY_E_BEGIN_TITO_SACD_NOM_LFM_0320_DISP5_BISR_DEBS_BP5</v>
      </c>
      <c r="BA110" t="str">
        <f t="shared" si="53"/>
        <v>SSA_GFX_HRY_E_BEGIN_TITO_SACD_NOM_LFM_0320_DISP5_BISR_DEBS_BP5</v>
      </c>
      <c r="BB110" t="str">
        <f t="shared" si="53"/>
        <v>SSA_GFX_HRY_E_BEGIN_TITO_SACD_NOM_LFM_0320_DISP5_BISR_DEBS_BP5</v>
      </c>
      <c r="BC110" t="str">
        <f>$D113</f>
        <v>LSA_GFX_HRY_E_BEGIN_TITO_SACD_NOM_LFM_0320_DISP0_BHRY_DEBS_BP0</v>
      </c>
      <c r="BD110" t="str">
        <f>$D111</f>
        <v>SSA_GFX_HRY_E_BEGIN_TITO_SACD_NOM_LFM_0320_DISP5_BISR_DEBS_BP5</v>
      </c>
    </row>
    <row r="111" spans="1:56" x14ac:dyDescent="0.35">
      <c r="A111" s="11" t="s">
        <v>12</v>
      </c>
      <c r="B111" s="11" t="s">
        <v>54</v>
      </c>
      <c r="C111" s="11" t="str">
        <f>VLOOKUP(B111,templateLookup!A:B,2,0)</f>
        <v>PrimeMbistVminSearchTestMethod</v>
      </c>
      <c r="D111" t="str">
        <f t="shared" si="40"/>
        <v>SSA_GFX_HRY_E_BEGIN_TITO_SACD_NOM_LFM_0320_DISP5_BISR_DEBS_BP5</v>
      </c>
      <c r="E111" t="s">
        <v>4</v>
      </c>
      <c r="F111" t="s">
        <v>251</v>
      </c>
      <c r="G111" t="s">
        <v>271</v>
      </c>
      <c r="H111" t="s">
        <v>207</v>
      </c>
      <c r="I111" t="s">
        <v>260</v>
      </c>
      <c r="J111" t="s">
        <v>395</v>
      </c>
      <c r="K111" t="s">
        <v>284</v>
      </c>
      <c r="L111" t="s">
        <v>285</v>
      </c>
      <c r="M111" t="str">
        <f t="shared" si="41"/>
        <v>0320</v>
      </c>
      <c r="N111" t="s">
        <v>425</v>
      </c>
      <c r="O111" t="s">
        <v>267</v>
      </c>
      <c r="P111" t="s">
        <v>397</v>
      </c>
      <c r="Q111" t="s">
        <v>426</v>
      </c>
      <c r="R111">
        <v>61</v>
      </c>
      <c r="S111">
        <v>40</v>
      </c>
      <c r="T111">
        <v>16</v>
      </c>
      <c r="U111">
        <v>-1</v>
      </c>
      <c r="V111" t="b">
        <v>0</v>
      </c>
      <c r="W111" t="s">
        <v>298</v>
      </c>
      <c r="X111" t="s">
        <v>401</v>
      </c>
      <c r="Y111" t="s">
        <v>272</v>
      </c>
      <c r="Z111">
        <v>0.85</v>
      </c>
      <c r="AA111">
        <v>0.85</v>
      </c>
      <c r="AS111">
        <f t="shared" si="39"/>
        <v>10</v>
      </c>
      <c r="AT111" t="s">
        <v>273</v>
      </c>
      <c r="AU111" t="str">
        <f t="shared" si="42"/>
        <v>SSA_GFX_RASTER_E_BEGIN_TITO_SACD_NOM_LFM_0320_DISP5_RASTER_DEBS_BP5</v>
      </c>
      <c r="AV111" t="str">
        <f t="shared" ref="AV111:BD111" si="54">$D113</f>
        <v>LSA_GFX_HRY_E_BEGIN_TITO_SACD_NOM_LFM_0320_DISP0_BHRY_DEBS_BP0</v>
      </c>
      <c r="AW111" t="str">
        <f t="shared" si="54"/>
        <v>LSA_GFX_HRY_E_BEGIN_TITO_SACD_NOM_LFM_0320_DISP0_BHRY_DEBS_BP0</v>
      </c>
      <c r="AX111" t="str">
        <f t="shared" si="54"/>
        <v>LSA_GFX_HRY_E_BEGIN_TITO_SACD_NOM_LFM_0320_DISP0_BHRY_DEBS_BP0</v>
      </c>
      <c r="AY111" t="str">
        <f t="shared" si="54"/>
        <v>LSA_GFX_HRY_E_BEGIN_TITO_SACD_NOM_LFM_0320_DISP0_BHRY_DEBS_BP0</v>
      </c>
      <c r="AZ111" t="str">
        <f t="shared" si="54"/>
        <v>LSA_GFX_HRY_E_BEGIN_TITO_SACD_NOM_LFM_0320_DISP0_BHRY_DEBS_BP0</v>
      </c>
      <c r="BA111" t="str">
        <f t="shared" si="54"/>
        <v>LSA_GFX_HRY_E_BEGIN_TITO_SACD_NOM_LFM_0320_DISP0_BHRY_DEBS_BP0</v>
      </c>
      <c r="BB111" t="str">
        <f t="shared" si="54"/>
        <v>LSA_GFX_HRY_E_BEGIN_TITO_SACD_NOM_LFM_0320_DISP0_BHRY_DEBS_BP0</v>
      </c>
      <c r="BC111" t="str">
        <f t="shared" si="54"/>
        <v>LSA_GFX_HRY_E_BEGIN_TITO_SACD_NOM_LFM_0320_DISP0_BHRY_DEBS_BP0</v>
      </c>
      <c r="BD111" t="str">
        <f t="shared" si="54"/>
        <v>LSA_GFX_HRY_E_BEGIN_TITO_SACD_NOM_LFM_0320_DISP0_BHRY_DEBS_BP0</v>
      </c>
    </row>
    <row r="112" spans="1:56" x14ac:dyDescent="0.35">
      <c r="A112" s="11" t="s">
        <v>12</v>
      </c>
      <c r="B112" s="11" t="s">
        <v>56</v>
      </c>
      <c r="C112" s="11" t="str">
        <f>VLOOKUP(B112,templateLookup!A:B,2,0)</f>
        <v>MbistRasterTC</v>
      </c>
      <c r="D112" t="str">
        <f t="shared" si="40"/>
        <v>SSA_GFX_RASTER_E_BEGIN_TITO_SACD_NOM_LFM_0320_DISP5_RASTER_DEBS_BP5</v>
      </c>
      <c r="E112" t="s">
        <v>4</v>
      </c>
      <c r="F112" t="s">
        <v>251</v>
      </c>
      <c r="G112" t="s">
        <v>289</v>
      </c>
      <c r="H112" t="s">
        <v>207</v>
      </c>
      <c r="I112" t="s">
        <v>260</v>
      </c>
      <c r="J112" t="s">
        <v>395</v>
      </c>
      <c r="K112" t="s">
        <v>284</v>
      </c>
      <c r="L112" t="s">
        <v>285</v>
      </c>
      <c r="M112" t="str">
        <f t="shared" si="41"/>
        <v>0320</v>
      </c>
      <c r="N112" t="s">
        <v>427</v>
      </c>
      <c r="O112" t="s">
        <v>267</v>
      </c>
      <c r="P112" t="s">
        <v>397</v>
      </c>
      <c r="Q112" t="s">
        <v>291</v>
      </c>
      <c r="R112">
        <v>61</v>
      </c>
      <c r="S112">
        <v>40</v>
      </c>
      <c r="T112">
        <v>17</v>
      </c>
      <c r="U112">
        <v>1</v>
      </c>
      <c r="V112" s="12" t="b">
        <v>0</v>
      </c>
      <c r="W112" t="s">
        <v>298</v>
      </c>
      <c r="AS112">
        <f t="shared" si="39"/>
        <v>5</v>
      </c>
      <c r="AT112">
        <v>1</v>
      </c>
      <c r="AU112" t="str">
        <f t="shared" si="42"/>
        <v>LSA_GFX_HRY_E_BEGIN_TITO_SACD_NOM_LFM_0320_DISP0_BHRY_DEBS_BP0</v>
      </c>
      <c r="AV112" t="str">
        <f>$D113</f>
        <v>LSA_GFX_HRY_E_BEGIN_TITO_SACD_NOM_LFM_0320_DISP0_BHRY_DEBS_BP0</v>
      </c>
      <c r="AW112" t="str">
        <f>$D113</f>
        <v>LSA_GFX_HRY_E_BEGIN_TITO_SACD_NOM_LFM_0320_DISP0_BHRY_DEBS_BP0</v>
      </c>
      <c r="AX112" t="str">
        <f>$D113</f>
        <v>LSA_GFX_HRY_E_BEGIN_TITO_SACD_NOM_LFM_0320_DISP0_BHRY_DEBS_BP0</v>
      </c>
      <c r="AY112" t="str">
        <f>$D113</f>
        <v>LSA_GFX_HRY_E_BEGIN_TITO_SACD_NOM_LFM_0320_DISP0_BHRY_DEBS_BP0</v>
      </c>
    </row>
    <row r="113" spans="1:56" x14ac:dyDescent="0.35">
      <c r="A113" s="11" t="s">
        <v>12</v>
      </c>
      <c r="B113" s="11" t="s">
        <v>54</v>
      </c>
      <c r="C113" s="11" t="str">
        <f>VLOOKUP(B113,templateLookup!A:B,2,0)</f>
        <v>PrimeMbistVminSearchTestMethod</v>
      </c>
      <c r="D113" t="str">
        <f t="shared" si="40"/>
        <v>LSA_GFX_HRY_E_BEGIN_TITO_SACD_NOM_LFM_0320_DISP0_BHRY_DEBS_BP0</v>
      </c>
      <c r="E113" t="s">
        <v>5</v>
      </c>
      <c r="F113" t="s">
        <v>251</v>
      </c>
      <c r="G113" t="s">
        <v>271</v>
      </c>
      <c r="H113" t="s">
        <v>207</v>
      </c>
      <c r="I113" t="s">
        <v>260</v>
      </c>
      <c r="J113" t="s">
        <v>395</v>
      </c>
      <c r="K113" t="s">
        <v>284</v>
      </c>
      <c r="L113" t="s">
        <v>285</v>
      </c>
      <c r="M113" t="str">
        <f t="shared" si="41"/>
        <v>0320</v>
      </c>
      <c r="N113" t="s">
        <v>396</v>
      </c>
      <c r="O113" t="s">
        <v>267</v>
      </c>
      <c r="P113" t="s">
        <v>397</v>
      </c>
      <c r="Q113" t="s">
        <v>428</v>
      </c>
      <c r="R113">
        <v>21</v>
      </c>
      <c r="S113">
        <v>40</v>
      </c>
      <c r="T113">
        <v>18</v>
      </c>
      <c r="U113">
        <v>-1</v>
      </c>
      <c r="V113" t="b">
        <v>0</v>
      </c>
      <c r="W113" t="s">
        <v>298</v>
      </c>
      <c r="X113" t="s">
        <v>271</v>
      </c>
      <c r="Y113" t="s">
        <v>272</v>
      </c>
      <c r="Z113">
        <v>0.85</v>
      </c>
      <c r="AA113">
        <v>0.85</v>
      </c>
      <c r="AS113">
        <f t="shared" si="39"/>
        <v>10</v>
      </c>
      <c r="AT113" t="s">
        <v>273</v>
      </c>
      <c r="AU113" t="str">
        <f t="shared" si="42"/>
        <v>LSA_GFX_HRY_E_BEGIN_TITO_SACD_NOM_LFM_0320_DISP0_BISR_DEBS_BP0</v>
      </c>
      <c r="AV113" t="str">
        <f>$D116</f>
        <v>LSA_GFX_HRY_E_BEGIN_TITO_SACD_NOM_LFM_0320_DISP1_BHRY_DEBS_BP1</v>
      </c>
      <c r="AW113" t="str">
        <f t="shared" ref="AW113:BB113" si="55">$D114</f>
        <v>LSA_GFX_HRY_E_BEGIN_TITO_SACD_NOM_LFM_0320_DISP0_BISR_DEBS_BP0</v>
      </c>
      <c r="AX113" t="str">
        <f t="shared" si="55"/>
        <v>LSA_GFX_HRY_E_BEGIN_TITO_SACD_NOM_LFM_0320_DISP0_BISR_DEBS_BP0</v>
      </c>
      <c r="AY113" t="str">
        <f t="shared" si="55"/>
        <v>LSA_GFX_HRY_E_BEGIN_TITO_SACD_NOM_LFM_0320_DISP0_BISR_DEBS_BP0</v>
      </c>
      <c r="AZ113" t="str">
        <f t="shared" si="55"/>
        <v>LSA_GFX_HRY_E_BEGIN_TITO_SACD_NOM_LFM_0320_DISP0_BISR_DEBS_BP0</v>
      </c>
      <c r="BA113" t="str">
        <f t="shared" si="55"/>
        <v>LSA_GFX_HRY_E_BEGIN_TITO_SACD_NOM_LFM_0320_DISP0_BISR_DEBS_BP0</v>
      </c>
      <c r="BB113" t="str">
        <f t="shared" si="55"/>
        <v>LSA_GFX_HRY_E_BEGIN_TITO_SACD_NOM_LFM_0320_DISP0_BISR_DEBS_BP0</v>
      </c>
      <c r="BC113" t="str">
        <f>$D116</f>
        <v>LSA_GFX_HRY_E_BEGIN_TITO_SACD_NOM_LFM_0320_DISP1_BHRY_DEBS_BP1</v>
      </c>
      <c r="BD113" t="str">
        <f>$D114</f>
        <v>LSA_GFX_HRY_E_BEGIN_TITO_SACD_NOM_LFM_0320_DISP0_BISR_DEBS_BP0</v>
      </c>
    </row>
    <row r="114" spans="1:56" x14ac:dyDescent="0.35">
      <c r="A114" s="11" t="s">
        <v>12</v>
      </c>
      <c r="B114" s="11" t="s">
        <v>54</v>
      </c>
      <c r="C114" s="11" t="str">
        <f>VLOOKUP(B114,templateLookup!A:B,2,0)</f>
        <v>PrimeMbistVminSearchTestMethod</v>
      </c>
      <c r="D114" t="str">
        <f t="shared" si="40"/>
        <v>LSA_GFX_HRY_E_BEGIN_TITO_SACD_NOM_LFM_0320_DISP0_BISR_DEBS_BP0</v>
      </c>
      <c r="E114" t="s">
        <v>5</v>
      </c>
      <c r="F114" t="s">
        <v>251</v>
      </c>
      <c r="G114" t="s">
        <v>271</v>
      </c>
      <c r="H114" t="s">
        <v>207</v>
      </c>
      <c r="I114" t="s">
        <v>260</v>
      </c>
      <c r="J114" t="s">
        <v>395</v>
      </c>
      <c r="K114" t="s">
        <v>284</v>
      </c>
      <c r="L114" t="s">
        <v>285</v>
      </c>
      <c r="M114" t="str">
        <f t="shared" si="41"/>
        <v>0320</v>
      </c>
      <c r="N114" t="s">
        <v>399</v>
      </c>
      <c r="O114" t="s">
        <v>267</v>
      </c>
      <c r="P114" t="s">
        <v>397</v>
      </c>
      <c r="Q114" t="s">
        <v>429</v>
      </c>
      <c r="R114">
        <v>21</v>
      </c>
      <c r="S114">
        <v>40</v>
      </c>
      <c r="T114">
        <v>19</v>
      </c>
      <c r="U114">
        <v>-1</v>
      </c>
      <c r="V114" t="b">
        <v>0</v>
      </c>
      <c r="W114" t="s">
        <v>298</v>
      </c>
      <c r="X114" t="s">
        <v>401</v>
      </c>
      <c r="Y114" t="s">
        <v>272</v>
      </c>
      <c r="Z114">
        <v>0.85</v>
      </c>
      <c r="AA114">
        <v>0.85</v>
      </c>
      <c r="AS114">
        <f t="shared" si="39"/>
        <v>10</v>
      </c>
      <c r="AT114" t="s">
        <v>273</v>
      </c>
      <c r="AU114" t="str">
        <f t="shared" si="42"/>
        <v>LSA_GFX_RASTER_E_BEGIN_TITO_SACD_NOM_LFM_0320_DISP0_RASTER_DEBS_BP0</v>
      </c>
      <c r="AV114" t="str">
        <f t="shared" ref="AV114:BD114" si="56">$D116</f>
        <v>LSA_GFX_HRY_E_BEGIN_TITO_SACD_NOM_LFM_0320_DISP1_BHRY_DEBS_BP1</v>
      </c>
      <c r="AW114" t="str">
        <f t="shared" si="56"/>
        <v>LSA_GFX_HRY_E_BEGIN_TITO_SACD_NOM_LFM_0320_DISP1_BHRY_DEBS_BP1</v>
      </c>
      <c r="AX114" t="str">
        <f t="shared" si="56"/>
        <v>LSA_GFX_HRY_E_BEGIN_TITO_SACD_NOM_LFM_0320_DISP1_BHRY_DEBS_BP1</v>
      </c>
      <c r="AY114" t="str">
        <f t="shared" si="56"/>
        <v>LSA_GFX_HRY_E_BEGIN_TITO_SACD_NOM_LFM_0320_DISP1_BHRY_DEBS_BP1</v>
      </c>
      <c r="AZ114" t="str">
        <f t="shared" si="56"/>
        <v>LSA_GFX_HRY_E_BEGIN_TITO_SACD_NOM_LFM_0320_DISP1_BHRY_DEBS_BP1</v>
      </c>
      <c r="BA114" t="str">
        <f t="shared" si="56"/>
        <v>LSA_GFX_HRY_E_BEGIN_TITO_SACD_NOM_LFM_0320_DISP1_BHRY_DEBS_BP1</v>
      </c>
      <c r="BB114" t="str">
        <f t="shared" si="56"/>
        <v>LSA_GFX_HRY_E_BEGIN_TITO_SACD_NOM_LFM_0320_DISP1_BHRY_DEBS_BP1</v>
      </c>
      <c r="BC114" t="str">
        <f t="shared" si="56"/>
        <v>LSA_GFX_HRY_E_BEGIN_TITO_SACD_NOM_LFM_0320_DISP1_BHRY_DEBS_BP1</v>
      </c>
      <c r="BD114" t="str">
        <f t="shared" si="56"/>
        <v>LSA_GFX_HRY_E_BEGIN_TITO_SACD_NOM_LFM_0320_DISP1_BHRY_DEBS_BP1</v>
      </c>
    </row>
    <row r="115" spans="1:56" x14ac:dyDescent="0.35">
      <c r="A115" s="11" t="s">
        <v>12</v>
      </c>
      <c r="B115" s="11" t="s">
        <v>56</v>
      </c>
      <c r="C115" s="11" t="str">
        <f>VLOOKUP(B115,templateLookup!A:B,2,0)</f>
        <v>MbistRasterTC</v>
      </c>
      <c r="D115" t="str">
        <f t="shared" si="40"/>
        <v>LSA_GFX_RASTER_E_BEGIN_TITO_SACD_NOM_LFM_0320_DISP0_RASTER_DEBS_BP0</v>
      </c>
      <c r="E115" t="s">
        <v>5</v>
      </c>
      <c r="F115" t="s">
        <v>251</v>
      </c>
      <c r="G115" t="s">
        <v>289</v>
      </c>
      <c r="H115" t="s">
        <v>207</v>
      </c>
      <c r="I115" t="s">
        <v>260</v>
      </c>
      <c r="J115" t="s">
        <v>395</v>
      </c>
      <c r="K115" t="s">
        <v>284</v>
      </c>
      <c r="L115" t="s">
        <v>285</v>
      </c>
      <c r="M115" t="str">
        <f t="shared" si="41"/>
        <v>0320</v>
      </c>
      <c r="N115" t="s">
        <v>402</v>
      </c>
      <c r="O115" t="s">
        <v>267</v>
      </c>
      <c r="P115" t="s">
        <v>397</v>
      </c>
      <c r="Q115" t="s">
        <v>291</v>
      </c>
      <c r="R115">
        <v>21</v>
      </c>
      <c r="S115">
        <v>40</v>
      </c>
      <c r="T115">
        <v>20</v>
      </c>
      <c r="U115">
        <v>1</v>
      </c>
      <c r="V115" t="b">
        <v>0</v>
      </c>
      <c r="W115" t="s">
        <v>298</v>
      </c>
      <c r="AS115">
        <f t="shared" si="39"/>
        <v>5</v>
      </c>
      <c r="AT115">
        <v>1</v>
      </c>
      <c r="AU115" t="str">
        <f t="shared" si="42"/>
        <v>LSA_GFX_HRY_E_BEGIN_TITO_SACD_NOM_LFM_0320_DISP1_BHRY_DEBS_BP1</v>
      </c>
      <c r="AV115" t="str">
        <f>$D116</f>
        <v>LSA_GFX_HRY_E_BEGIN_TITO_SACD_NOM_LFM_0320_DISP1_BHRY_DEBS_BP1</v>
      </c>
      <c r="AW115" t="str">
        <f>$D116</f>
        <v>LSA_GFX_HRY_E_BEGIN_TITO_SACD_NOM_LFM_0320_DISP1_BHRY_DEBS_BP1</v>
      </c>
      <c r="AX115" t="str">
        <f>$D116</f>
        <v>LSA_GFX_HRY_E_BEGIN_TITO_SACD_NOM_LFM_0320_DISP1_BHRY_DEBS_BP1</v>
      </c>
      <c r="AY115" t="str">
        <f>$D116</f>
        <v>LSA_GFX_HRY_E_BEGIN_TITO_SACD_NOM_LFM_0320_DISP1_BHRY_DEBS_BP1</v>
      </c>
    </row>
    <row r="116" spans="1:56" x14ac:dyDescent="0.35">
      <c r="A116" s="11" t="s">
        <v>12</v>
      </c>
      <c r="B116" s="11" t="s">
        <v>54</v>
      </c>
      <c r="C116" s="11" t="str">
        <f>VLOOKUP(B116,templateLookup!A:B,2,0)</f>
        <v>PrimeMbistVminSearchTestMethod</v>
      </c>
      <c r="D116" t="str">
        <f t="shared" si="40"/>
        <v>LSA_GFX_HRY_E_BEGIN_TITO_SACD_NOM_LFM_0320_DISP1_BHRY_DEBS_BP1</v>
      </c>
      <c r="E116" t="s">
        <v>5</v>
      </c>
      <c r="F116" t="s">
        <v>251</v>
      </c>
      <c r="G116" t="s">
        <v>271</v>
      </c>
      <c r="H116" t="s">
        <v>207</v>
      </c>
      <c r="I116" t="s">
        <v>260</v>
      </c>
      <c r="J116" t="s">
        <v>395</v>
      </c>
      <c r="K116" t="s">
        <v>284</v>
      </c>
      <c r="L116" t="s">
        <v>285</v>
      </c>
      <c r="M116" t="str">
        <f t="shared" si="41"/>
        <v>0320</v>
      </c>
      <c r="N116" t="s">
        <v>403</v>
      </c>
      <c r="O116" t="s">
        <v>267</v>
      </c>
      <c r="P116" t="s">
        <v>397</v>
      </c>
      <c r="Q116" t="s">
        <v>430</v>
      </c>
      <c r="R116">
        <v>21</v>
      </c>
      <c r="S116">
        <v>40</v>
      </c>
      <c r="T116">
        <v>21</v>
      </c>
      <c r="U116">
        <v>-1</v>
      </c>
      <c r="V116" s="16" t="b">
        <v>0</v>
      </c>
      <c r="W116" t="s">
        <v>298</v>
      </c>
      <c r="X116" t="s">
        <v>271</v>
      </c>
      <c r="Y116" t="s">
        <v>272</v>
      </c>
      <c r="Z116">
        <v>0.85</v>
      </c>
      <c r="AA116">
        <v>0.85</v>
      </c>
      <c r="AS116">
        <f t="shared" si="39"/>
        <v>10</v>
      </c>
      <c r="AT116" t="s">
        <v>273</v>
      </c>
      <c r="AU116" t="str">
        <f t="shared" si="42"/>
        <v>LSA_GFX_HRY_E_BEGIN_TITO_SACD_NOM_LFM_0320_DISP1_BISR_DEBS_BP1</v>
      </c>
      <c r="AV116" t="str">
        <f>$D119</f>
        <v>LSA_GFX_HRY_E_BEGIN_TITO_SACD_NOM_LFM_0320_DISP2_BHRY_DEBS_BP2</v>
      </c>
      <c r="AW116" t="str">
        <f t="shared" ref="AW116:BB116" si="57">$D117</f>
        <v>LSA_GFX_HRY_E_BEGIN_TITO_SACD_NOM_LFM_0320_DISP1_BISR_DEBS_BP1</v>
      </c>
      <c r="AX116" t="str">
        <f t="shared" si="57"/>
        <v>LSA_GFX_HRY_E_BEGIN_TITO_SACD_NOM_LFM_0320_DISP1_BISR_DEBS_BP1</v>
      </c>
      <c r="AY116" t="str">
        <f t="shared" si="57"/>
        <v>LSA_GFX_HRY_E_BEGIN_TITO_SACD_NOM_LFM_0320_DISP1_BISR_DEBS_BP1</v>
      </c>
      <c r="AZ116" t="str">
        <f t="shared" si="57"/>
        <v>LSA_GFX_HRY_E_BEGIN_TITO_SACD_NOM_LFM_0320_DISP1_BISR_DEBS_BP1</v>
      </c>
      <c r="BA116" t="str">
        <f t="shared" si="57"/>
        <v>LSA_GFX_HRY_E_BEGIN_TITO_SACD_NOM_LFM_0320_DISP1_BISR_DEBS_BP1</v>
      </c>
      <c r="BB116" t="str">
        <f t="shared" si="57"/>
        <v>LSA_GFX_HRY_E_BEGIN_TITO_SACD_NOM_LFM_0320_DISP1_BISR_DEBS_BP1</v>
      </c>
      <c r="BC116" t="str">
        <f>$D119</f>
        <v>LSA_GFX_HRY_E_BEGIN_TITO_SACD_NOM_LFM_0320_DISP2_BHRY_DEBS_BP2</v>
      </c>
      <c r="BD116" t="str">
        <f>$D117</f>
        <v>LSA_GFX_HRY_E_BEGIN_TITO_SACD_NOM_LFM_0320_DISP1_BISR_DEBS_BP1</v>
      </c>
    </row>
    <row r="117" spans="1:56" x14ac:dyDescent="0.35">
      <c r="A117" s="11" t="s">
        <v>12</v>
      </c>
      <c r="B117" s="11" t="s">
        <v>54</v>
      </c>
      <c r="C117" s="11" t="str">
        <f>VLOOKUP(B117,templateLookup!A:B,2,0)</f>
        <v>PrimeMbistVminSearchTestMethod</v>
      </c>
      <c r="D117" t="str">
        <f t="shared" si="40"/>
        <v>LSA_GFX_HRY_E_BEGIN_TITO_SACD_NOM_LFM_0320_DISP1_BISR_DEBS_BP1</v>
      </c>
      <c r="E117" t="s">
        <v>5</v>
      </c>
      <c r="F117" t="s">
        <v>251</v>
      </c>
      <c r="G117" t="s">
        <v>271</v>
      </c>
      <c r="H117" t="s">
        <v>207</v>
      </c>
      <c r="I117" t="s">
        <v>260</v>
      </c>
      <c r="J117" t="s">
        <v>395</v>
      </c>
      <c r="K117" t="s">
        <v>284</v>
      </c>
      <c r="L117" t="s">
        <v>285</v>
      </c>
      <c r="M117" t="str">
        <f t="shared" si="41"/>
        <v>0320</v>
      </c>
      <c r="N117" t="s">
        <v>405</v>
      </c>
      <c r="O117" t="s">
        <v>267</v>
      </c>
      <c r="P117" t="s">
        <v>397</v>
      </c>
      <c r="Q117" t="s">
        <v>431</v>
      </c>
      <c r="R117">
        <v>21</v>
      </c>
      <c r="S117">
        <v>40</v>
      </c>
      <c r="T117">
        <v>22</v>
      </c>
      <c r="U117">
        <v>-1</v>
      </c>
      <c r="V117" t="b">
        <v>0</v>
      </c>
      <c r="W117" t="s">
        <v>298</v>
      </c>
      <c r="X117" t="s">
        <v>401</v>
      </c>
      <c r="Y117" t="s">
        <v>272</v>
      </c>
      <c r="Z117">
        <v>0.85</v>
      </c>
      <c r="AA117">
        <v>0.85</v>
      </c>
      <c r="AS117">
        <f t="shared" si="39"/>
        <v>10</v>
      </c>
      <c r="AT117" t="s">
        <v>273</v>
      </c>
      <c r="AU117" t="str">
        <f t="shared" si="42"/>
        <v>LSA_GFX_RASTER_E_BEGIN_TITO_SACD_NOM_LFM_0320_DISP1_RASTER_DEBS_BP1</v>
      </c>
      <c r="AV117" t="str">
        <f t="shared" ref="AV117:BD117" si="58">$D119</f>
        <v>LSA_GFX_HRY_E_BEGIN_TITO_SACD_NOM_LFM_0320_DISP2_BHRY_DEBS_BP2</v>
      </c>
      <c r="AW117" t="str">
        <f t="shared" si="58"/>
        <v>LSA_GFX_HRY_E_BEGIN_TITO_SACD_NOM_LFM_0320_DISP2_BHRY_DEBS_BP2</v>
      </c>
      <c r="AX117" t="str">
        <f t="shared" si="58"/>
        <v>LSA_GFX_HRY_E_BEGIN_TITO_SACD_NOM_LFM_0320_DISP2_BHRY_DEBS_BP2</v>
      </c>
      <c r="AY117" t="str">
        <f t="shared" si="58"/>
        <v>LSA_GFX_HRY_E_BEGIN_TITO_SACD_NOM_LFM_0320_DISP2_BHRY_DEBS_BP2</v>
      </c>
      <c r="AZ117" t="str">
        <f t="shared" si="58"/>
        <v>LSA_GFX_HRY_E_BEGIN_TITO_SACD_NOM_LFM_0320_DISP2_BHRY_DEBS_BP2</v>
      </c>
      <c r="BA117" t="str">
        <f t="shared" si="58"/>
        <v>LSA_GFX_HRY_E_BEGIN_TITO_SACD_NOM_LFM_0320_DISP2_BHRY_DEBS_BP2</v>
      </c>
      <c r="BB117" t="str">
        <f t="shared" si="58"/>
        <v>LSA_GFX_HRY_E_BEGIN_TITO_SACD_NOM_LFM_0320_DISP2_BHRY_DEBS_BP2</v>
      </c>
      <c r="BC117" t="str">
        <f t="shared" si="58"/>
        <v>LSA_GFX_HRY_E_BEGIN_TITO_SACD_NOM_LFM_0320_DISP2_BHRY_DEBS_BP2</v>
      </c>
      <c r="BD117" t="str">
        <f t="shared" si="58"/>
        <v>LSA_GFX_HRY_E_BEGIN_TITO_SACD_NOM_LFM_0320_DISP2_BHRY_DEBS_BP2</v>
      </c>
    </row>
    <row r="118" spans="1:56" x14ac:dyDescent="0.35">
      <c r="A118" s="11" t="s">
        <v>12</v>
      </c>
      <c r="B118" s="11" t="s">
        <v>56</v>
      </c>
      <c r="C118" s="11" t="str">
        <f>VLOOKUP(B118,templateLookup!A:B,2,0)</f>
        <v>MbistRasterTC</v>
      </c>
      <c r="D118" t="str">
        <f t="shared" si="40"/>
        <v>LSA_GFX_RASTER_E_BEGIN_TITO_SACD_NOM_LFM_0320_DISP1_RASTER_DEBS_BP1</v>
      </c>
      <c r="E118" t="s">
        <v>5</v>
      </c>
      <c r="F118" t="s">
        <v>251</v>
      </c>
      <c r="G118" t="s">
        <v>289</v>
      </c>
      <c r="H118" t="s">
        <v>207</v>
      </c>
      <c r="I118" t="s">
        <v>260</v>
      </c>
      <c r="J118" t="s">
        <v>395</v>
      </c>
      <c r="K118" t="s">
        <v>284</v>
      </c>
      <c r="L118" t="s">
        <v>285</v>
      </c>
      <c r="M118" t="str">
        <f t="shared" si="41"/>
        <v>0320</v>
      </c>
      <c r="N118" t="s">
        <v>407</v>
      </c>
      <c r="O118" t="s">
        <v>267</v>
      </c>
      <c r="P118" t="s">
        <v>397</v>
      </c>
      <c r="Q118" t="s">
        <v>291</v>
      </c>
      <c r="R118">
        <v>21</v>
      </c>
      <c r="S118">
        <v>40</v>
      </c>
      <c r="T118">
        <v>23</v>
      </c>
      <c r="U118">
        <v>1</v>
      </c>
      <c r="V118" t="b">
        <v>0</v>
      </c>
      <c r="W118" t="s">
        <v>298</v>
      </c>
      <c r="AS118">
        <f t="shared" si="39"/>
        <v>5</v>
      </c>
      <c r="AT118">
        <v>1</v>
      </c>
      <c r="AU118" t="str">
        <f t="shared" si="42"/>
        <v>LSA_GFX_HRY_E_BEGIN_TITO_SACD_NOM_LFM_0320_DISP2_BHRY_DEBS_BP2</v>
      </c>
      <c r="AV118" t="str">
        <f>$D119</f>
        <v>LSA_GFX_HRY_E_BEGIN_TITO_SACD_NOM_LFM_0320_DISP2_BHRY_DEBS_BP2</v>
      </c>
      <c r="AW118" t="str">
        <f>$D119</f>
        <v>LSA_GFX_HRY_E_BEGIN_TITO_SACD_NOM_LFM_0320_DISP2_BHRY_DEBS_BP2</v>
      </c>
      <c r="AX118" t="str">
        <f>$D119</f>
        <v>LSA_GFX_HRY_E_BEGIN_TITO_SACD_NOM_LFM_0320_DISP2_BHRY_DEBS_BP2</v>
      </c>
      <c r="AY118" t="str">
        <f>$D119</f>
        <v>LSA_GFX_HRY_E_BEGIN_TITO_SACD_NOM_LFM_0320_DISP2_BHRY_DEBS_BP2</v>
      </c>
    </row>
    <row r="119" spans="1:56" x14ac:dyDescent="0.35">
      <c r="A119" s="11" t="s">
        <v>12</v>
      </c>
      <c r="B119" s="11" t="s">
        <v>54</v>
      </c>
      <c r="C119" s="11" t="str">
        <f>VLOOKUP(B119,templateLookup!A:B,2,0)</f>
        <v>PrimeMbistVminSearchTestMethod</v>
      </c>
      <c r="D119" t="str">
        <f t="shared" si="40"/>
        <v>LSA_GFX_HRY_E_BEGIN_TITO_SACD_NOM_LFM_0320_DISP2_BHRY_DEBS_BP2</v>
      </c>
      <c r="E119" t="s">
        <v>5</v>
      </c>
      <c r="F119" t="s">
        <v>251</v>
      </c>
      <c r="G119" t="s">
        <v>271</v>
      </c>
      <c r="H119" t="s">
        <v>207</v>
      </c>
      <c r="I119" t="s">
        <v>260</v>
      </c>
      <c r="J119" t="s">
        <v>395</v>
      </c>
      <c r="K119" t="s">
        <v>284</v>
      </c>
      <c r="L119" t="s">
        <v>285</v>
      </c>
      <c r="M119" t="str">
        <f t="shared" si="41"/>
        <v>0320</v>
      </c>
      <c r="N119" t="s">
        <v>408</v>
      </c>
      <c r="O119" t="s">
        <v>267</v>
      </c>
      <c r="P119" t="s">
        <v>397</v>
      </c>
      <c r="Q119" t="s">
        <v>432</v>
      </c>
      <c r="R119">
        <v>21</v>
      </c>
      <c r="S119">
        <v>40</v>
      </c>
      <c r="T119">
        <v>24</v>
      </c>
      <c r="U119">
        <v>-1</v>
      </c>
      <c r="V119" t="b">
        <v>0</v>
      </c>
      <c r="W119" t="s">
        <v>298</v>
      </c>
      <c r="X119" t="s">
        <v>271</v>
      </c>
      <c r="Y119" t="s">
        <v>272</v>
      </c>
      <c r="Z119">
        <v>0.85</v>
      </c>
      <c r="AA119">
        <v>0.85</v>
      </c>
      <c r="AS119">
        <f t="shared" si="39"/>
        <v>10</v>
      </c>
      <c r="AT119" t="s">
        <v>273</v>
      </c>
      <c r="AU119" t="str">
        <f t="shared" si="42"/>
        <v>LSA_GFX_HRY_E_BEGIN_TITO_SACD_NOM_LFM_0320_DISP2_BISR_DEBS_BP2</v>
      </c>
      <c r="AV119" t="str">
        <f>$D122</f>
        <v>LSA_GFX_HRY_E_BEGIN_TITO_SACD_NOM_LFM_0320_DISP3_BHRY_DEBS_BP3</v>
      </c>
      <c r="AW119" t="str">
        <f t="shared" ref="AW119:BB119" si="59">$D120</f>
        <v>LSA_GFX_HRY_E_BEGIN_TITO_SACD_NOM_LFM_0320_DISP2_BISR_DEBS_BP2</v>
      </c>
      <c r="AX119" t="str">
        <f t="shared" si="59"/>
        <v>LSA_GFX_HRY_E_BEGIN_TITO_SACD_NOM_LFM_0320_DISP2_BISR_DEBS_BP2</v>
      </c>
      <c r="AY119" t="str">
        <f t="shared" si="59"/>
        <v>LSA_GFX_HRY_E_BEGIN_TITO_SACD_NOM_LFM_0320_DISP2_BISR_DEBS_BP2</v>
      </c>
      <c r="AZ119" t="str">
        <f t="shared" si="59"/>
        <v>LSA_GFX_HRY_E_BEGIN_TITO_SACD_NOM_LFM_0320_DISP2_BISR_DEBS_BP2</v>
      </c>
      <c r="BA119" t="str">
        <f t="shared" si="59"/>
        <v>LSA_GFX_HRY_E_BEGIN_TITO_SACD_NOM_LFM_0320_DISP2_BISR_DEBS_BP2</v>
      </c>
      <c r="BB119" t="str">
        <f t="shared" si="59"/>
        <v>LSA_GFX_HRY_E_BEGIN_TITO_SACD_NOM_LFM_0320_DISP2_BISR_DEBS_BP2</v>
      </c>
      <c r="BC119" t="str">
        <f>$D122</f>
        <v>LSA_GFX_HRY_E_BEGIN_TITO_SACD_NOM_LFM_0320_DISP3_BHRY_DEBS_BP3</v>
      </c>
      <c r="BD119" t="str">
        <f>$D120</f>
        <v>LSA_GFX_HRY_E_BEGIN_TITO_SACD_NOM_LFM_0320_DISP2_BISR_DEBS_BP2</v>
      </c>
    </row>
    <row r="120" spans="1:56" x14ac:dyDescent="0.35">
      <c r="A120" s="11" t="s">
        <v>12</v>
      </c>
      <c r="B120" s="11" t="s">
        <v>54</v>
      </c>
      <c r="C120" s="11" t="str">
        <f>VLOOKUP(B120,templateLookup!A:B,2,0)</f>
        <v>PrimeMbistVminSearchTestMethod</v>
      </c>
      <c r="D120" t="str">
        <f t="shared" si="40"/>
        <v>LSA_GFX_HRY_E_BEGIN_TITO_SACD_NOM_LFM_0320_DISP2_BISR_DEBS_BP2</v>
      </c>
      <c r="E120" t="s">
        <v>5</v>
      </c>
      <c r="F120" t="s">
        <v>251</v>
      </c>
      <c r="G120" t="s">
        <v>271</v>
      </c>
      <c r="H120" t="s">
        <v>207</v>
      </c>
      <c r="I120" t="s">
        <v>260</v>
      </c>
      <c r="J120" t="s">
        <v>395</v>
      </c>
      <c r="K120" t="s">
        <v>284</v>
      </c>
      <c r="L120" t="s">
        <v>285</v>
      </c>
      <c r="M120" t="str">
        <f t="shared" si="41"/>
        <v>0320</v>
      </c>
      <c r="N120" t="s">
        <v>410</v>
      </c>
      <c r="O120" t="s">
        <v>267</v>
      </c>
      <c r="P120" t="s">
        <v>397</v>
      </c>
      <c r="Q120" t="s">
        <v>433</v>
      </c>
      <c r="R120">
        <v>21</v>
      </c>
      <c r="S120">
        <v>40</v>
      </c>
      <c r="T120">
        <v>25</v>
      </c>
      <c r="U120">
        <v>-1</v>
      </c>
      <c r="V120" t="b">
        <v>0</v>
      </c>
      <c r="W120" t="s">
        <v>298</v>
      </c>
      <c r="X120" t="s">
        <v>401</v>
      </c>
      <c r="Y120" t="s">
        <v>272</v>
      </c>
      <c r="Z120">
        <v>0.85</v>
      </c>
      <c r="AA120">
        <v>0.85</v>
      </c>
      <c r="AS120">
        <f t="shared" si="39"/>
        <v>10</v>
      </c>
      <c r="AT120" t="s">
        <v>273</v>
      </c>
      <c r="AU120" t="str">
        <f t="shared" si="42"/>
        <v>LSA_GFX_RASTER_E_BEGIN_TITO_SACD_NOM_LFM_0320_DISP2_RASTER_DEBS_BP2</v>
      </c>
      <c r="AV120" t="str">
        <f t="shared" ref="AV120:BD120" si="60">$D122</f>
        <v>LSA_GFX_HRY_E_BEGIN_TITO_SACD_NOM_LFM_0320_DISP3_BHRY_DEBS_BP3</v>
      </c>
      <c r="AW120" t="str">
        <f t="shared" si="60"/>
        <v>LSA_GFX_HRY_E_BEGIN_TITO_SACD_NOM_LFM_0320_DISP3_BHRY_DEBS_BP3</v>
      </c>
      <c r="AX120" t="str">
        <f t="shared" si="60"/>
        <v>LSA_GFX_HRY_E_BEGIN_TITO_SACD_NOM_LFM_0320_DISP3_BHRY_DEBS_BP3</v>
      </c>
      <c r="AY120" t="str">
        <f t="shared" si="60"/>
        <v>LSA_GFX_HRY_E_BEGIN_TITO_SACD_NOM_LFM_0320_DISP3_BHRY_DEBS_BP3</v>
      </c>
      <c r="AZ120" t="str">
        <f t="shared" si="60"/>
        <v>LSA_GFX_HRY_E_BEGIN_TITO_SACD_NOM_LFM_0320_DISP3_BHRY_DEBS_BP3</v>
      </c>
      <c r="BA120" t="str">
        <f t="shared" si="60"/>
        <v>LSA_GFX_HRY_E_BEGIN_TITO_SACD_NOM_LFM_0320_DISP3_BHRY_DEBS_BP3</v>
      </c>
      <c r="BB120" t="str">
        <f t="shared" si="60"/>
        <v>LSA_GFX_HRY_E_BEGIN_TITO_SACD_NOM_LFM_0320_DISP3_BHRY_DEBS_BP3</v>
      </c>
      <c r="BC120" t="str">
        <f t="shared" si="60"/>
        <v>LSA_GFX_HRY_E_BEGIN_TITO_SACD_NOM_LFM_0320_DISP3_BHRY_DEBS_BP3</v>
      </c>
      <c r="BD120" t="str">
        <f t="shared" si="60"/>
        <v>LSA_GFX_HRY_E_BEGIN_TITO_SACD_NOM_LFM_0320_DISP3_BHRY_DEBS_BP3</v>
      </c>
    </row>
    <row r="121" spans="1:56" x14ac:dyDescent="0.35">
      <c r="A121" s="11" t="s">
        <v>12</v>
      </c>
      <c r="B121" s="11" t="s">
        <v>56</v>
      </c>
      <c r="C121" s="11" t="str">
        <f>VLOOKUP(B121,templateLookup!A:B,2,0)</f>
        <v>MbistRasterTC</v>
      </c>
      <c r="D121" t="str">
        <f t="shared" si="40"/>
        <v>LSA_GFX_RASTER_E_BEGIN_TITO_SACD_NOM_LFM_0320_DISP2_RASTER_DEBS_BP2</v>
      </c>
      <c r="E121" t="s">
        <v>5</v>
      </c>
      <c r="F121" t="s">
        <v>251</v>
      </c>
      <c r="G121" t="s">
        <v>289</v>
      </c>
      <c r="H121" t="s">
        <v>207</v>
      </c>
      <c r="I121" t="s">
        <v>260</v>
      </c>
      <c r="J121" t="s">
        <v>395</v>
      </c>
      <c r="K121" t="s">
        <v>284</v>
      </c>
      <c r="L121" t="s">
        <v>285</v>
      </c>
      <c r="M121" t="str">
        <f t="shared" si="41"/>
        <v>0320</v>
      </c>
      <c r="N121" t="s">
        <v>412</v>
      </c>
      <c r="O121" t="s">
        <v>267</v>
      </c>
      <c r="P121" t="s">
        <v>397</v>
      </c>
      <c r="Q121" t="s">
        <v>291</v>
      </c>
      <c r="R121">
        <v>21</v>
      </c>
      <c r="S121">
        <v>40</v>
      </c>
      <c r="T121">
        <v>26</v>
      </c>
      <c r="U121">
        <v>1</v>
      </c>
      <c r="V121" t="b">
        <v>0</v>
      </c>
      <c r="W121" t="s">
        <v>298</v>
      </c>
      <c r="AS121">
        <f t="shared" si="39"/>
        <v>5</v>
      </c>
      <c r="AT121">
        <v>1</v>
      </c>
      <c r="AU121" t="str">
        <f t="shared" si="42"/>
        <v>LSA_GFX_HRY_E_BEGIN_TITO_SACD_NOM_LFM_0320_DISP3_BHRY_DEBS_BP3</v>
      </c>
      <c r="AV121" t="str">
        <f>$D122</f>
        <v>LSA_GFX_HRY_E_BEGIN_TITO_SACD_NOM_LFM_0320_DISP3_BHRY_DEBS_BP3</v>
      </c>
      <c r="AW121" t="str">
        <f>$D122</f>
        <v>LSA_GFX_HRY_E_BEGIN_TITO_SACD_NOM_LFM_0320_DISP3_BHRY_DEBS_BP3</v>
      </c>
      <c r="AX121" t="str">
        <f>$D122</f>
        <v>LSA_GFX_HRY_E_BEGIN_TITO_SACD_NOM_LFM_0320_DISP3_BHRY_DEBS_BP3</v>
      </c>
      <c r="AY121" t="str">
        <f>$D122</f>
        <v>LSA_GFX_HRY_E_BEGIN_TITO_SACD_NOM_LFM_0320_DISP3_BHRY_DEBS_BP3</v>
      </c>
    </row>
    <row r="122" spans="1:56" x14ac:dyDescent="0.35">
      <c r="A122" s="11" t="s">
        <v>12</v>
      </c>
      <c r="B122" s="11" t="s">
        <v>54</v>
      </c>
      <c r="C122" s="11" t="str">
        <f>VLOOKUP(B122,templateLookup!A:B,2,0)</f>
        <v>PrimeMbistVminSearchTestMethod</v>
      </c>
      <c r="D122" t="str">
        <f t="shared" si="40"/>
        <v>LSA_GFX_HRY_E_BEGIN_TITO_SACD_NOM_LFM_0320_DISP3_BHRY_DEBS_BP3</v>
      </c>
      <c r="E122" t="s">
        <v>5</v>
      </c>
      <c r="F122" t="s">
        <v>251</v>
      </c>
      <c r="G122" t="s">
        <v>271</v>
      </c>
      <c r="H122" t="s">
        <v>207</v>
      </c>
      <c r="I122" t="s">
        <v>260</v>
      </c>
      <c r="J122" t="s">
        <v>395</v>
      </c>
      <c r="K122" t="s">
        <v>284</v>
      </c>
      <c r="L122" t="s">
        <v>285</v>
      </c>
      <c r="M122" t="str">
        <f t="shared" si="41"/>
        <v>0320</v>
      </c>
      <c r="N122" t="s">
        <v>413</v>
      </c>
      <c r="O122" t="s">
        <v>267</v>
      </c>
      <c r="P122" t="s">
        <v>397</v>
      </c>
      <c r="Q122" t="s">
        <v>434</v>
      </c>
      <c r="R122">
        <v>21</v>
      </c>
      <c r="S122">
        <v>40</v>
      </c>
      <c r="T122">
        <v>27</v>
      </c>
      <c r="U122">
        <v>-1</v>
      </c>
      <c r="V122" t="b">
        <v>0</v>
      </c>
      <c r="W122" t="s">
        <v>298</v>
      </c>
      <c r="X122" t="s">
        <v>271</v>
      </c>
      <c r="Y122" t="s">
        <v>272</v>
      </c>
      <c r="Z122">
        <v>0.85</v>
      </c>
      <c r="AA122">
        <v>0.85</v>
      </c>
      <c r="AS122">
        <f t="shared" si="39"/>
        <v>10</v>
      </c>
      <c r="AT122" t="s">
        <v>273</v>
      </c>
      <c r="AU122" t="str">
        <f t="shared" si="42"/>
        <v>LSA_GFX_HRY_E_BEGIN_TITO_SACD_NOM_LFM_0320_DISP3_BISR_DEBS_BP3</v>
      </c>
      <c r="AV122" t="str">
        <f>$D125</f>
        <v>LSA_GFX_HRY_E_BEGIN_TITO_SACD_NOM_LFM_0320_DISP4_BHRY_DEBS_BP4</v>
      </c>
      <c r="AW122" t="str">
        <f t="shared" ref="AW122:BB122" si="61">$D123</f>
        <v>LSA_GFX_HRY_E_BEGIN_TITO_SACD_NOM_LFM_0320_DISP3_BISR_DEBS_BP3</v>
      </c>
      <c r="AX122" t="str">
        <f t="shared" si="61"/>
        <v>LSA_GFX_HRY_E_BEGIN_TITO_SACD_NOM_LFM_0320_DISP3_BISR_DEBS_BP3</v>
      </c>
      <c r="AY122" t="str">
        <f t="shared" si="61"/>
        <v>LSA_GFX_HRY_E_BEGIN_TITO_SACD_NOM_LFM_0320_DISP3_BISR_DEBS_BP3</v>
      </c>
      <c r="AZ122" t="str">
        <f t="shared" si="61"/>
        <v>LSA_GFX_HRY_E_BEGIN_TITO_SACD_NOM_LFM_0320_DISP3_BISR_DEBS_BP3</v>
      </c>
      <c r="BA122" t="str">
        <f t="shared" si="61"/>
        <v>LSA_GFX_HRY_E_BEGIN_TITO_SACD_NOM_LFM_0320_DISP3_BISR_DEBS_BP3</v>
      </c>
      <c r="BB122" t="str">
        <f t="shared" si="61"/>
        <v>LSA_GFX_HRY_E_BEGIN_TITO_SACD_NOM_LFM_0320_DISP3_BISR_DEBS_BP3</v>
      </c>
      <c r="BC122" t="str">
        <f>$D125</f>
        <v>LSA_GFX_HRY_E_BEGIN_TITO_SACD_NOM_LFM_0320_DISP4_BHRY_DEBS_BP4</v>
      </c>
      <c r="BD122" t="str">
        <f>$D123</f>
        <v>LSA_GFX_HRY_E_BEGIN_TITO_SACD_NOM_LFM_0320_DISP3_BISR_DEBS_BP3</v>
      </c>
    </row>
    <row r="123" spans="1:56" x14ac:dyDescent="0.35">
      <c r="A123" s="11" t="s">
        <v>12</v>
      </c>
      <c r="B123" s="11" t="s">
        <v>54</v>
      </c>
      <c r="C123" s="11" t="str">
        <f>VLOOKUP(B123,templateLookup!A:B,2,0)</f>
        <v>PrimeMbistVminSearchTestMethod</v>
      </c>
      <c r="D123" t="str">
        <f t="shared" si="40"/>
        <v>LSA_GFX_HRY_E_BEGIN_TITO_SACD_NOM_LFM_0320_DISP3_BISR_DEBS_BP3</v>
      </c>
      <c r="E123" t="s">
        <v>5</v>
      </c>
      <c r="F123" t="s">
        <v>251</v>
      </c>
      <c r="G123" t="s">
        <v>271</v>
      </c>
      <c r="H123" t="s">
        <v>207</v>
      </c>
      <c r="I123" t="s">
        <v>260</v>
      </c>
      <c r="J123" t="s">
        <v>395</v>
      </c>
      <c r="K123" t="s">
        <v>284</v>
      </c>
      <c r="L123" t="s">
        <v>285</v>
      </c>
      <c r="M123" t="str">
        <f t="shared" si="41"/>
        <v>0320</v>
      </c>
      <c r="N123" t="s">
        <v>415</v>
      </c>
      <c r="O123" t="s">
        <v>267</v>
      </c>
      <c r="P123" t="s">
        <v>397</v>
      </c>
      <c r="Q123" t="s">
        <v>435</v>
      </c>
      <c r="R123">
        <v>21</v>
      </c>
      <c r="S123">
        <v>40</v>
      </c>
      <c r="T123">
        <v>28</v>
      </c>
      <c r="U123">
        <v>-1</v>
      </c>
      <c r="V123" t="b">
        <v>0</v>
      </c>
      <c r="W123" t="s">
        <v>298</v>
      </c>
      <c r="X123" t="s">
        <v>401</v>
      </c>
      <c r="Y123" t="s">
        <v>272</v>
      </c>
      <c r="Z123">
        <v>0.85</v>
      </c>
      <c r="AA123">
        <v>0.85</v>
      </c>
      <c r="AS123">
        <f t="shared" si="39"/>
        <v>10</v>
      </c>
      <c r="AT123" t="s">
        <v>273</v>
      </c>
      <c r="AU123" t="str">
        <f t="shared" si="42"/>
        <v>LSA_GFX_RASTER_E_BEGIN_TITO_SACD_NOM_LFM_0320_DISP3_RASTER_DEBS_BP3</v>
      </c>
      <c r="AV123" t="str">
        <f t="shared" ref="AV123:BD123" si="62">$D125</f>
        <v>LSA_GFX_HRY_E_BEGIN_TITO_SACD_NOM_LFM_0320_DISP4_BHRY_DEBS_BP4</v>
      </c>
      <c r="AW123" t="str">
        <f t="shared" si="62"/>
        <v>LSA_GFX_HRY_E_BEGIN_TITO_SACD_NOM_LFM_0320_DISP4_BHRY_DEBS_BP4</v>
      </c>
      <c r="AX123" t="str">
        <f t="shared" si="62"/>
        <v>LSA_GFX_HRY_E_BEGIN_TITO_SACD_NOM_LFM_0320_DISP4_BHRY_DEBS_BP4</v>
      </c>
      <c r="AY123" t="str">
        <f t="shared" si="62"/>
        <v>LSA_GFX_HRY_E_BEGIN_TITO_SACD_NOM_LFM_0320_DISP4_BHRY_DEBS_BP4</v>
      </c>
      <c r="AZ123" t="str">
        <f t="shared" si="62"/>
        <v>LSA_GFX_HRY_E_BEGIN_TITO_SACD_NOM_LFM_0320_DISP4_BHRY_DEBS_BP4</v>
      </c>
      <c r="BA123" t="str">
        <f t="shared" si="62"/>
        <v>LSA_GFX_HRY_E_BEGIN_TITO_SACD_NOM_LFM_0320_DISP4_BHRY_DEBS_BP4</v>
      </c>
      <c r="BB123" t="str">
        <f t="shared" si="62"/>
        <v>LSA_GFX_HRY_E_BEGIN_TITO_SACD_NOM_LFM_0320_DISP4_BHRY_DEBS_BP4</v>
      </c>
      <c r="BC123" t="str">
        <f t="shared" si="62"/>
        <v>LSA_GFX_HRY_E_BEGIN_TITO_SACD_NOM_LFM_0320_DISP4_BHRY_DEBS_BP4</v>
      </c>
      <c r="BD123" t="str">
        <f t="shared" si="62"/>
        <v>LSA_GFX_HRY_E_BEGIN_TITO_SACD_NOM_LFM_0320_DISP4_BHRY_DEBS_BP4</v>
      </c>
    </row>
    <row r="124" spans="1:56" x14ac:dyDescent="0.35">
      <c r="A124" s="11" t="s">
        <v>12</v>
      </c>
      <c r="B124" s="11" t="s">
        <v>56</v>
      </c>
      <c r="C124" s="11" t="str">
        <f>VLOOKUP(B124,templateLookup!A:B,2,0)</f>
        <v>MbistRasterTC</v>
      </c>
      <c r="D124" t="str">
        <f t="shared" si="40"/>
        <v>LSA_GFX_RASTER_E_BEGIN_TITO_SACD_NOM_LFM_0320_DISP3_RASTER_DEBS_BP3</v>
      </c>
      <c r="E124" t="s">
        <v>5</v>
      </c>
      <c r="F124" t="s">
        <v>251</v>
      </c>
      <c r="G124" t="s">
        <v>289</v>
      </c>
      <c r="H124" t="s">
        <v>207</v>
      </c>
      <c r="I124" t="s">
        <v>260</v>
      </c>
      <c r="J124" t="s">
        <v>395</v>
      </c>
      <c r="K124" t="s">
        <v>284</v>
      </c>
      <c r="L124" t="s">
        <v>285</v>
      </c>
      <c r="M124" t="str">
        <f t="shared" si="41"/>
        <v>0320</v>
      </c>
      <c r="N124" t="s">
        <v>417</v>
      </c>
      <c r="O124" t="s">
        <v>267</v>
      </c>
      <c r="P124" t="s">
        <v>397</v>
      </c>
      <c r="Q124" t="s">
        <v>291</v>
      </c>
      <c r="R124">
        <v>21</v>
      </c>
      <c r="S124">
        <v>40</v>
      </c>
      <c r="T124">
        <v>29</v>
      </c>
      <c r="U124">
        <v>1</v>
      </c>
      <c r="V124" t="b">
        <v>0</v>
      </c>
      <c r="W124" t="s">
        <v>298</v>
      </c>
      <c r="AS124">
        <f t="shared" si="39"/>
        <v>5</v>
      </c>
      <c r="AT124">
        <v>1</v>
      </c>
      <c r="AU124" t="str">
        <f t="shared" si="42"/>
        <v>LSA_GFX_HRY_E_BEGIN_TITO_SACD_NOM_LFM_0320_DISP4_BHRY_DEBS_BP4</v>
      </c>
      <c r="AV124" t="str">
        <f>$D125</f>
        <v>LSA_GFX_HRY_E_BEGIN_TITO_SACD_NOM_LFM_0320_DISP4_BHRY_DEBS_BP4</v>
      </c>
      <c r="AW124" t="str">
        <f>$D125</f>
        <v>LSA_GFX_HRY_E_BEGIN_TITO_SACD_NOM_LFM_0320_DISP4_BHRY_DEBS_BP4</v>
      </c>
      <c r="AX124" t="str">
        <f>$D125</f>
        <v>LSA_GFX_HRY_E_BEGIN_TITO_SACD_NOM_LFM_0320_DISP4_BHRY_DEBS_BP4</v>
      </c>
      <c r="AY124" t="str">
        <f>$D125</f>
        <v>LSA_GFX_HRY_E_BEGIN_TITO_SACD_NOM_LFM_0320_DISP4_BHRY_DEBS_BP4</v>
      </c>
    </row>
    <row r="125" spans="1:56" x14ac:dyDescent="0.35">
      <c r="A125" s="11" t="s">
        <v>12</v>
      </c>
      <c r="B125" s="11" t="s">
        <v>54</v>
      </c>
      <c r="C125" s="11" t="str">
        <f>VLOOKUP(B125,templateLookup!A:B,2,0)</f>
        <v>PrimeMbistVminSearchTestMethod</v>
      </c>
      <c r="D125" t="str">
        <f t="shared" si="40"/>
        <v>LSA_GFX_HRY_E_BEGIN_TITO_SACD_NOM_LFM_0320_DISP4_BHRY_DEBS_BP4</v>
      </c>
      <c r="E125" t="s">
        <v>5</v>
      </c>
      <c r="F125" t="s">
        <v>251</v>
      </c>
      <c r="G125" t="s">
        <v>271</v>
      </c>
      <c r="H125" t="s">
        <v>207</v>
      </c>
      <c r="I125" t="s">
        <v>260</v>
      </c>
      <c r="J125" t="s">
        <v>395</v>
      </c>
      <c r="K125" t="s">
        <v>284</v>
      </c>
      <c r="L125" t="s">
        <v>285</v>
      </c>
      <c r="M125" t="str">
        <f t="shared" si="41"/>
        <v>0320</v>
      </c>
      <c r="N125" t="s">
        <v>418</v>
      </c>
      <c r="O125" t="s">
        <v>267</v>
      </c>
      <c r="P125" t="s">
        <v>397</v>
      </c>
      <c r="Q125" t="s">
        <v>436</v>
      </c>
      <c r="R125">
        <v>21</v>
      </c>
      <c r="S125">
        <v>40</v>
      </c>
      <c r="T125">
        <v>30</v>
      </c>
      <c r="U125">
        <v>-1</v>
      </c>
      <c r="V125" t="b">
        <v>0</v>
      </c>
      <c r="W125" t="s">
        <v>298</v>
      </c>
      <c r="X125" t="s">
        <v>271</v>
      </c>
      <c r="Y125" t="s">
        <v>272</v>
      </c>
      <c r="Z125">
        <v>0.85</v>
      </c>
      <c r="AA125">
        <v>0.85</v>
      </c>
      <c r="AS125">
        <f t="shared" si="39"/>
        <v>10</v>
      </c>
      <c r="AT125" t="s">
        <v>273</v>
      </c>
      <c r="AU125" t="str">
        <f t="shared" si="42"/>
        <v>LSA_GFX_HRY_E_BEGIN_TITO_SACD_NOM_LFM_0320_DISP4_BISR_DEBS_BP4</v>
      </c>
      <c r="AV125" t="str">
        <f>$D128</f>
        <v>LSA_GFX_HRY_E_BEGIN_TITO_SACD_NOM_LFM_0320_DISP5_BHRY_DEBS_BP5</v>
      </c>
      <c r="AW125" t="str">
        <f t="shared" ref="AW125:BB125" si="63">$D126</f>
        <v>LSA_GFX_HRY_E_BEGIN_TITO_SACD_NOM_LFM_0320_DISP4_BISR_DEBS_BP4</v>
      </c>
      <c r="AX125" t="str">
        <f t="shared" si="63"/>
        <v>LSA_GFX_HRY_E_BEGIN_TITO_SACD_NOM_LFM_0320_DISP4_BISR_DEBS_BP4</v>
      </c>
      <c r="AY125" t="str">
        <f t="shared" si="63"/>
        <v>LSA_GFX_HRY_E_BEGIN_TITO_SACD_NOM_LFM_0320_DISP4_BISR_DEBS_BP4</v>
      </c>
      <c r="AZ125" t="str">
        <f t="shared" si="63"/>
        <v>LSA_GFX_HRY_E_BEGIN_TITO_SACD_NOM_LFM_0320_DISP4_BISR_DEBS_BP4</v>
      </c>
      <c r="BA125" t="str">
        <f t="shared" si="63"/>
        <v>LSA_GFX_HRY_E_BEGIN_TITO_SACD_NOM_LFM_0320_DISP4_BISR_DEBS_BP4</v>
      </c>
      <c r="BB125" t="str">
        <f t="shared" si="63"/>
        <v>LSA_GFX_HRY_E_BEGIN_TITO_SACD_NOM_LFM_0320_DISP4_BISR_DEBS_BP4</v>
      </c>
      <c r="BC125" t="str">
        <f>$D128</f>
        <v>LSA_GFX_HRY_E_BEGIN_TITO_SACD_NOM_LFM_0320_DISP5_BHRY_DEBS_BP5</v>
      </c>
      <c r="BD125" t="str">
        <f>$D126</f>
        <v>LSA_GFX_HRY_E_BEGIN_TITO_SACD_NOM_LFM_0320_DISP4_BISR_DEBS_BP4</v>
      </c>
    </row>
    <row r="126" spans="1:56" x14ac:dyDescent="0.35">
      <c r="A126" s="11" t="s">
        <v>12</v>
      </c>
      <c r="B126" s="11" t="s">
        <v>54</v>
      </c>
      <c r="C126" s="11" t="str">
        <f>VLOOKUP(B126,templateLookup!A:B,2,0)</f>
        <v>PrimeMbistVminSearchTestMethod</v>
      </c>
      <c r="D126" t="str">
        <f t="shared" si="40"/>
        <v>LSA_GFX_HRY_E_BEGIN_TITO_SACD_NOM_LFM_0320_DISP4_BISR_DEBS_BP4</v>
      </c>
      <c r="E126" t="s">
        <v>5</v>
      </c>
      <c r="F126" t="s">
        <v>251</v>
      </c>
      <c r="G126" t="s">
        <v>271</v>
      </c>
      <c r="H126" t="s">
        <v>207</v>
      </c>
      <c r="I126" t="s">
        <v>260</v>
      </c>
      <c r="J126" t="s">
        <v>395</v>
      </c>
      <c r="K126" t="s">
        <v>284</v>
      </c>
      <c r="L126" t="s">
        <v>285</v>
      </c>
      <c r="M126" t="str">
        <f t="shared" si="41"/>
        <v>0320</v>
      </c>
      <c r="N126" t="s">
        <v>420</v>
      </c>
      <c r="O126" t="s">
        <v>267</v>
      </c>
      <c r="P126" t="s">
        <v>397</v>
      </c>
      <c r="Q126" t="s">
        <v>437</v>
      </c>
      <c r="R126">
        <v>21</v>
      </c>
      <c r="S126">
        <v>40</v>
      </c>
      <c r="T126">
        <v>31</v>
      </c>
      <c r="U126">
        <v>-1</v>
      </c>
      <c r="V126" s="12" t="b">
        <v>0</v>
      </c>
      <c r="W126" t="s">
        <v>298</v>
      </c>
      <c r="X126" t="s">
        <v>401</v>
      </c>
      <c r="Y126" t="s">
        <v>272</v>
      </c>
      <c r="Z126">
        <v>0.85</v>
      </c>
      <c r="AA126">
        <v>0.85</v>
      </c>
      <c r="AS126">
        <f t="shared" si="39"/>
        <v>10</v>
      </c>
      <c r="AT126" t="s">
        <v>273</v>
      </c>
      <c r="AU126" t="str">
        <f t="shared" si="42"/>
        <v>LSA_GFX_RASTER_E_BEGIN_TITO_SACD_NOM_LFM_0320_DISP4_RASTER_DEBS_BP4</v>
      </c>
      <c r="AV126" t="str">
        <f t="shared" ref="AV126:BD126" si="64">$D128</f>
        <v>LSA_GFX_HRY_E_BEGIN_TITO_SACD_NOM_LFM_0320_DISP5_BHRY_DEBS_BP5</v>
      </c>
      <c r="AW126" t="str">
        <f t="shared" si="64"/>
        <v>LSA_GFX_HRY_E_BEGIN_TITO_SACD_NOM_LFM_0320_DISP5_BHRY_DEBS_BP5</v>
      </c>
      <c r="AX126" t="str">
        <f t="shared" si="64"/>
        <v>LSA_GFX_HRY_E_BEGIN_TITO_SACD_NOM_LFM_0320_DISP5_BHRY_DEBS_BP5</v>
      </c>
      <c r="AY126" t="str">
        <f t="shared" si="64"/>
        <v>LSA_GFX_HRY_E_BEGIN_TITO_SACD_NOM_LFM_0320_DISP5_BHRY_DEBS_BP5</v>
      </c>
      <c r="AZ126" t="str">
        <f t="shared" si="64"/>
        <v>LSA_GFX_HRY_E_BEGIN_TITO_SACD_NOM_LFM_0320_DISP5_BHRY_DEBS_BP5</v>
      </c>
      <c r="BA126" t="str">
        <f t="shared" si="64"/>
        <v>LSA_GFX_HRY_E_BEGIN_TITO_SACD_NOM_LFM_0320_DISP5_BHRY_DEBS_BP5</v>
      </c>
      <c r="BB126" t="str">
        <f t="shared" si="64"/>
        <v>LSA_GFX_HRY_E_BEGIN_TITO_SACD_NOM_LFM_0320_DISP5_BHRY_DEBS_BP5</v>
      </c>
      <c r="BC126" t="str">
        <f t="shared" si="64"/>
        <v>LSA_GFX_HRY_E_BEGIN_TITO_SACD_NOM_LFM_0320_DISP5_BHRY_DEBS_BP5</v>
      </c>
      <c r="BD126" t="str">
        <f t="shared" si="64"/>
        <v>LSA_GFX_HRY_E_BEGIN_TITO_SACD_NOM_LFM_0320_DISP5_BHRY_DEBS_BP5</v>
      </c>
    </row>
    <row r="127" spans="1:56" x14ac:dyDescent="0.35">
      <c r="A127" s="11" t="s">
        <v>12</v>
      </c>
      <c r="B127" s="11" t="s">
        <v>56</v>
      </c>
      <c r="C127" s="11" t="str">
        <f>VLOOKUP(B127,templateLookup!A:B,2,0)</f>
        <v>MbistRasterTC</v>
      </c>
      <c r="D127" t="str">
        <f t="shared" si="40"/>
        <v>LSA_GFX_RASTER_E_BEGIN_TITO_SACD_NOM_LFM_0320_DISP4_RASTER_DEBS_BP4</v>
      </c>
      <c r="E127" t="s">
        <v>5</v>
      </c>
      <c r="F127" t="s">
        <v>251</v>
      </c>
      <c r="G127" t="s">
        <v>289</v>
      </c>
      <c r="H127" t="s">
        <v>207</v>
      </c>
      <c r="I127" t="s">
        <v>260</v>
      </c>
      <c r="J127" t="s">
        <v>395</v>
      </c>
      <c r="K127" t="s">
        <v>284</v>
      </c>
      <c r="L127" t="s">
        <v>285</v>
      </c>
      <c r="M127" t="str">
        <f t="shared" si="41"/>
        <v>0320</v>
      </c>
      <c r="N127" t="s">
        <v>422</v>
      </c>
      <c r="O127" t="s">
        <v>267</v>
      </c>
      <c r="P127" t="s">
        <v>397</v>
      </c>
      <c r="Q127" t="s">
        <v>291</v>
      </c>
      <c r="R127">
        <v>21</v>
      </c>
      <c r="S127">
        <v>40</v>
      </c>
      <c r="T127">
        <v>32</v>
      </c>
      <c r="U127">
        <v>1</v>
      </c>
      <c r="V127" t="b">
        <v>0</v>
      </c>
      <c r="W127" t="s">
        <v>298</v>
      </c>
      <c r="AS127">
        <f t="shared" si="39"/>
        <v>5</v>
      </c>
      <c r="AT127">
        <v>1</v>
      </c>
      <c r="AU127" t="str">
        <f t="shared" si="42"/>
        <v>LSA_GFX_HRY_E_BEGIN_TITO_SACD_NOM_LFM_0320_DISP5_BHRY_DEBS_BP5</v>
      </c>
      <c r="AV127" t="str">
        <f>$D128</f>
        <v>LSA_GFX_HRY_E_BEGIN_TITO_SACD_NOM_LFM_0320_DISP5_BHRY_DEBS_BP5</v>
      </c>
      <c r="AW127" t="str">
        <f>$D128</f>
        <v>LSA_GFX_HRY_E_BEGIN_TITO_SACD_NOM_LFM_0320_DISP5_BHRY_DEBS_BP5</v>
      </c>
      <c r="AX127" t="str">
        <f>$D128</f>
        <v>LSA_GFX_HRY_E_BEGIN_TITO_SACD_NOM_LFM_0320_DISP5_BHRY_DEBS_BP5</v>
      </c>
      <c r="AY127" t="str">
        <f>$D128</f>
        <v>LSA_GFX_HRY_E_BEGIN_TITO_SACD_NOM_LFM_0320_DISP5_BHRY_DEBS_BP5</v>
      </c>
    </row>
    <row r="128" spans="1:56" x14ac:dyDescent="0.35">
      <c r="A128" s="11" t="s">
        <v>12</v>
      </c>
      <c r="B128" s="11" t="s">
        <v>54</v>
      </c>
      <c r="C128" s="11" t="str">
        <f>VLOOKUP(B128,templateLookup!A:B,2,0)</f>
        <v>PrimeMbistVminSearchTestMethod</v>
      </c>
      <c r="D128" t="str">
        <f t="shared" si="40"/>
        <v>LSA_GFX_HRY_E_BEGIN_TITO_SACD_NOM_LFM_0320_DISP5_BHRY_DEBS_BP5</v>
      </c>
      <c r="E128" t="s">
        <v>5</v>
      </c>
      <c r="F128" t="s">
        <v>251</v>
      </c>
      <c r="G128" t="s">
        <v>271</v>
      </c>
      <c r="H128" t="s">
        <v>207</v>
      </c>
      <c r="I128" t="s">
        <v>260</v>
      </c>
      <c r="J128" t="s">
        <v>395</v>
      </c>
      <c r="K128" t="s">
        <v>284</v>
      </c>
      <c r="L128" t="s">
        <v>285</v>
      </c>
      <c r="M128" t="str">
        <f t="shared" si="41"/>
        <v>0320</v>
      </c>
      <c r="N128" t="s">
        <v>423</v>
      </c>
      <c r="O128" t="s">
        <v>267</v>
      </c>
      <c r="P128" t="s">
        <v>397</v>
      </c>
      <c r="Q128" t="s">
        <v>438</v>
      </c>
      <c r="R128">
        <v>21</v>
      </c>
      <c r="S128">
        <v>40</v>
      </c>
      <c r="T128">
        <v>33</v>
      </c>
      <c r="U128">
        <v>-1</v>
      </c>
      <c r="V128" t="b">
        <v>0</v>
      </c>
      <c r="W128" t="s">
        <v>298</v>
      </c>
      <c r="X128" t="s">
        <v>271</v>
      </c>
      <c r="Y128" t="s">
        <v>272</v>
      </c>
      <c r="Z128">
        <v>0.85</v>
      </c>
      <c r="AA128">
        <v>0.85</v>
      </c>
      <c r="AS128">
        <f t="shared" si="39"/>
        <v>10</v>
      </c>
      <c r="AT128" t="s">
        <v>273</v>
      </c>
      <c r="AU128" t="str">
        <f t="shared" si="42"/>
        <v>LSA_GFX_HRY_E_BEGIN_TITO_SACD_NOM_LFM_0320_DISP5_BISR_DEBS_BP5</v>
      </c>
      <c r="AV128">
        <v>1</v>
      </c>
      <c r="AW128" t="str">
        <f t="shared" ref="AW128:BB128" si="65">$D129</f>
        <v>LSA_GFX_HRY_E_BEGIN_TITO_SACD_NOM_LFM_0320_DISP5_BISR_DEBS_BP5</v>
      </c>
      <c r="AX128" t="str">
        <f t="shared" si="65"/>
        <v>LSA_GFX_HRY_E_BEGIN_TITO_SACD_NOM_LFM_0320_DISP5_BISR_DEBS_BP5</v>
      </c>
      <c r="AY128" t="str">
        <f t="shared" si="65"/>
        <v>LSA_GFX_HRY_E_BEGIN_TITO_SACD_NOM_LFM_0320_DISP5_BISR_DEBS_BP5</v>
      </c>
      <c r="AZ128" t="str">
        <f t="shared" si="65"/>
        <v>LSA_GFX_HRY_E_BEGIN_TITO_SACD_NOM_LFM_0320_DISP5_BISR_DEBS_BP5</v>
      </c>
      <c r="BA128" t="str">
        <f t="shared" si="65"/>
        <v>LSA_GFX_HRY_E_BEGIN_TITO_SACD_NOM_LFM_0320_DISP5_BISR_DEBS_BP5</v>
      </c>
      <c r="BB128" t="str">
        <f t="shared" si="65"/>
        <v>LSA_GFX_HRY_E_BEGIN_TITO_SACD_NOM_LFM_0320_DISP5_BISR_DEBS_BP5</v>
      </c>
      <c r="BC128">
        <v>1</v>
      </c>
      <c r="BD128" t="str">
        <f>$D129</f>
        <v>LSA_GFX_HRY_E_BEGIN_TITO_SACD_NOM_LFM_0320_DISP5_BISR_DEBS_BP5</v>
      </c>
    </row>
    <row r="129" spans="1:56" x14ac:dyDescent="0.35">
      <c r="A129" s="11" t="s">
        <v>12</v>
      </c>
      <c r="B129" s="11" t="s">
        <v>54</v>
      </c>
      <c r="C129" s="11" t="str">
        <f>VLOOKUP(B129,templateLookup!A:B,2,0)</f>
        <v>PrimeMbistVminSearchTestMethod</v>
      </c>
      <c r="D129" t="str">
        <f t="shared" si="40"/>
        <v>LSA_GFX_HRY_E_BEGIN_TITO_SACD_NOM_LFM_0320_DISP5_BISR_DEBS_BP5</v>
      </c>
      <c r="E129" t="s">
        <v>5</v>
      </c>
      <c r="F129" t="s">
        <v>251</v>
      </c>
      <c r="G129" t="s">
        <v>271</v>
      </c>
      <c r="H129" t="s">
        <v>207</v>
      </c>
      <c r="I129" t="s">
        <v>260</v>
      </c>
      <c r="J129" t="s">
        <v>395</v>
      </c>
      <c r="K129" t="s">
        <v>284</v>
      </c>
      <c r="L129" t="s">
        <v>285</v>
      </c>
      <c r="M129" t="str">
        <f t="shared" si="41"/>
        <v>0320</v>
      </c>
      <c r="N129" t="s">
        <v>425</v>
      </c>
      <c r="O129" t="s">
        <v>267</v>
      </c>
      <c r="P129" t="s">
        <v>397</v>
      </c>
      <c r="Q129" t="s">
        <v>439</v>
      </c>
      <c r="R129">
        <v>21</v>
      </c>
      <c r="S129">
        <v>40</v>
      </c>
      <c r="T129">
        <v>34</v>
      </c>
      <c r="U129">
        <v>-1</v>
      </c>
      <c r="V129" t="b">
        <v>0</v>
      </c>
      <c r="W129" t="s">
        <v>298</v>
      </c>
      <c r="X129" t="s">
        <v>401</v>
      </c>
      <c r="Y129" t="s">
        <v>272</v>
      </c>
      <c r="Z129">
        <v>0.85</v>
      </c>
      <c r="AA129">
        <v>0.85</v>
      </c>
      <c r="AS129">
        <f t="shared" si="39"/>
        <v>10</v>
      </c>
      <c r="AT129" t="s">
        <v>273</v>
      </c>
      <c r="AU129" t="str">
        <f t="shared" si="42"/>
        <v>LSA_GFX_RASTER_E_BEGIN_TITO_SACD_NOM_LFM_0320_DISP5_RASTER_DEBS_BP5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</row>
    <row r="130" spans="1:56" x14ac:dyDescent="0.35">
      <c r="A130" s="11" t="s">
        <v>12</v>
      </c>
      <c r="B130" s="11" t="s">
        <v>56</v>
      </c>
      <c r="C130" s="11" t="str">
        <f>VLOOKUP(B130,templateLookup!A:B,2,0)</f>
        <v>MbistRasterTC</v>
      </c>
      <c r="D130" t="str">
        <f t="shared" si="40"/>
        <v>LSA_GFX_RASTER_E_BEGIN_TITO_SACD_NOM_LFM_0320_DISP5_RASTER_DEBS_BP5</v>
      </c>
      <c r="E130" t="s">
        <v>5</v>
      </c>
      <c r="F130" t="s">
        <v>251</v>
      </c>
      <c r="G130" t="s">
        <v>289</v>
      </c>
      <c r="H130" t="s">
        <v>207</v>
      </c>
      <c r="I130" t="s">
        <v>260</v>
      </c>
      <c r="J130" t="s">
        <v>395</v>
      </c>
      <c r="K130" t="s">
        <v>284</v>
      </c>
      <c r="L130" t="s">
        <v>285</v>
      </c>
      <c r="M130" t="str">
        <f t="shared" si="41"/>
        <v>0320</v>
      </c>
      <c r="N130" t="s">
        <v>427</v>
      </c>
      <c r="O130" t="s">
        <v>267</v>
      </c>
      <c r="P130" t="s">
        <v>397</v>
      </c>
      <c r="Q130" t="s">
        <v>291</v>
      </c>
      <c r="R130">
        <v>21</v>
      </c>
      <c r="S130">
        <v>40</v>
      </c>
      <c r="T130">
        <v>35</v>
      </c>
      <c r="U130">
        <v>1</v>
      </c>
      <c r="V130" t="b">
        <v>0</v>
      </c>
      <c r="W130" t="s">
        <v>298</v>
      </c>
      <c r="AS130">
        <f t="shared" si="39"/>
        <v>5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</row>
    <row r="131" spans="1:56" x14ac:dyDescent="0.35">
      <c r="A131" s="9" t="s">
        <v>12</v>
      </c>
      <c r="B131" s="9" t="s">
        <v>50</v>
      </c>
      <c r="C131" s="9" t="str">
        <f>VLOOKUP(B131,templateLookup!A:B,2,0)</f>
        <v>COMPOSITE</v>
      </c>
      <c r="D131" s="10" t="s">
        <v>440</v>
      </c>
      <c r="V131" s="12"/>
    </row>
    <row r="132" spans="1:56" x14ac:dyDescent="0.35">
      <c r="A132" s="45" t="s">
        <v>12</v>
      </c>
      <c r="B132" s="45" t="s">
        <v>49</v>
      </c>
      <c r="C132" s="45" t="str">
        <f>VLOOKUP(B132,templateLookup!A:B,2,0)</f>
        <v>COMPOSITE</v>
      </c>
      <c r="D132" s="10" t="s">
        <v>441</v>
      </c>
      <c r="F132" s="45" t="s">
        <v>30</v>
      </c>
      <c r="V132" s="12"/>
      <c r="AS132">
        <f>COUNTA(AU132:BD132)</f>
        <v>3</v>
      </c>
      <c r="AT132" t="s">
        <v>218</v>
      </c>
      <c r="AU132" t="str">
        <f>$D138</f>
        <v>DE_POST_REPAIR</v>
      </c>
      <c r="AV132" t="str">
        <f>$D138</f>
        <v>DE_POST_REPAIR</v>
      </c>
      <c r="AW132" t="str">
        <f>$D152</f>
        <v>IPU_BISR</v>
      </c>
    </row>
    <row r="133" spans="1:56" x14ac:dyDescent="0.35">
      <c r="A133" s="7" t="s">
        <v>12</v>
      </c>
      <c r="B133" s="7" t="s">
        <v>97</v>
      </c>
      <c r="C133" s="7" t="str">
        <f>VLOOKUP(B133,templateLookup!A:B,2,0)</f>
        <v>iCScreenTest</v>
      </c>
      <c r="D133" t="str">
        <f>E133&amp;"_"&amp;F133&amp;"_"&amp;G133&amp;"_"&amp;H133&amp;"_"&amp;A133&amp;"_"&amp;I133&amp;"_"&amp;J133&amp;"_"&amp;K133&amp;"_"&amp;L133&amp;"_"&amp;M133&amp;"_"&amp;N133</f>
        <v>ALL_COMMON_SCREEN_E_BEGIN_X_SACD_X_X_0320_JOIN_BISR_DE</v>
      </c>
      <c r="E133" t="s">
        <v>7</v>
      </c>
      <c r="F133" t="s">
        <v>30</v>
      </c>
      <c r="G133" t="s">
        <v>206</v>
      </c>
      <c r="H133" t="s">
        <v>207</v>
      </c>
      <c r="I133" t="s">
        <v>208</v>
      </c>
      <c r="J133" t="s">
        <v>395</v>
      </c>
      <c r="K133" t="s">
        <v>208</v>
      </c>
      <c r="L133" t="s">
        <v>208</v>
      </c>
      <c r="M133" t="s">
        <v>442</v>
      </c>
      <c r="N133" t="s">
        <v>443</v>
      </c>
      <c r="O133" t="s">
        <v>267</v>
      </c>
      <c r="P133" t="s">
        <v>397</v>
      </c>
      <c r="Q133" t="s">
        <v>444</v>
      </c>
      <c r="R133">
        <v>61</v>
      </c>
      <c r="S133">
        <v>40</v>
      </c>
      <c r="T133">
        <v>50</v>
      </c>
      <c r="U133">
        <v>-1</v>
      </c>
      <c r="V133" s="12" t="b">
        <v>0</v>
      </c>
      <c r="AD133" t="s">
        <v>445</v>
      </c>
      <c r="AE133" t="s">
        <v>446</v>
      </c>
      <c r="AS133">
        <f>COUNTA(AU133:BD133)</f>
        <v>3</v>
      </c>
      <c r="AT133">
        <v>1</v>
      </c>
      <c r="AU133" t="str">
        <f>$D134</f>
        <v>ALL_GFX_VFDM_E_BEGIN_X_SACD_X_X_0320_ALL</v>
      </c>
      <c r="AV133" t="str">
        <f>$D134</f>
        <v>ALL_GFX_VFDM_E_BEGIN_X_SACD_X_X_0320_ALL</v>
      </c>
      <c r="AW133" t="str">
        <f>$D134</f>
        <v>ALL_GFX_VFDM_E_BEGIN_X_SACD_X_X_0320_ALL</v>
      </c>
    </row>
    <row r="134" spans="1:56" x14ac:dyDescent="0.35">
      <c r="A134" s="7" t="s">
        <v>12</v>
      </c>
      <c r="B134" s="7" t="s">
        <v>87</v>
      </c>
      <c r="C134" s="7" t="str">
        <f>VLOOKUP(B134,templateLookup!A:B,2,0)</f>
        <v>iCVFDMTest</v>
      </c>
      <c r="D134" t="str">
        <f>E134&amp;"_"&amp;F134&amp;"_"&amp;G134&amp;"_"&amp;H134&amp;"_"&amp;A134&amp;"_"&amp;I134&amp;"_"&amp;J134&amp;"_"&amp;K134&amp;"_"&amp;L134&amp;"_"&amp;M134&amp;"_"&amp;N134</f>
        <v>ALL_GFX_VFDM_E_BEGIN_X_SACD_X_X_0320_ALL</v>
      </c>
      <c r="E134" t="s">
        <v>7</v>
      </c>
      <c r="F134" t="s">
        <v>251</v>
      </c>
      <c r="G134" t="s">
        <v>178</v>
      </c>
      <c r="H134" t="s">
        <v>207</v>
      </c>
      <c r="I134" t="s">
        <v>208</v>
      </c>
      <c r="J134" t="s">
        <v>395</v>
      </c>
      <c r="K134" t="s">
        <v>208</v>
      </c>
      <c r="L134" t="s">
        <v>208</v>
      </c>
      <c r="M134" t="s">
        <v>442</v>
      </c>
      <c r="N134" t="s">
        <v>7</v>
      </c>
      <c r="O134" t="s">
        <v>267</v>
      </c>
      <c r="P134" t="s">
        <v>397</v>
      </c>
      <c r="Q134" t="s">
        <v>444</v>
      </c>
      <c r="R134">
        <v>61</v>
      </c>
      <c r="S134">
        <v>40</v>
      </c>
      <c r="T134">
        <v>51</v>
      </c>
      <c r="U134">
        <v>-1</v>
      </c>
      <c r="V134" s="12" t="b">
        <v>0</v>
      </c>
      <c r="W134" t="s">
        <v>298</v>
      </c>
      <c r="AF134" t="s">
        <v>232</v>
      </c>
      <c r="AG134" t="s">
        <v>231</v>
      </c>
      <c r="AS134">
        <f>COUNTA(AU134:BD134)</f>
        <v>3</v>
      </c>
      <c r="AT134" t="s">
        <v>218</v>
      </c>
      <c r="AU134" t="str">
        <f>$D135</f>
        <v>ALL_GFX_UF_K_BEGIN_X_SACD_X_X_0320_DISP_VFDM_UF</v>
      </c>
      <c r="AV134" t="str">
        <f>$D135</f>
        <v>ALL_GFX_UF_K_BEGIN_X_SACD_X_X_0320_DISP_VFDM_UF</v>
      </c>
      <c r="AW134">
        <v>2</v>
      </c>
    </row>
    <row r="135" spans="1:56" x14ac:dyDescent="0.35">
      <c r="A135" s="7" t="s">
        <v>12</v>
      </c>
      <c r="B135" s="7" t="s">
        <v>85</v>
      </c>
      <c r="C135" s="7" t="str">
        <f>VLOOKUP(B135,templateLookup!A:B,2,0)</f>
        <v>iCUserFuncTest</v>
      </c>
      <c r="D135" t="str">
        <f>E135&amp;"_"&amp;F135&amp;"_"&amp;G135&amp;"_"&amp;H135&amp;"_"&amp;A135&amp;"_"&amp;I135&amp;"_"&amp;J135&amp;"_"&amp;K135&amp;"_"&amp;L135&amp;"_"&amp;M135&amp;"_"&amp;N135</f>
        <v>ALL_GFX_UF_K_BEGIN_X_SACD_X_X_0320_DISP_VFDM_UF</v>
      </c>
      <c r="E135" t="s">
        <v>7</v>
      </c>
      <c r="F135" t="s">
        <v>251</v>
      </c>
      <c r="G135" t="s">
        <v>353</v>
      </c>
      <c r="H135" t="s">
        <v>253</v>
      </c>
      <c r="I135" t="s">
        <v>208</v>
      </c>
      <c r="J135" t="s">
        <v>395</v>
      </c>
      <c r="K135" t="s">
        <v>208</v>
      </c>
      <c r="L135" t="s">
        <v>208</v>
      </c>
      <c r="M135" t="s">
        <v>442</v>
      </c>
      <c r="N135" t="s">
        <v>447</v>
      </c>
      <c r="O135" t="s">
        <v>267</v>
      </c>
      <c r="P135" t="s">
        <v>397</v>
      </c>
      <c r="Q135" t="s">
        <v>444</v>
      </c>
      <c r="R135">
        <v>90</v>
      </c>
      <c r="S135">
        <v>61</v>
      </c>
      <c r="T135">
        <v>52</v>
      </c>
      <c r="U135">
        <v>-1</v>
      </c>
      <c r="V135" s="12" t="b">
        <v>1</v>
      </c>
      <c r="W135" t="s">
        <v>298</v>
      </c>
      <c r="AJ135" t="s">
        <v>356</v>
      </c>
      <c r="AS135">
        <f>COUNTA(AU135:BD135)</f>
        <v>3</v>
      </c>
      <c r="AT135" t="s">
        <v>218</v>
      </c>
      <c r="AU135" t="str">
        <f>$D136</f>
        <v>ALL_GFX_PATMOD_E_BEGIN_TITO_X_MAX_LFM_X_DISP_REPAIR</v>
      </c>
      <c r="AV135" t="str">
        <f>$D136</f>
        <v>ALL_GFX_PATMOD_E_BEGIN_TITO_X_MAX_LFM_X_DISP_REPAIR</v>
      </c>
      <c r="AW135" t="str">
        <f>$D136</f>
        <v>ALL_GFX_PATMOD_E_BEGIN_TITO_X_MAX_LFM_X_DISP_REPAIR</v>
      </c>
    </row>
    <row r="136" spans="1:56" x14ac:dyDescent="0.35">
      <c r="A136" s="7" t="s">
        <v>12</v>
      </c>
      <c r="B136" s="7" t="s">
        <v>59</v>
      </c>
      <c r="C136" s="7" t="str">
        <f>VLOOKUP(B136,templateLookup!A:B,2,0)</f>
        <v>PrimePatConfigTestMethod</v>
      </c>
      <c r="D136" t="str">
        <f>E136&amp;"_"&amp;F136&amp;"_"&amp;G136&amp;"_"&amp;H136&amp;"_"&amp;A136&amp;"_"&amp;I136&amp;"_"&amp;J136&amp;"_"&amp;K136&amp;"_"&amp;L136&amp;"_"&amp;M136&amp;"_"&amp;N136</f>
        <v>ALL_GFX_PATMOD_E_BEGIN_TITO_X_MAX_LFM_X_DISP_REPAIR</v>
      </c>
      <c r="E136" t="s">
        <v>7</v>
      </c>
      <c r="F136" t="s">
        <v>251</v>
      </c>
      <c r="G136" t="s">
        <v>252</v>
      </c>
      <c r="H136" t="s">
        <v>207</v>
      </c>
      <c r="I136" t="s">
        <v>260</v>
      </c>
      <c r="J136" t="s">
        <v>208</v>
      </c>
      <c r="K136" t="s">
        <v>357</v>
      </c>
      <c r="L136" t="s">
        <v>285</v>
      </c>
      <c r="M136" t="s">
        <v>208</v>
      </c>
      <c r="N136" t="s">
        <v>448</v>
      </c>
      <c r="O136" t="s">
        <v>267</v>
      </c>
      <c r="P136" t="s">
        <v>397</v>
      </c>
      <c r="Q136" t="s">
        <v>444</v>
      </c>
      <c r="R136">
        <v>61</v>
      </c>
      <c r="S136">
        <v>40</v>
      </c>
      <c r="T136">
        <v>53</v>
      </c>
      <c r="U136">
        <v>-1</v>
      </c>
      <c r="V136" s="12" t="b">
        <v>0</v>
      </c>
      <c r="W136" t="s">
        <v>298</v>
      </c>
      <c r="AH136" t="s">
        <v>358</v>
      </c>
      <c r="AI136" s="13" t="s">
        <v>449</v>
      </c>
      <c r="AS136">
        <f>COUNTA(AU136:BD136)</f>
        <v>3</v>
      </c>
      <c r="AT136">
        <v>1</v>
      </c>
      <c r="AU136">
        <v>1</v>
      </c>
      <c r="AV136">
        <v>1</v>
      </c>
      <c r="AW136">
        <v>1</v>
      </c>
    </row>
    <row r="137" spans="1:56" x14ac:dyDescent="0.35">
      <c r="A137" s="45" t="s">
        <v>12</v>
      </c>
      <c r="B137" s="45" t="s">
        <v>50</v>
      </c>
      <c r="C137" s="45" t="str">
        <f>VLOOKUP(B137,templateLookup!A:B,2,0)</f>
        <v>COMPOSITE</v>
      </c>
      <c r="D137" s="10" t="s">
        <v>450</v>
      </c>
      <c r="V137" s="12"/>
    </row>
    <row r="138" spans="1:56" x14ac:dyDescent="0.35">
      <c r="A138" s="45" t="s">
        <v>12</v>
      </c>
      <c r="B138" s="45" t="s">
        <v>49</v>
      </c>
      <c r="C138" s="45" t="str">
        <f>VLOOKUP(B138,templateLookup!A:B,2,0)</f>
        <v>COMPOSITE</v>
      </c>
      <c r="D138" s="10" t="s">
        <v>451</v>
      </c>
      <c r="F138" s="45" t="s">
        <v>30</v>
      </c>
      <c r="V138" s="12"/>
      <c r="AS138">
        <f t="shared" ref="AS138:AS150" si="66">COUNTA(AU138:BD138)</f>
        <v>2</v>
      </c>
      <c r="AT138">
        <v>1</v>
      </c>
      <c r="AU138" t="str">
        <f>$D152</f>
        <v>IPU_BISR</v>
      </c>
      <c r="AV138" t="str">
        <f>$D152</f>
        <v>IPU_BISR</v>
      </c>
    </row>
    <row r="139" spans="1:56" x14ac:dyDescent="0.35">
      <c r="A139" s="7" t="s">
        <v>12</v>
      </c>
      <c r="B139" s="7" t="s">
        <v>55</v>
      </c>
      <c r="C139" s="7" t="str">
        <f>VLOOKUP(B139,templateLookup!A:B,2,0)</f>
        <v>PrimeMbistVminSearchTestMethod</v>
      </c>
      <c r="D139" t="str">
        <f t="shared" ref="D139:D150" si="67">E139&amp;"_"&amp;F139&amp;"_"&amp;G139&amp;"_"&amp;H139&amp;"_"&amp;A139&amp;"_"&amp;I139&amp;"_"&amp;J139&amp;"_"&amp;K139&amp;"_"&amp;L139&amp;"_"&amp;M139&amp;"_"&amp;N139</f>
        <v>SSA_GFX_HRY_E_BEGIN_TITO_SACD_MAX_LFM_0320_DISP0_POSTREP_DEBS_BP0</v>
      </c>
      <c r="E139" t="s">
        <v>4</v>
      </c>
      <c r="F139" t="s">
        <v>251</v>
      </c>
      <c r="G139" t="s">
        <v>271</v>
      </c>
      <c r="H139" t="s">
        <v>207</v>
      </c>
      <c r="I139" t="s">
        <v>260</v>
      </c>
      <c r="J139" t="s">
        <v>395</v>
      </c>
      <c r="K139" t="s">
        <v>357</v>
      </c>
      <c r="L139" t="s">
        <v>285</v>
      </c>
      <c r="M139" t="str">
        <f t="shared" ref="M139:M149" si="68">TEXT(320,"0000")</f>
        <v>0320</v>
      </c>
      <c r="N139" t="s">
        <v>452</v>
      </c>
      <c r="O139" t="s">
        <v>267</v>
      </c>
      <c r="P139" t="s">
        <v>397</v>
      </c>
      <c r="Q139" t="s">
        <v>398</v>
      </c>
      <c r="R139">
        <v>61</v>
      </c>
      <c r="S139">
        <v>40</v>
      </c>
      <c r="T139">
        <v>60</v>
      </c>
      <c r="U139">
        <v>-1</v>
      </c>
      <c r="V139" t="b">
        <v>0</v>
      </c>
      <c r="W139" t="s">
        <v>298</v>
      </c>
      <c r="X139" t="s">
        <v>363</v>
      </c>
      <c r="Y139" t="s">
        <v>272</v>
      </c>
      <c r="Z139">
        <v>0.85</v>
      </c>
      <c r="AA139">
        <v>0.85</v>
      </c>
      <c r="AS139">
        <f t="shared" si="66"/>
        <v>10</v>
      </c>
      <c r="AT139" t="s">
        <v>273</v>
      </c>
      <c r="AU139" t="str">
        <f t="shared" ref="AU139:BD149" si="69">$D140</f>
        <v>SSA_GFX_HRY_E_BEGIN_TITO_SACD_MAX_LFM_0320_DISP1_POSTREP_DEBS_BP1</v>
      </c>
      <c r="AV139" t="str">
        <f t="shared" si="69"/>
        <v>SSA_GFX_HRY_E_BEGIN_TITO_SACD_MAX_LFM_0320_DISP1_POSTREP_DEBS_BP1</v>
      </c>
      <c r="AW139" t="str">
        <f t="shared" si="69"/>
        <v>SSA_GFX_HRY_E_BEGIN_TITO_SACD_MAX_LFM_0320_DISP1_POSTREP_DEBS_BP1</v>
      </c>
      <c r="AX139" t="str">
        <f t="shared" si="69"/>
        <v>SSA_GFX_HRY_E_BEGIN_TITO_SACD_MAX_LFM_0320_DISP1_POSTREP_DEBS_BP1</v>
      </c>
      <c r="AY139" t="str">
        <f t="shared" si="69"/>
        <v>SSA_GFX_HRY_E_BEGIN_TITO_SACD_MAX_LFM_0320_DISP1_POSTREP_DEBS_BP1</v>
      </c>
      <c r="AZ139" t="str">
        <f t="shared" si="69"/>
        <v>SSA_GFX_HRY_E_BEGIN_TITO_SACD_MAX_LFM_0320_DISP1_POSTREP_DEBS_BP1</v>
      </c>
      <c r="BA139" t="str">
        <f t="shared" si="69"/>
        <v>SSA_GFX_HRY_E_BEGIN_TITO_SACD_MAX_LFM_0320_DISP1_POSTREP_DEBS_BP1</v>
      </c>
      <c r="BB139" t="str">
        <f t="shared" si="69"/>
        <v>SSA_GFX_HRY_E_BEGIN_TITO_SACD_MAX_LFM_0320_DISP1_POSTREP_DEBS_BP1</v>
      </c>
      <c r="BC139" t="str">
        <f t="shared" si="69"/>
        <v>SSA_GFX_HRY_E_BEGIN_TITO_SACD_MAX_LFM_0320_DISP1_POSTREP_DEBS_BP1</v>
      </c>
      <c r="BD139" t="str">
        <f t="shared" si="69"/>
        <v>SSA_GFX_HRY_E_BEGIN_TITO_SACD_MAX_LFM_0320_DISP1_POSTREP_DEBS_BP1</v>
      </c>
    </row>
    <row r="140" spans="1:56" x14ac:dyDescent="0.35">
      <c r="A140" s="7" t="s">
        <v>12</v>
      </c>
      <c r="B140" s="7" t="s">
        <v>55</v>
      </c>
      <c r="C140" s="7" t="str">
        <f>VLOOKUP(B140,templateLookup!A:B,2,0)</f>
        <v>PrimeMbistVminSearchTestMethod</v>
      </c>
      <c r="D140" t="str">
        <f t="shared" si="67"/>
        <v>SSA_GFX_HRY_E_BEGIN_TITO_SACD_MAX_LFM_0320_DISP1_POSTREP_DEBS_BP1</v>
      </c>
      <c r="E140" t="s">
        <v>4</v>
      </c>
      <c r="F140" t="s">
        <v>251</v>
      </c>
      <c r="G140" t="s">
        <v>271</v>
      </c>
      <c r="H140" t="s">
        <v>207</v>
      </c>
      <c r="I140" t="s">
        <v>260</v>
      </c>
      <c r="J140" t="s">
        <v>395</v>
      </c>
      <c r="K140" t="s">
        <v>357</v>
      </c>
      <c r="L140" t="s">
        <v>285</v>
      </c>
      <c r="M140" t="str">
        <f t="shared" si="68"/>
        <v>0320</v>
      </c>
      <c r="N140" t="s">
        <v>453</v>
      </c>
      <c r="O140" t="s">
        <v>267</v>
      </c>
      <c r="P140" t="s">
        <v>397</v>
      </c>
      <c r="Q140" t="s">
        <v>404</v>
      </c>
      <c r="R140">
        <v>61</v>
      </c>
      <c r="S140">
        <v>40</v>
      </c>
      <c r="T140">
        <v>61</v>
      </c>
      <c r="U140">
        <v>-1</v>
      </c>
      <c r="V140" t="b">
        <v>0</v>
      </c>
      <c r="W140" t="s">
        <v>298</v>
      </c>
      <c r="X140" t="s">
        <v>363</v>
      </c>
      <c r="Y140" t="s">
        <v>272</v>
      </c>
      <c r="Z140">
        <v>0.85</v>
      </c>
      <c r="AA140">
        <v>0.85</v>
      </c>
      <c r="AS140">
        <f t="shared" si="66"/>
        <v>10</v>
      </c>
      <c r="AT140" t="s">
        <v>273</v>
      </c>
      <c r="AU140" t="str">
        <f t="shared" si="69"/>
        <v>SSA_GFX_HRY_E_BEGIN_TITO_SACD_MAX_LFM_0320_DISP2_POSTREP_DEBS_BP2</v>
      </c>
      <c r="AV140" t="str">
        <f t="shared" si="69"/>
        <v>SSA_GFX_HRY_E_BEGIN_TITO_SACD_MAX_LFM_0320_DISP2_POSTREP_DEBS_BP2</v>
      </c>
      <c r="AW140" t="str">
        <f t="shared" si="69"/>
        <v>SSA_GFX_HRY_E_BEGIN_TITO_SACD_MAX_LFM_0320_DISP2_POSTREP_DEBS_BP2</v>
      </c>
      <c r="AX140" t="str">
        <f t="shared" si="69"/>
        <v>SSA_GFX_HRY_E_BEGIN_TITO_SACD_MAX_LFM_0320_DISP2_POSTREP_DEBS_BP2</v>
      </c>
      <c r="AY140" t="str">
        <f t="shared" si="69"/>
        <v>SSA_GFX_HRY_E_BEGIN_TITO_SACD_MAX_LFM_0320_DISP2_POSTREP_DEBS_BP2</v>
      </c>
      <c r="AZ140" t="str">
        <f t="shared" si="69"/>
        <v>SSA_GFX_HRY_E_BEGIN_TITO_SACD_MAX_LFM_0320_DISP2_POSTREP_DEBS_BP2</v>
      </c>
      <c r="BA140" t="str">
        <f t="shared" si="69"/>
        <v>SSA_GFX_HRY_E_BEGIN_TITO_SACD_MAX_LFM_0320_DISP2_POSTREP_DEBS_BP2</v>
      </c>
      <c r="BB140" t="str">
        <f t="shared" si="69"/>
        <v>SSA_GFX_HRY_E_BEGIN_TITO_SACD_MAX_LFM_0320_DISP2_POSTREP_DEBS_BP2</v>
      </c>
      <c r="BC140" t="str">
        <f t="shared" si="69"/>
        <v>SSA_GFX_HRY_E_BEGIN_TITO_SACD_MAX_LFM_0320_DISP2_POSTREP_DEBS_BP2</v>
      </c>
      <c r="BD140" t="str">
        <f t="shared" si="69"/>
        <v>SSA_GFX_HRY_E_BEGIN_TITO_SACD_MAX_LFM_0320_DISP2_POSTREP_DEBS_BP2</v>
      </c>
    </row>
    <row r="141" spans="1:56" x14ac:dyDescent="0.35">
      <c r="A141" s="7" t="s">
        <v>12</v>
      </c>
      <c r="B141" s="7" t="s">
        <v>55</v>
      </c>
      <c r="C141" s="7" t="str">
        <f>VLOOKUP(B141,templateLookup!A:B,2,0)</f>
        <v>PrimeMbistVminSearchTestMethod</v>
      </c>
      <c r="D141" t="str">
        <f t="shared" si="67"/>
        <v>SSA_GFX_HRY_E_BEGIN_TITO_SACD_MAX_LFM_0320_DISP2_POSTREP_DEBS_BP2</v>
      </c>
      <c r="E141" t="s">
        <v>4</v>
      </c>
      <c r="F141" t="s">
        <v>251</v>
      </c>
      <c r="G141" t="s">
        <v>271</v>
      </c>
      <c r="H141" t="s">
        <v>207</v>
      </c>
      <c r="I141" t="s">
        <v>260</v>
      </c>
      <c r="J141" t="s">
        <v>395</v>
      </c>
      <c r="K141" t="s">
        <v>357</v>
      </c>
      <c r="L141" t="s">
        <v>285</v>
      </c>
      <c r="M141" t="str">
        <f t="shared" si="68"/>
        <v>0320</v>
      </c>
      <c r="N141" t="s">
        <v>454</v>
      </c>
      <c r="O141" t="s">
        <v>267</v>
      </c>
      <c r="P141" t="s">
        <v>397</v>
      </c>
      <c r="Q141" t="s">
        <v>409</v>
      </c>
      <c r="R141">
        <v>61</v>
      </c>
      <c r="S141">
        <v>40</v>
      </c>
      <c r="T141">
        <v>62</v>
      </c>
      <c r="U141">
        <v>-1</v>
      </c>
      <c r="V141" t="b">
        <v>0</v>
      </c>
      <c r="W141" t="s">
        <v>298</v>
      </c>
      <c r="X141" t="s">
        <v>363</v>
      </c>
      <c r="Y141" t="s">
        <v>272</v>
      </c>
      <c r="Z141">
        <v>0.85</v>
      </c>
      <c r="AA141">
        <v>0.85</v>
      </c>
      <c r="AS141">
        <f t="shared" si="66"/>
        <v>10</v>
      </c>
      <c r="AT141" t="s">
        <v>273</v>
      </c>
      <c r="AU141" t="str">
        <f t="shared" si="69"/>
        <v>SSA_GFX_HRY_E_BEGIN_TITO_SACD_MAX_LFM_0320_DISP3_POSTREP_DEBS_BP3</v>
      </c>
      <c r="AV141" t="str">
        <f t="shared" si="69"/>
        <v>SSA_GFX_HRY_E_BEGIN_TITO_SACD_MAX_LFM_0320_DISP3_POSTREP_DEBS_BP3</v>
      </c>
      <c r="AW141" t="str">
        <f t="shared" si="69"/>
        <v>SSA_GFX_HRY_E_BEGIN_TITO_SACD_MAX_LFM_0320_DISP3_POSTREP_DEBS_BP3</v>
      </c>
      <c r="AX141" t="str">
        <f t="shared" si="69"/>
        <v>SSA_GFX_HRY_E_BEGIN_TITO_SACD_MAX_LFM_0320_DISP3_POSTREP_DEBS_BP3</v>
      </c>
      <c r="AY141" t="str">
        <f t="shared" si="69"/>
        <v>SSA_GFX_HRY_E_BEGIN_TITO_SACD_MAX_LFM_0320_DISP3_POSTREP_DEBS_BP3</v>
      </c>
      <c r="AZ141" t="str">
        <f t="shared" si="69"/>
        <v>SSA_GFX_HRY_E_BEGIN_TITO_SACD_MAX_LFM_0320_DISP3_POSTREP_DEBS_BP3</v>
      </c>
      <c r="BA141" t="str">
        <f t="shared" si="69"/>
        <v>SSA_GFX_HRY_E_BEGIN_TITO_SACD_MAX_LFM_0320_DISP3_POSTREP_DEBS_BP3</v>
      </c>
      <c r="BB141" t="str">
        <f t="shared" si="69"/>
        <v>SSA_GFX_HRY_E_BEGIN_TITO_SACD_MAX_LFM_0320_DISP3_POSTREP_DEBS_BP3</v>
      </c>
      <c r="BC141" t="str">
        <f t="shared" si="69"/>
        <v>SSA_GFX_HRY_E_BEGIN_TITO_SACD_MAX_LFM_0320_DISP3_POSTREP_DEBS_BP3</v>
      </c>
      <c r="BD141" t="str">
        <f t="shared" si="69"/>
        <v>SSA_GFX_HRY_E_BEGIN_TITO_SACD_MAX_LFM_0320_DISP3_POSTREP_DEBS_BP3</v>
      </c>
    </row>
    <row r="142" spans="1:56" x14ac:dyDescent="0.35">
      <c r="A142" s="7" t="s">
        <v>12</v>
      </c>
      <c r="B142" s="7" t="s">
        <v>55</v>
      </c>
      <c r="C142" s="7" t="str">
        <f>VLOOKUP(B142,templateLookup!A:B,2,0)</f>
        <v>PrimeMbistVminSearchTestMethod</v>
      </c>
      <c r="D142" t="str">
        <f t="shared" si="67"/>
        <v>SSA_GFX_HRY_E_BEGIN_TITO_SACD_MAX_LFM_0320_DISP3_POSTREP_DEBS_BP3</v>
      </c>
      <c r="E142" t="s">
        <v>4</v>
      </c>
      <c r="F142" t="s">
        <v>251</v>
      </c>
      <c r="G142" t="s">
        <v>271</v>
      </c>
      <c r="H142" t="s">
        <v>207</v>
      </c>
      <c r="I142" t="s">
        <v>260</v>
      </c>
      <c r="J142" t="s">
        <v>395</v>
      </c>
      <c r="K142" t="s">
        <v>357</v>
      </c>
      <c r="L142" t="s">
        <v>285</v>
      </c>
      <c r="M142" t="str">
        <f t="shared" si="68"/>
        <v>0320</v>
      </c>
      <c r="N142" t="s">
        <v>455</v>
      </c>
      <c r="O142" t="s">
        <v>267</v>
      </c>
      <c r="P142" t="s">
        <v>397</v>
      </c>
      <c r="Q142" t="s">
        <v>414</v>
      </c>
      <c r="R142">
        <v>61</v>
      </c>
      <c r="S142">
        <v>40</v>
      </c>
      <c r="T142">
        <v>63</v>
      </c>
      <c r="U142">
        <v>-1</v>
      </c>
      <c r="V142" t="b">
        <v>0</v>
      </c>
      <c r="W142" t="s">
        <v>298</v>
      </c>
      <c r="X142" t="s">
        <v>363</v>
      </c>
      <c r="Y142" t="s">
        <v>272</v>
      </c>
      <c r="Z142">
        <v>0.85</v>
      </c>
      <c r="AA142">
        <v>0.85</v>
      </c>
      <c r="AS142">
        <f t="shared" si="66"/>
        <v>10</v>
      </c>
      <c r="AT142" t="s">
        <v>273</v>
      </c>
      <c r="AU142" t="str">
        <f t="shared" si="69"/>
        <v>SSA_GFX_HRY_E_BEGIN_TITO_SACD_MAX_LFM_0320_DISP4_POSTREP_DEBS_BP4</v>
      </c>
      <c r="AV142" t="str">
        <f t="shared" si="69"/>
        <v>SSA_GFX_HRY_E_BEGIN_TITO_SACD_MAX_LFM_0320_DISP4_POSTREP_DEBS_BP4</v>
      </c>
      <c r="AW142" t="str">
        <f t="shared" si="69"/>
        <v>SSA_GFX_HRY_E_BEGIN_TITO_SACD_MAX_LFM_0320_DISP4_POSTREP_DEBS_BP4</v>
      </c>
      <c r="AX142" t="str">
        <f t="shared" si="69"/>
        <v>SSA_GFX_HRY_E_BEGIN_TITO_SACD_MAX_LFM_0320_DISP4_POSTREP_DEBS_BP4</v>
      </c>
      <c r="AY142" t="str">
        <f t="shared" si="69"/>
        <v>SSA_GFX_HRY_E_BEGIN_TITO_SACD_MAX_LFM_0320_DISP4_POSTREP_DEBS_BP4</v>
      </c>
      <c r="AZ142" t="str">
        <f t="shared" si="69"/>
        <v>SSA_GFX_HRY_E_BEGIN_TITO_SACD_MAX_LFM_0320_DISP4_POSTREP_DEBS_BP4</v>
      </c>
      <c r="BA142" t="str">
        <f t="shared" si="69"/>
        <v>SSA_GFX_HRY_E_BEGIN_TITO_SACD_MAX_LFM_0320_DISP4_POSTREP_DEBS_BP4</v>
      </c>
      <c r="BB142" t="str">
        <f t="shared" si="69"/>
        <v>SSA_GFX_HRY_E_BEGIN_TITO_SACD_MAX_LFM_0320_DISP4_POSTREP_DEBS_BP4</v>
      </c>
      <c r="BC142" t="str">
        <f t="shared" si="69"/>
        <v>SSA_GFX_HRY_E_BEGIN_TITO_SACD_MAX_LFM_0320_DISP4_POSTREP_DEBS_BP4</v>
      </c>
      <c r="BD142" t="str">
        <f t="shared" si="69"/>
        <v>SSA_GFX_HRY_E_BEGIN_TITO_SACD_MAX_LFM_0320_DISP4_POSTREP_DEBS_BP4</v>
      </c>
    </row>
    <row r="143" spans="1:56" x14ac:dyDescent="0.35">
      <c r="A143" s="7" t="s">
        <v>12</v>
      </c>
      <c r="B143" s="7" t="s">
        <v>55</v>
      </c>
      <c r="C143" s="7" t="str">
        <f>VLOOKUP(B143,templateLookup!A:B,2,0)</f>
        <v>PrimeMbistVminSearchTestMethod</v>
      </c>
      <c r="D143" t="str">
        <f t="shared" si="67"/>
        <v>SSA_GFX_HRY_E_BEGIN_TITO_SACD_MAX_LFM_0320_DISP4_POSTREP_DEBS_BP4</v>
      </c>
      <c r="E143" t="s">
        <v>4</v>
      </c>
      <c r="F143" t="s">
        <v>251</v>
      </c>
      <c r="G143" t="s">
        <v>271</v>
      </c>
      <c r="H143" t="s">
        <v>207</v>
      </c>
      <c r="I143" t="s">
        <v>260</v>
      </c>
      <c r="J143" t="s">
        <v>395</v>
      </c>
      <c r="K143" t="s">
        <v>357</v>
      </c>
      <c r="L143" t="s">
        <v>285</v>
      </c>
      <c r="M143" t="str">
        <f t="shared" si="68"/>
        <v>0320</v>
      </c>
      <c r="N143" t="s">
        <v>456</v>
      </c>
      <c r="O143" t="s">
        <v>267</v>
      </c>
      <c r="P143" t="s">
        <v>397</v>
      </c>
      <c r="Q143" t="s">
        <v>419</v>
      </c>
      <c r="R143">
        <v>61</v>
      </c>
      <c r="S143">
        <v>40</v>
      </c>
      <c r="T143">
        <v>64</v>
      </c>
      <c r="U143">
        <v>-1</v>
      </c>
      <c r="V143" s="12" t="b">
        <v>0</v>
      </c>
      <c r="W143" t="s">
        <v>298</v>
      </c>
      <c r="X143" t="s">
        <v>363</v>
      </c>
      <c r="Y143" t="s">
        <v>272</v>
      </c>
      <c r="Z143">
        <v>0.85</v>
      </c>
      <c r="AA143">
        <v>0.85</v>
      </c>
      <c r="AS143">
        <f t="shared" si="66"/>
        <v>10</v>
      </c>
      <c r="AT143" t="s">
        <v>273</v>
      </c>
      <c r="AU143" t="str">
        <f t="shared" si="69"/>
        <v>SSA_GFX_HRY_E_BEGIN_TITO_SACD_MAX_LFM_0320_DISP5_POSTREP_DEBS_BP5</v>
      </c>
      <c r="AV143" t="str">
        <f t="shared" si="69"/>
        <v>SSA_GFX_HRY_E_BEGIN_TITO_SACD_MAX_LFM_0320_DISP5_POSTREP_DEBS_BP5</v>
      </c>
      <c r="AW143" t="str">
        <f t="shared" si="69"/>
        <v>SSA_GFX_HRY_E_BEGIN_TITO_SACD_MAX_LFM_0320_DISP5_POSTREP_DEBS_BP5</v>
      </c>
      <c r="AX143" t="str">
        <f t="shared" si="69"/>
        <v>SSA_GFX_HRY_E_BEGIN_TITO_SACD_MAX_LFM_0320_DISP5_POSTREP_DEBS_BP5</v>
      </c>
      <c r="AY143" t="str">
        <f t="shared" si="69"/>
        <v>SSA_GFX_HRY_E_BEGIN_TITO_SACD_MAX_LFM_0320_DISP5_POSTREP_DEBS_BP5</v>
      </c>
      <c r="AZ143" t="str">
        <f t="shared" si="69"/>
        <v>SSA_GFX_HRY_E_BEGIN_TITO_SACD_MAX_LFM_0320_DISP5_POSTREP_DEBS_BP5</v>
      </c>
      <c r="BA143" t="str">
        <f t="shared" si="69"/>
        <v>SSA_GFX_HRY_E_BEGIN_TITO_SACD_MAX_LFM_0320_DISP5_POSTREP_DEBS_BP5</v>
      </c>
      <c r="BB143" t="str">
        <f t="shared" si="69"/>
        <v>SSA_GFX_HRY_E_BEGIN_TITO_SACD_MAX_LFM_0320_DISP5_POSTREP_DEBS_BP5</v>
      </c>
      <c r="BC143" t="str">
        <f t="shared" si="69"/>
        <v>SSA_GFX_HRY_E_BEGIN_TITO_SACD_MAX_LFM_0320_DISP5_POSTREP_DEBS_BP5</v>
      </c>
      <c r="BD143" t="str">
        <f t="shared" si="69"/>
        <v>SSA_GFX_HRY_E_BEGIN_TITO_SACD_MAX_LFM_0320_DISP5_POSTREP_DEBS_BP5</v>
      </c>
    </row>
    <row r="144" spans="1:56" x14ac:dyDescent="0.35">
      <c r="A144" s="7" t="s">
        <v>12</v>
      </c>
      <c r="B144" s="7" t="s">
        <v>55</v>
      </c>
      <c r="C144" s="7" t="str">
        <f>VLOOKUP(B144,templateLookup!A:B,2,0)</f>
        <v>PrimeMbistVminSearchTestMethod</v>
      </c>
      <c r="D144" t="str">
        <f t="shared" si="67"/>
        <v>SSA_GFX_HRY_E_BEGIN_TITO_SACD_MAX_LFM_0320_DISP5_POSTREP_DEBS_BP5</v>
      </c>
      <c r="E144" t="s">
        <v>4</v>
      </c>
      <c r="F144" t="s">
        <v>251</v>
      </c>
      <c r="G144" t="s">
        <v>271</v>
      </c>
      <c r="H144" t="s">
        <v>207</v>
      </c>
      <c r="I144" t="s">
        <v>260</v>
      </c>
      <c r="J144" t="s">
        <v>395</v>
      </c>
      <c r="K144" t="s">
        <v>357</v>
      </c>
      <c r="L144" t="s">
        <v>285</v>
      </c>
      <c r="M144" t="str">
        <f t="shared" si="68"/>
        <v>0320</v>
      </c>
      <c r="N144" t="s">
        <v>457</v>
      </c>
      <c r="O144" t="s">
        <v>267</v>
      </c>
      <c r="P144" t="s">
        <v>397</v>
      </c>
      <c r="Q144" t="s">
        <v>424</v>
      </c>
      <c r="R144">
        <v>61</v>
      </c>
      <c r="S144">
        <v>40</v>
      </c>
      <c r="T144">
        <v>65</v>
      </c>
      <c r="U144">
        <v>-1</v>
      </c>
      <c r="V144" t="b">
        <v>0</v>
      </c>
      <c r="W144" t="s">
        <v>298</v>
      </c>
      <c r="X144" t="s">
        <v>363</v>
      </c>
      <c r="Y144" t="s">
        <v>272</v>
      </c>
      <c r="Z144">
        <v>0.85</v>
      </c>
      <c r="AA144">
        <v>0.85</v>
      </c>
      <c r="AS144">
        <f t="shared" si="66"/>
        <v>10</v>
      </c>
      <c r="AT144" t="s">
        <v>273</v>
      </c>
      <c r="AU144" t="str">
        <f t="shared" si="69"/>
        <v>LSA_GFX_HRY_E_BEGIN_TITO_SACD_MAX_LFM_0320_DISP0_POSTREP_DEBS_BP0</v>
      </c>
      <c r="AV144" t="str">
        <f t="shared" si="69"/>
        <v>LSA_GFX_HRY_E_BEGIN_TITO_SACD_MAX_LFM_0320_DISP0_POSTREP_DEBS_BP0</v>
      </c>
      <c r="AW144" t="str">
        <f t="shared" si="69"/>
        <v>LSA_GFX_HRY_E_BEGIN_TITO_SACD_MAX_LFM_0320_DISP0_POSTREP_DEBS_BP0</v>
      </c>
      <c r="AX144" t="str">
        <f t="shared" si="69"/>
        <v>LSA_GFX_HRY_E_BEGIN_TITO_SACD_MAX_LFM_0320_DISP0_POSTREP_DEBS_BP0</v>
      </c>
      <c r="AY144" t="str">
        <f t="shared" si="69"/>
        <v>LSA_GFX_HRY_E_BEGIN_TITO_SACD_MAX_LFM_0320_DISP0_POSTREP_DEBS_BP0</v>
      </c>
      <c r="AZ144" t="str">
        <f t="shared" si="69"/>
        <v>LSA_GFX_HRY_E_BEGIN_TITO_SACD_MAX_LFM_0320_DISP0_POSTREP_DEBS_BP0</v>
      </c>
      <c r="BA144" t="str">
        <f t="shared" si="69"/>
        <v>LSA_GFX_HRY_E_BEGIN_TITO_SACD_MAX_LFM_0320_DISP0_POSTREP_DEBS_BP0</v>
      </c>
      <c r="BB144" t="str">
        <f t="shared" si="69"/>
        <v>LSA_GFX_HRY_E_BEGIN_TITO_SACD_MAX_LFM_0320_DISP0_POSTREP_DEBS_BP0</v>
      </c>
      <c r="BC144" t="str">
        <f t="shared" si="69"/>
        <v>LSA_GFX_HRY_E_BEGIN_TITO_SACD_MAX_LFM_0320_DISP0_POSTREP_DEBS_BP0</v>
      </c>
      <c r="BD144" t="str">
        <f t="shared" si="69"/>
        <v>LSA_GFX_HRY_E_BEGIN_TITO_SACD_MAX_LFM_0320_DISP0_POSTREP_DEBS_BP0</v>
      </c>
    </row>
    <row r="145" spans="1:56" x14ac:dyDescent="0.35">
      <c r="A145" s="7" t="s">
        <v>12</v>
      </c>
      <c r="B145" s="7" t="s">
        <v>55</v>
      </c>
      <c r="C145" s="7" t="str">
        <f>VLOOKUP(B145,templateLookup!A:B,2,0)</f>
        <v>PrimeMbistVminSearchTestMethod</v>
      </c>
      <c r="D145" t="str">
        <f t="shared" si="67"/>
        <v>LSA_GFX_HRY_E_BEGIN_TITO_SACD_MAX_LFM_0320_DISP0_POSTREP_DEBS_BP0</v>
      </c>
      <c r="E145" t="s">
        <v>5</v>
      </c>
      <c r="F145" t="s">
        <v>251</v>
      </c>
      <c r="G145" t="s">
        <v>271</v>
      </c>
      <c r="H145" t="s">
        <v>207</v>
      </c>
      <c r="I145" t="s">
        <v>260</v>
      </c>
      <c r="J145" t="s">
        <v>395</v>
      </c>
      <c r="K145" t="s">
        <v>357</v>
      </c>
      <c r="L145" t="s">
        <v>285</v>
      </c>
      <c r="M145" t="str">
        <f t="shared" si="68"/>
        <v>0320</v>
      </c>
      <c r="N145" t="s">
        <v>452</v>
      </c>
      <c r="O145" t="s">
        <v>267</v>
      </c>
      <c r="P145" t="s">
        <v>397</v>
      </c>
      <c r="Q145" t="s">
        <v>428</v>
      </c>
      <c r="R145">
        <v>21</v>
      </c>
      <c r="S145">
        <v>40</v>
      </c>
      <c r="T145">
        <v>66</v>
      </c>
      <c r="U145">
        <v>-1</v>
      </c>
      <c r="V145" t="b">
        <v>0</v>
      </c>
      <c r="W145" t="s">
        <v>298</v>
      </c>
      <c r="X145" t="s">
        <v>363</v>
      </c>
      <c r="Y145" t="s">
        <v>272</v>
      </c>
      <c r="Z145">
        <v>0.85</v>
      </c>
      <c r="AA145">
        <v>0.85</v>
      </c>
      <c r="AS145">
        <f t="shared" si="66"/>
        <v>10</v>
      </c>
      <c r="AT145" t="s">
        <v>273</v>
      </c>
      <c r="AU145" t="str">
        <f t="shared" si="69"/>
        <v>LSA_GFX_HRY_E_BEGIN_TITO_SACD_MAX_LFM_0320_DISP1_POSTREP_DEBS_BP1</v>
      </c>
      <c r="AV145" t="str">
        <f t="shared" si="69"/>
        <v>LSA_GFX_HRY_E_BEGIN_TITO_SACD_MAX_LFM_0320_DISP1_POSTREP_DEBS_BP1</v>
      </c>
      <c r="AW145" t="str">
        <f t="shared" si="69"/>
        <v>LSA_GFX_HRY_E_BEGIN_TITO_SACD_MAX_LFM_0320_DISP1_POSTREP_DEBS_BP1</v>
      </c>
      <c r="AX145" t="str">
        <f t="shared" si="69"/>
        <v>LSA_GFX_HRY_E_BEGIN_TITO_SACD_MAX_LFM_0320_DISP1_POSTREP_DEBS_BP1</v>
      </c>
      <c r="AY145" t="str">
        <f t="shared" si="69"/>
        <v>LSA_GFX_HRY_E_BEGIN_TITO_SACD_MAX_LFM_0320_DISP1_POSTREP_DEBS_BP1</v>
      </c>
      <c r="AZ145" t="str">
        <f t="shared" si="69"/>
        <v>LSA_GFX_HRY_E_BEGIN_TITO_SACD_MAX_LFM_0320_DISP1_POSTREP_DEBS_BP1</v>
      </c>
      <c r="BA145" t="str">
        <f t="shared" si="69"/>
        <v>LSA_GFX_HRY_E_BEGIN_TITO_SACD_MAX_LFM_0320_DISP1_POSTREP_DEBS_BP1</v>
      </c>
      <c r="BB145" t="str">
        <f t="shared" si="69"/>
        <v>LSA_GFX_HRY_E_BEGIN_TITO_SACD_MAX_LFM_0320_DISP1_POSTREP_DEBS_BP1</v>
      </c>
      <c r="BC145" t="str">
        <f t="shared" si="69"/>
        <v>LSA_GFX_HRY_E_BEGIN_TITO_SACD_MAX_LFM_0320_DISP1_POSTREP_DEBS_BP1</v>
      </c>
      <c r="BD145" t="str">
        <f t="shared" si="69"/>
        <v>LSA_GFX_HRY_E_BEGIN_TITO_SACD_MAX_LFM_0320_DISP1_POSTREP_DEBS_BP1</v>
      </c>
    </row>
    <row r="146" spans="1:56" x14ac:dyDescent="0.35">
      <c r="A146" s="7" t="s">
        <v>12</v>
      </c>
      <c r="B146" s="7" t="s">
        <v>55</v>
      </c>
      <c r="C146" s="7" t="str">
        <f>VLOOKUP(B146,templateLookup!A:B,2,0)</f>
        <v>PrimeMbistVminSearchTestMethod</v>
      </c>
      <c r="D146" t="str">
        <f t="shared" si="67"/>
        <v>LSA_GFX_HRY_E_BEGIN_TITO_SACD_MAX_LFM_0320_DISP1_POSTREP_DEBS_BP1</v>
      </c>
      <c r="E146" t="s">
        <v>5</v>
      </c>
      <c r="F146" t="s">
        <v>251</v>
      </c>
      <c r="G146" t="s">
        <v>271</v>
      </c>
      <c r="H146" t="s">
        <v>207</v>
      </c>
      <c r="I146" t="s">
        <v>260</v>
      </c>
      <c r="J146" t="s">
        <v>395</v>
      </c>
      <c r="K146" t="s">
        <v>357</v>
      </c>
      <c r="L146" t="s">
        <v>285</v>
      </c>
      <c r="M146" t="str">
        <f t="shared" si="68"/>
        <v>0320</v>
      </c>
      <c r="N146" t="s">
        <v>453</v>
      </c>
      <c r="O146" t="s">
        <v>267</v>
      </c>
      <c r="P146" t="s">
        <v>397</v>
      </c>
      <c r="Q146" t="s">
        <v>430</v>
      </c>
      <c r="R146">
        <v>21</v>
      </c>
      <c r="S146">
        <v>40</v>
      </c>
      <c r="T146">
        <v>67</v>
      </c>
      <c r="U146">
        <v>-1</v>
      </c>
      <c r="V146" t="b">
        <v>0</v>
      </c>
      <c r="W146" t="s">
        <v>298</v>
      </c>
      <c r="X146" t="s">
        <v>363</v>
      </c>
      <c r="Y146" t="s">
        <v>272</v>
      </c>
      <c r="Z146">
        <v>0.85</v>
      </c>
      <c r="AA146">
        <v>0.85</v>
      </c>
      <c r="AS146">
        <f t="shared" si="66"/>
        <v>10</v>
      </c>
      <c r="AT146" t="s">
        <v>273</v>
      </c>
      <c r="AU146" t="str">
        <f t="shared" si="69"/>
        <v>LSA_GFX_HRY_E_BEGIN_TITO_SACD_MAX_LFM_0320_DISP2_POSTREP_DEBS_BP2</v>
      </c>
      <c r="AV146" t="str">
        <f t="shared" si="69"/>
        <v>LSA_GFX_HRY_E_BEGIN_TITO_SACD_MAX_LFM_0320_DISP2_POSTREP_DEBS_BP2</v>
      </c>
      <c r="AW146" t="str">
        <f t="shared" si="69"/>
        <v>LSA_GFX_HRY_E_BEGIN_TITO_SACD_MAX_LFM_0320_DISP2_POSTREP_DEBS_BP2</v>
      </c>
      <c r="AX146" t="str">
        <f t="shared" si="69"/>
        <v>LSA_GFX_HRY_E_BEGIN_TITO_SACD_MAX_LFM_0320_DISP2_POSTREP_DEBS_BP2</v>
      </c>
      <c r="AY146" t="str">
        <f t="shared" si="69"/>
        <v>LSA_GFX_HRY_E_BEGIN_TITO_SACD_MAX_LFM_0320_DISP2_POSTREP_DEBS_BP2</v>
      </c>
      <c r="AZ146" t="str">
        <f t="shared" si="69"/>
        <v>LSA_GFX_HRY_E_BEGIN_TITO_SACD_MAX_LFM_0320_DISP2_POSTREP_DEBS_BP2</v>
      </c>
      <c r="BA146" t="str">
        <f t="shared" si="69"/>
        <v>LSA_GFX_HRY_E_BEGIN_TITO_SACD_MAX_LFM_0320_DISP2_POSTREP_DEBS_BP2</v>
      </c>
      <c r="BB146" t="str">
        <f t="shared" si="69"/>
        <v>LSA_GFX_HRY_E_BEGIN_TITO_SACD_MAX_LFM_0320_DISP2_POSTREP_DEBS_BP2</v>
      </c>
      <c r="BC146" t="str">
        <f t="shared" si="69"/>
        <v>LSA_GFX_HRY_E_BEGIN_TITO_SACD_MAX_LFM_0320_DISP2_POSTREP_DEBS_BP2</v>
      </c>
      <c r="BD146" t="str">
        <f t="shared" si="69"/>
        <v>LSA_GFX_HRY_E_BEGIN_TITO_SACD_MAX_LFM_0320_DISP2_POSTREP_DEBS_BP2</v>
      </c>
    </row>
    <row r="147" spans="1:56" x14ac:dyDescent="0.35">
      <c r="A147" s="7" t="s">
        <v>12</v>
      </c>
      <c r="B147" s="7" t="s">
        <v>55</v>
      </c>
      <c r="C147" s="7" t="str">
        <f>VLOOKUP(B147,templateLookup!A:B,2,0)</f>
        <v>PrimeMbistVminSearchTestMethod</v>
      </c>
      <c r="D147" t="str">
        <f t="shared" si="67"/>
        <v>LSA_GFX_HRY_E_BEGIN_TITO_SACD_MAX_LFM_0320_DISP2_POSTREP_DEBS_BP2</v>
      </c>
      <c r="E147" t="s">
        <v>5</v>
      </c>
      <c r="F147" t="s">
        <v>251</v>
      </c>
      <c r="G147" t="s">
        <v>271</v>
      </c>
      <c r="H147" t="s">
        <v>207</v>
      </c>
      <c r="I147" t="s">
        <v>260</v>
      </c>
      <c r="J147" t="s">
        <v>395</v>
      </c>
      <c r="K147" t="s">
        <v>357</v>
      </c>
      <c r="L147" t="s">
        <v>285</v>
      </c>
      <c r="M147" t="str">
        <f t="shared" si="68"/>
        <v>0320</v>
      </c>
      <c r="N147" t="s">
        <v>454</v>
      </c>
      <c r="O147" t="s">
        <v>267</v>
      </c>
      <c r="P147" t="s">
        <v>397</v>
      </c>
      <c r="Q147" t="s">
        <v>432</v>
      </c>
      <c r="R147">
        <v>21</v>
      </c>
      <c r="S147">
        <v>40</v>
      </c>
      <c r="T147">
        <v>68</v>
      </c>
      <c r="U147">
        <v>-1</v>
      </c>
      <c r="V147" t="b">
        <v>0</v>
      </c>
      <c r="W147" t="s">
        <v>298</v>
      </c>
      <c r="X147" t="s">
        <v>363</v>
      </c>
      <c r="Y147" t="s">
        <v>272</v>
      </c>
      <c r="Z147">
        <v>0.85</v>
      </c>
      <c r="AA147">
        <v>0.85</v>
      </c>
      <c r="AS147">
        <f t="shared" si="66"/>
        <v>10</v>
      </c>
      <c r="AT147" t="s">
        <v>273</v>
      </c>
      <c r="AU147" t="str">
        <f t="shared" si="69"/>
        <v>LSA_GFX_HRY_E_BEGIN_TITO_SACD_MAX_LFM_0320_DISP3_POSTREP_DEBS_BP3</v>
      </c>
      <c r="AV147" t="str">
        <f t="shared" si="69"/>
        <v>LSA_GFX_HRY_E_BEGIN_TITO_SACD_MAX_LFM_0320_DISP3_POSTREP_DEBS_BP3</v>
      </c>
      <c r="AW147" t="str">
        <f t="shared" si="69"/>
        <v>LSA_GFX_HRY_E_BEGIN_TITO_SACD_MAX_LFM_0320_DISP3_POSTREP_DEBS_BP3</v>
      </c>
      <c r="AX147" t="str">
        <f t="shared" si="69"/>
        <v>LSA_GFX_HRY_E_BEGIN_TITO_SACD_MAX_LFM_0320_DISP3_POSTREP_DEBS_BP3</v>
      </c>
      <c r="AY147" t="str">
        <f t="shared" si="69"/>
        <v>LSA_GFX_HRY_E_BEGIN_TITO_SACD_MAX_LFM_0320_DISP3_POSTREP_DEBS_BP3</v>
      </c>
      <c r="AZ147" t="str">
        <f t="shared" si="69"/>
        <v>LSA_GFX_HRY_E_BEGIN_TITO_SACD_MAX_LFM_0320_DISP3_POSTREP_DEBS_BP3</v>
      </c>
      <c r="BA147" t="str">
        <f t="shared" si="69"/>
        <v>LSA_GFX_HRY_E_BEGIN_TITO_SACD_MAX_LFM_0320_DISP3_POSTREP_DEBS_BP3</v>
      </c>
      <c r="BB147" t="str">
        <f t="shared" si="69"/>
        <v>LSA_GFX_HRY_E_BEGIN_TITO_SACD_MAX_LFM_0320_DISP3_POSTREP_DEBS_BP3</v>
      </c>
      <c r="BC147" t="str">
        <f t="shared" si="69"/>
        <v>LSA_GFX_HRY_E_BEGIN_TITO_SACD_MAX_LFM_0320_DISP3_POSTREP_DEBS_BP3</v>
      </c>
      <c r="BD147" t="str">
        <f t="shared" si="69"/>
        <v>LSA_GFX_HRY_E_BEGIN_TITO_SACD_MAX_LFM_0320_DISP3_POSTREP_DEBS_BP3</v>
      </c>
    </row>
    <row r="148" spans="1:56" x14ac:dyDescent="0.35">
      <c r="A148" s="7" t="s">
        <v>12</v>
      </c>
      <c r="B148" s="7" t="s">
        <v>55</v>
      </c>
      <c r="C148" s="7" t="str">
        <f>VLOOKUP(B148,templateLookup!A:B,2,0)</f>
        <v>PrimeMbistVminSearchTestMethod</v>
      </c>
      <c r="D148" t="str">
        <f t="shared" si="67"/>
        <v>LSA_GFX_HRY_E_BEGIN_TITO_SACD_MAX_LFM_0320_DISP3_POSTREP_DEBS_BP3</v>
      </c>
      <c r="E148" t="s">
        <v>5</v>
      </c>
      <c r="F148" t="s">
        <v>251</v>
      </c>
      <c r="G148" t="s">
        <v>271</v>
      </c>
      <c r="H148" t="s">
        <v>207</v>
      </c>
      <c r="I148" t="s">
        <v>260</v>
      </c>
      <c r="J148" t="s">
        <v>395</v>
      </c>
      <c r="K148" t="s">
        <v>357</v>
      </c>
      <c r="L148" t="s">
        <v>285</v>
      </c>
      <c r="M148" t="str">
        <f t="shared" si="68"/>
        <v>0320</v>
      </c>
      <c r="N148" t="s">
        <v>455</v>
      </c>
      <c r="O148" t="s">
        <v>267</v>
      </c>
      <c r="P148" t="s">
        <v>397</v>
      </c>
      <c r="Q148" t="s">
        <v>434</v>
      </c>
      <c r="R148">
        <v>21</v>
      </c>
      <c r="S148">
        <v>40</v>
      </c>
      <c r="T148">
        <v>69</v>
      </c>
      <c r="U148">
        <v>-1</v>
      </c>
      <c r="V148" t="b">
        <v>0</v>
      </c>
      <c r="W148" t="s">
        <v>298</v>
      </c>
      <c r="X148" t="s">
        <v>363</v>
      </c>
      <c r="Y148" t="s">
        <v>272</v>
      </c>
      <c r="Z148">
        <v>0.85</v>
      </c>
      <c r="AA148">
        <v>0.85</v>
      </c>
      <c r="AS148">
        <f t="shared" si="66"/>
        <v>10</v>
      </c>
      <c r="AT148" t="s">
        <v>273</v>
      </c>
      <c r="AU148" t="str">
        <f t="shared" si="69"/>
        <v>LSA_GFX_HRY_E_BEGIN_TITO_SACD_MAX_LFM_0320_DISP4_POSTREP_DEBS_BP4</v>
      </c>
      <c r="AV148" t="str">
        <f t="shared" si="69"/>
        <v>LSA_GFX_HRY_E_BEGIN_TITO_SACD_MAX_LFM_0320_DISP4_POSTREP_DEBS_BP4</v>
      </c>
      <c r="AW148" t="str">
        <f t="shared" si="69"/>
        <v>LSA_GFX_HRY_E_BEGIN_TITO_SACD_MAX_LFM_0320_DISP4_POSTREP_DEBS_BP4</v>
      </c>
      <c r="AX148" t="str">
        <f t="shared" si="69"/>
        <v>LSA_GFX_HRY_E_BEGIN_TITO_SACD_MAX_LFM_0320_DISP4_POSTREP_DEBS_BP4</v>
      </c>
      <c r="AY148" t="str">
        <f t="shared" si="69"/>
        <v>LSA_GFX_HRY_E_BEGIN_TITO_SACD_MAX_LFM_0320_DISP4_POSTREP_DEBS_BP4</v>
      </c>
      <c r="AZ148" t="str">
        <f t="shared" si="69"/>
        <v>LSA_GFX_HRY_E_BEGIN_TITO_SACD_MAX_LFM_0320_DISP4_POSTREP_DEBS_BP4</v>
      </c>
      <c r="BA148" t="str">
        <f t="shared" si="69"/>
        <v>LSA_GFX_HRY_E_BEGIN_TITO_SACD_MAX_LFM_0320_DISP4_POSTREP_DEBS_BP4</v>
      </c>
      <c r="BB148" t="str">
        <f t="shared" si="69"/>
        <v>LSA_GFX_HRY_E_BEGIN_TITO_SACD_MAX_LFM_0320_DISP4_POSTREP_DEBS_BP4</v>
      </c>
      <c r="BC148" t="str">
        <f t="shared" si="69"/>
        <v>LSA_GFX_HRY_E_BEGIN_TITO_SACD_MAX_LFM_0320_DISP4_POSTREP_DEBS_BP4</v>
      </c>
      <c r="BD148" t="str">
        <f t="shared" si="69"/>
        <v>LSA_GFX_HRY_E_BEGIN_TITO_SACD_MAX_LFM_0320_DISP4_POSTREP_DEBS_BP4</v>
      </c>
    </row>
    <row r="149" spans="1:56" x14ac:dyDescent="0.35">
      <c r="A149" s="7" t="s">
        <v>12</v>
      </c>
      <c r="B149" s="7" t="s">
        <v>55</v>
      </c>
      <c r="C149" s="7" t="str">
        <f>VLOOKUP(B149,templateLookup!A:B,2,0)</f>
        <v>PrimeMbistVminSearchTestMethod</v>
      </c>
      <c r="D149" t="str">
        <f t="shared" si="67"/>
        <v>LSA_GFX_HRY_E_BEGIN_TITO_SACD_MAX_LFM_0320_DISP4_POSTREP_DEBS_BP4</v>
      </c>
      <c r="E149" t="s">
        <v>5</v>
      </c>
      <c r="F149" t="s">
        <v>251</v>
      </c>
      <c r="G149" t="s">
        <v>271</v>
      </c>
      <c r="H149" t="s">
        <v>207</v>
      </c>
      <c r="I149" t="s">
        <v>260</v>
      </c>
      <c r="J149" t="s">
        <v>395</v>
      </c>
      <c r="K149" t="s">
        <v>357</v>
      </c>
      <c r="L149" t="s">
        <v>285</v>
      </c>
      <c r="M149" t="str">
        <f t="shared" si="68"/>
        <v>0320</v>
      </c>
      <c r="N149" t="s">
        <v>456</v>
      </c>
      <c r="O149" t="s">
        <v>267</v>
      </c>
      <c r="P149" t="s">
        <v>397</v>
      </c>
      <c r="Q149" t="s">
        <v>436</v>
      </c>
      <c r="R149">
        <v>21</v>
      </c>
      <c r="S149">
        <v>40</v>
      </c>
      <c r="T149">
        <v>70</v>
      </c>
      <c r="U149">
        <v>-1</v>
      </c>
      <c r="V149" t="b">
        <v>0</v>
      </c>
      <c r="W149" t="s">
        <v>298</v>
      </c>
      <c r="X149" t="s">
        <v>363</v>
      </c>
      <c r="Y149" t="s">
        <v>272</v>
      </c>
      <c r="Z149">
        <v>0.85</v>
      </c>
      <c r="AA149">
        <v>0.85</v>
      </c>
      <c r="AS149">
        <f t="shared" si="66"/>
        <v>10</v>
      </c>
      <c r="AT149" t="s">
        <v>273</v>
      </c>
      <c r="AU149" t="str">
        <f t="shared" si="69"/>
        <v>LSA_GFX_HRY_E_BEGIN_TITO_SACD_MAX_LFM_0320_DISP5_POSTREP_DEBS_BP5</v>
      </c>
      <c r="AV149" t="str">
        <f t="shared" si="69"/>
        <v>LSA_GFX_HRY_E_BEGIN_TITO_SACD_MAX_LFM_0320_DISP5_POSTREP_DEBS_BP5</v>
      </c>
      <c r="AW149" t="str">
        <f t="shared" si="69"/>
        <v>LSA_GFX_HRY_E_BEGIN_TITO_SACD_MAX_LFM_0320_DISP5_POSTREP_DEBS_BP5</v>
      </c>
      <c r="AX149" t="str">
        <f t="shared" si="69"/>
        <v>LSA_GFX_HRY_E_BEGIN_TITO_SACD_MAX_LFM_0320_DISP5_POSTREP_DEBS_BP5</v>
      </c>
      <c r="AY149" t="str">
        <f t="shared" si="69"/>
        <v>LSA_GFX_HRY_E_BEGIN_TITO_SACD_MAX_LFM_0320_DISP5_POSTREP_DEBS_BP5</v>
      </c>
      <c r="AZ149" t="str">
        <f t="shared" si="69"/>
        <v>LSA_GFX_HRY_E_BEGIN_TITO_SACD_MAX_LFM_0320_DISP5_POSTREP_DEBS_BP5</v>
      </c>
      <c r="BA149" t="str">
        <f t="shared" si="69"/>
        <v>LSA_GFX_HRY_E_BEGIN_TITO_SACD_MAX_LFM_0320_DISP5_POSTREP_DEBS_BP5</v>
      </c>
      <c r="BB149" t="str">
        <f t="shared" si="69"/>
        <v>LSA_GFX_HRY_E_BEGIN_TITO_SACD_MAX_LFM_0320_DISP5_POSTREP_DEBS_BP5</v>
      </c>
      <c r="BC149" t="str">
        <f t="shared" si="69"/>
        <v>LSA_GFX_HRY_E_BEGIN_TITO_SACD_MAX_LFM_0320_DISP5_POSTREP_DEBS_BP5</v>
      </c>
      <c r="BD149" t="str">
        <f t="shared" si="69"/>
        <v>LSA_GFX_HRY_E_BEGIN_TITO_SACD_MAX_LFM_0320_DISP5_POSTREP_DEBS_BP5</v>
      </c>
    </row>
    <row r="150" spans="1:56" x14ac:dyDescent="0.35">
      <c r="A150" s="7" t="s">
        <v>12</v>
      </c>
      <c r="B150" s="7" t="s">
        <v>55</v>
      </c>
      <c r="C150" s="7" t="str">
        <f>VLOOKUP(B150,templateLookup!A:B,2,0)</f>
        <v>PrimeMbistVminSearchTestMethod</v>
      </c>
      <c r="D150" t="str">
        <f t="shared" si="67"/>
        <v>LSA_GFX_HRY_E_BEGIN_TITO_SACD_MAX_LFM_0320_DISP5_POSTREP_DEBS_BP5</v>
      </c>
      <c r="E150" t="s">
        <v>5</v>
      </c>
      <c r="F150" t="s">
        <v>251</v>
      </c>
      <c r="G150" t="s">
        <v>271</v>
      </c>
      <c r="H150" t="s">
        <v>207</v>
      </c>
      <c r="I150" t="s">
        <v>260</v>
      </c>
      <c r="J150" t="s">
        <v>395</v>
      </c>
      <c r="K150" t="s">
        <v>357</v>
      </c>
      <c r="L150" t="s">
        <v>285</v>
      </c>
      <c r="M150" t="s">
        <v>442</v>
      </c>
      <c r="N150" t="s">
        <v>457</v>
      </c>
      <c r="O150" t="s">
        <v>267</v>
      </c>
      <c r="P150" t="s">
        <v>397</v>
      </c>
      <c r="Q150" t="s">
        <v>438</v>
      </c>
      <c r="R150">
        <v>21</v>
      </c>
      <c r="S150">
        <v>40</v>
      </c>
      <c r="T150">
        <v>71</v>
      </c>
      <c r="U150">
        <v>-1</v>
      </c>
      <c r="V150" t="b">
        <v>0</v>
      </c>
      <c r="W150" t="s">
        <v>298</v>
      </c>
      <c r="X150" t="s">
        <v>363</v>
      </c>
      <c r="Y150" t="s">
        <v>272</v>
      </c>
      <c r="Z150">
        <v>0.85</v>
      </c>
      <c r="AA150">
        <v>0.85</v>
      </c>
      <c r="AS150">
        <f t="shared" si="66"/>
        <v>10</v>
      </c>
      <c r="AT150" t="s">
        <v>273</v>
      </c>
      <c r="AU150">
        <v>1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</row>
    <row r="151" spans="1:56" x14ac:dyDescent="0.35">
      <c r="A151" s="45" t="s">
        <v>12</v>
      </c>
      <c r="B151" s="45" t="s">
        <v>50</v>
      </c>
      <c r="C151" s="45" t="str">
        <f>VLOOKUP(B151,templateLookup!A:B,2,0)</f>
        <v>COMPOSITE</v>
      </c>
      <c r="D151" s="10" t="s">
        <v>458</v>
      </c>
    </row>
    <row r="152" spans="1:56" x14ac:dyDescent="0.35">
      <c r="A152" s="45" t="s">
        <v>12</v>
      </c>
      <c r="B152" s="45" t="s">
        <v>49</v>
      </c>
      <c r="C152" s="45" t="str">
        <f>VLOOKUP(B152,templateLookup!A:B,2,0)</f>
        <v>COMPOSITE</v>
      </c>
      <c r="D152" s="10" t="s">
        <v>459</v>
      </c>
      <c r="F152" t="s">
        <v>30</v>
      </c>
      <c r="V152" s="12"/>
      <c r="AS152">
        <f t="shared" ref="AS152:AS173" si="70">COUNTA(AU152:BD152)</f>
        <v>2</v>
      </c>
      <c r="AT152">
        <v>1</v>
      </c>
      <c r="AU152" t="str">
        <f>$D175</f>
        <v>IPU_VFDM</v>
      </c>
      <c r="AV152" t="str">
        <f>$D175</f>
        <v>IPU_VFDM</v>
      </c>
    </row>
    <row r="153" spans="1:56" x14ac:dyDescent="0.35">
      <c r="A153" s="7" t="s">
        <v>12</v>
      </c>
      <c r="B153" s="7" t="s">
        <v>54</v>
      </c>
      <c r="C153" s="7" t="str">
        <f>VLOOKUP(B153,templateLookup!A:B,2,0)</f>
        <v>PrimeMbistVminSearchTestMethod</v>
      </c>
      <c r="D153" t="str">
        <f t="shared" ref="D153:D173" si="71">E153&amp;"_"&amp;F153&amp;"_"&amp;G153&amp;"_"&amp;H153&amp;"_"&amp;A153&amp;"_"&amp;I153&amp;"_"&amp;J153&amp;"_"&amp;K153&amp;"_"&amp;L153&amp;"_"&amp;M153&amp;"_"&amp;N153</f>
        <v>SSA_GFX_HRY_E_BEGIN_TITO_SAPS_NOM_LFM_0200_IPU0_BHRY_BTRS_BP5</v>
      </c>
      <c r="E153" t="s">
        <v>4</v>
      </c>
      <c r="F153" t="s">
        <v>251</v>
      </c>
      <c r="G153" t="s">
        <v>271</v>
      </c>
      <c r="H153" t="s">
        <v>207</v>
      </c>
      <c r="I153" t="s">
        <v>260</v>
      </c>
      <c r="J153" t="s">
        <v>460</v>
      </c>
      <c r="K153" t="s">
        <v>284</v>
      </c>
      <c r="L153" t="s">
        <v>285</v>
      </c>
      <c r="M153" t="s">
        <v>461</v>
      </c>
      <c r="N153" t="s">
        <v>462</v>
      </c>
      <c r="O153" t="s">
        <v>267</v>
      </c>
      <c r="P153" t="s">
        <v>397</v>
      </c>
      <c r="Q153" t="s">
        <v>463</v>
      </c>
      <c r="R153">
        <v>61</v>
      </c>
      <c r="S153">
        <v>40</v>
      </c>
      <c r="T153">
        <v>100</v>
      </c>
      <c r="U153">
        <v>-1</v>
      </c>
      <c r="V153" s="12" t="b">
        <v>0</v>
      </c>
      <c r="W153" t="s">
        <v>298</v>
      </c>
      <c r="X153" t="s">
        <v>271</v>
      </c>
      <c r="Y153" t="s">
        <v>272</v>
      </c>
      <c r="Z153">
        <v>0.85</v>
      </c>
      <c r="AA153">
        <v>0.85</v>
      </c>
      <c r="AS153">
        <f t="shared" si="70"/>
        <v>10</v>
      </c>
      <c r="AT153" t="s">
        <v>273</v>
      </c>
      <c r="AU153" t="str">
        <f t="shared" ref="AU153:AU172" si="72">$D154</f>
        <v>SSA_GFX_HRY_E_BEGIN_TITO_SAPS_NOM_LFM_0200_IPU0_BISR_BTRS_BP5</v>
      </c>
      <c r="AV153" t="str">
        <f>$D156</f>
        <v>SSA_GFX_HRY_E_BEGIN_TITO_SAPS_NOM_LFM_0200_IPU1_BHRY_BTRS_BP6</v>
      </c>
      <c r="AW153" t="str">
        <f t="shared" ref="AW153:BB153" si="73">$D154</f>
        <v>SSA_GFX_HRY_E_BEGIN_TITO_SAPS_NOM_LFM_0200_IPU0_BISR_BTRS_BP5</v>
      </c>
      <c r="AX153" t="str">
        <f t="shared" si="73"/>
        <v>SSA_GFX_HRY_E_BEGIN_TITO_SAPS_NOM_LFM_0200_IPU0_BISR_BTRS_BP5</v>
      </c>
      <c r="AY153" t="str">
        <f t="shared" si="73"/>
        <v>SSA_GFX_HRY_E_BEGIN_TITO_SAPS_NOM_LFM_0200_IPU0_BISR_BTRS_BP5</v>
      </c>
      <c r="AZ153" t="str">
        <f t="shared" si="73"/>
        <v>SSA_GFX_HRY_E_BEGIN_TITO_SAPS_NOM_LFM_0200_IPU0_BISR_BTRS_BP5</v>
      </c>
      <c r="BA153" t="str">
        <f t="shared" si="73"/>
        <v>SSA_GFX_HRY_E_BEGIN_TITO_SAPS_NOM_LFM_0200_IPU0_BISR_BTRS_BP5</v>
      </c>
      <c r="BB153" t="str">
        <f t="shared" si="73"/>
        <v>SSA_GFX_HRY_E_BEGIN_TITO_SAPS_NOM_LFM_0200_IPU0_BISR_BTRS_BP5</v>
      </c>
      <c r="BC153" t="str">
        <f>$D156</f>
        <v>SSA_GFX_HRY_E_BEGIN_TITO_SAPS_NOM_LFM_0200_IPU1_BHRY_BTRS_BP6</v>
      </c>
      <c r="BD153" t="str">
        <f>$D154</f>
        <v>SSA_GFX_HRY_E_BEGIN_TITO_SAPS_NOM_LFM_0200_IPU0_BISR_BTRS_BP5</v>
      </c>
    </row>
    <row r="154" spans="1:56" x14ac:dyDescent="0.35">
      <c r="A154" s="7" t="s">
        <v>12</v>
      </c>
      <c r="B154" s="7" t="s">
        <v>54</v>
      </c>
      <c r="C154" s="7" t="str">
        <f>VLOOKUP(B154,templateLookup!A:B,2,0)</f>
        <v>PrimeMbistVminSearchTestMethod</v>
      </c>
      <c r="D154" t="str">
        <f t="shared" si="71"/>
        <v>SSA_GFX_HRY_E_BEGIN_TITO_SAPS_NOM_LFM_0200_IPU0_BISR_BTRS_BP5</v>
      </c>
      <c r="E154" t="s">
        <v>4</v>
      </c>
      <c r="F154" t="s">
        <v>251</v>
      </c>
      <c r="G154" t="s">
        <v>271</v>
      </c>
      <c r="H154" t="s">
        <v>207</v>
      </c>
      <c r="I154" t="s">
        <v>260</v>
      </c>
      <c r="J154" t="s">
        <v>460</v>
      </c>
      <c r="K154" t="s">
        <v>284</v>
      </c>
      <c r="L154" t="s">
        <v>285</v>
      </c>
      <c r="M154" t="s">
        <v>461</v>
      </c>
      <c r="N154" t="s">
        <v>464</v>
      </c>
      <c r="O154" t="s">
        <v>267</v>
      </c>
      <c r="P154" t="s">
        <v>397</v>
      </c>
      <c r="Q154" t="s">
        <v>465</v>
      </c>
      <c r="R154">
        <v>61</v>
      </c>
      <c r="S154">
        <v>40</v>
      </c>
      <c r="T154">
        <v>101</v>
      </c>
      <c r="U154">
        <v>-1</v>
      </c>
      <c r="V154" s="12" t="b">
        <v>0</v>
      </c>
      <c r="W154" t="s">
        <v>298</v>
      </c>
      <c r="X154" t="s">
        <v>401</v>
      </c>
      <c r="Y154" t="s">
        <v>272</v>
      </c>
      <c r="Z154">
        <v>0.85</v>
      </c>
      <c r="AA154">
        <v>0.85</v>
      </c>
      <c r="AS154">
        <f t="shared" si="70"/>
        <v>10</v>
      </c>
      <c r="AT154" t="s">
        <v>273</v>
      </c>
      <c r="AU154" t="str">
        <f t="shared" si="72"/>
        <v>SSA_GFX_RASTER_E_BEGIN_TITO_SAPS_NOM_LFM_0200_IPU0_RASTER_BTRS_BP5</v>
      </c>
      <c r="AV154" t="str">
        <f t="shared" ref="AV154:BD154" si="74">$D156</f>
        <v>SSA_GFX_HRY_E_BEGIN_TITO_SAPS_NOM_LFM_0200_IPU1_BHRY_BTRS_BP6</v>
      </c>
      <c r="AW154" t="str">
        <f t="shared" si="74"/>
        <v>SSA_GFX_HRY_E_BEGIN_TITO_SAPS_NOM_LFM_0200_IPU1_BHRY_BTRS_BP6</v>
      </c>
      <c r="AX154" t="str">
        <f t="shared" si="74"/>
        <v>SSA_GFX_HRY_E_BEGIN_TITO_SAPS_NOM_LFM_0200_IPU1_BHRY_BTRS_BP6</v>
      </c>
      <c r="AY154" t="str">
        <f t="shared" si="74"/>
        <v>SSA_GFX_HRY_E_BEGIN_TITO_SAPS_NOM_LFM_0200_IPU1_BHRY_BTRS_BP6</v>
      </c>
      <c r="AZ154" t="str">
        <f t="shared" si="74"/>
        <v>SSA_GFX_HRY_E_BEGIN_TITO_SAPS_NOM_LFM_0200_IPU1_BHRY_BTRS_BP6</v>
      </c>
      <c r="BA154" t="str">
        <f t="shared" si="74"/>
        <v>SSA_GFX_HRY_E_BEGIN_TITO_SAPS_NOM_LFM_0200_IPU1_BHRY_BTRS_BP6</v>
      </c>
      <c r="BB154" t="str">
        <f t="shared" si="74"/>
        <v>SSA_GFX_HRY_E_BEGIN_TITO_SAPS_NOM_LFM_0200_IPU1_BHRY_BTRS_BP6</v>
      </c>
      <c r="BC154" t="str">
        <f t="shared" si="74"/>
        <v>SSA_GFX_HRY_E_BEGIN_TITO_SAPS_NOM_LFM_0200_IPU1_BHRY_BTRS_BP6</v>
      </c>
      <c r="BD154" t="str">
        <f t="shared" si="74"/>
        <v>SSA_GFX_HRY_E_BEGIN_TITO_SAPS_NOM_LFM_0200_IPU1_BHRY_BTRS_BP6</v>
      </c>
    </row>
    <row r="155" spans="1:56" x14ac:dyDescent="0.35">
      <c r="A155" s="7" t="s">
        <v>12</v>
      </c>
      <c r="B155" s="7" t="s">
        <v>56</v>
      </c>
      <c r="C155" s="7" t="str">
        <f>VLOOKUP(B155,templateLookup!A:B,2,0)</f>
        <v>MbistRasterTC</v>
      </c>
      <c r="D155" t="str">
        <f t="shared" si="71"/>
        <v>SSA_GFX_RASTER_E_BEGIN_TITO_SAPS_NOM_LFM_0200_IPU0_RASTER_BTRS_BP5</v>
      </c>
      <c r="E155" t="s">
        <v>4</v>
      </c>
      <c r="F155" t="s">
        <v>251</v>
      </c>
      <c r="G155" t="s">
        <v>289</v>
      </c>
      <c r="H155" t="s">
        <v>207</v>
      </c>
      <c r="I155" t="s">
        <v>260</v>
      </c>
      <c r="J155" t="s">
        <v>460</v>
      </c>
      <c r="K155" t="s">
        <v>284</v>
      </c>
      <c r="L155" t="s">
        <v>285</v>
      </c>
      <c r="M155" t="s">
        <v>461</v>
      </c>
      <c r="N155" t="s">
        <v>466</v>
      </c>
      <c r="O155" t="s">
        <v>267</v>
      </c>
      <c r="P155" t="s">
        <v>397</v>
      </c>
      <c r="Q155" t="s">
        <v>291</v>
      </c>
      <c r="R155">
        <v>61</v>
      </c>
      <c r="S155">
        <v>40</v>
      </c>
      <c r="T155">
        <v>102</v>
      </c>
      <c r="U155">
        <v>1</v>
      </c>
      <c r="V155" s="12" t="b">
        <v>0</v>
      </c>
      <c r="W155" t="s">
        <v>298</v>
      </c>
      <c r="AS155">
        <f t="shared" si="70"/>
        <v>5</v>
      </c>
      <c r="AT155">
        <v>1</v>
      </c>
      <c r="AU155" t="str">
        <f t="shared" si="72"/>
        <v>SSA_GFX_HRY_E_BEGIN_TITO_SAPS_NOM_LFM_0200_IPU1_BHRY_BTRS_BP6</v>
      </c>
      <c r="AV155" t="str">
        <f>$D156</f>
        <v>SSA_GFX_HRY_E_BEGIN_TITO_SAPS_NOM_LFM_0200_IPU1_BHRY_BTRS_BP6</v>
      </c>
      <c r="AW155" t="str">
        <f>$D156</f>
        <v>SSA_GFX_HRY_E_BEGIN_TITO_SAPS_NOM_LFM_0200_IPU1_BHRY_BTRS_BP6</v>
      </c>
      <c r="AX155" t="str">
        <f>$D156</f>
        <v>SSA_GFX_HRY_E_BEGIN_TITO_SAPS_NOM_LFM_0200_IPU1_BHRY_BTRS_BP6</v>
      </c>
      <c r="AY155" t="str">
        <f>$D156</f>
        <v>SSA_GFX_HRY_E_BEGIN_TITO_SAPS_NOM_LFM_0200_IPU1_BHRY_BTRS_BP6</v>
      </c>
    </row>
    <row r="156" spans="1:56" x14ac:dyDescent="0.35">
      <c r="A156" s="7" t="s">
        <v>12</v>
      </c>
      <c r="B156" s="7" t="s">
        <v>54</v>
      </c>
      <c r="C156" s="7" t="str">
        <f>VLOOKUP(B156,templateLookup!A:B,2,0)</f>
        <v>PrimeMbistVminSearchTestMethod</v>
      </c>
      <c r="D156" t="str">
        <f t="shared" si="71"/>
        <v>SSA_GFX_HRY_E_BEGIN_TITO_SAPS_NOM_LFM_0200_IPU1_BHRY_BTRS_BP6</v>
      </c>
      <c r="E156" t="s">
        <v>4</v>
      </c>
      <c r="F156" t="s">
        <v>251</v>
      </c>
      <c r="G156" t="s">
        <v>271</v>
      </c>
      <c r="H156" t="s">
        <v>207</v>
      </c>
      <c r="I156" t="s">
        <v>260</v>
      </c>
      <c r="J156" t="s">
        <v>460</v>
      </c>
      <c r="K156" t="s">
        <v>284</v>
      </c>
      <c r="L156" t="s">
        <v>285</v>
      </c>
      <c r="M156" t="s">
        <v>461</v>
      </c>
      <c r="N156" t="s">
        <v>467</v>
      </c>
      <c r="O156" t="s">
        <v>267</v>
      </c>
      <c r="P156" t="s">
        <v>397</v>
      </c>
      <c r="Q156" t="s">
        <v>468</v>
      </c>
      <c r="R156">
        <v>61</v>
      </c>
      <c r="S156">
        <v>40</v>
      </c>
      <c r="T156">
        <v>103</v>
      </c>
      <c r="U156">
        <v>-1</v>
      </c>
      <c r="V156" s="12" t="b">
        <v>0</v>
      </c>
      <c r="W156" t="s">
        <v>298</v>
      </c>
      <c r="X156" t="s">
        <v>271</v>
      </c>
      <c r="Y156" t="s">
        <v>272</v>
      </c>
      <c r="Z156">
        <v>0.85</v>
      </c>
      <c r="AA156">
        <v>0.85</v>
      </c>
      <c r="AS156">
        <f t="shared" si="70"/>
        <v>10</v>
      </c>
      <c r="AT156" t="s">
        <v>273</v>
      </c>
      <c r="AU156" t="str">
        <f t="shared" si="72"/>
        <v>SSA_GFX_HRY_E_BEGIN_TITO_SAPS_NOM_LFM_0200_IPU1_BISR_BTRS_BP6</v>
      </c>
      <c r="AV156" t="str">
        <f>$D159</f>
        <v>SSA_GFX_HRY_E_BEGIN_TITO_SAPS_NOM_LFM_0200_IPU2_BHRY_BTRS_BP3</v>
      </c>
      <c r="AW156" t="str">
        <f t="shared" ref="AW156:BB156" si="75">$D157</f>
        <v>SSA_GFX_HRY_E_BEGIN_TITO_SAPS_NOM_LFM_0200_IPU1_BISR_BTRS_BP6</v>
      </c>
      <c r="AX156" t="str">
        <f t="shared" si="75"/>
        <v>SSA_GFX_HRY_E_BEGIN_TITO_SAPS_NOM_LFM_0200_IPU1_BISR_BTRS_BP6</v>
      </c>
      <c r="AY156" t="str">
        <f t="shared" si="75"/>
        <v>SSA_GFX_HRY_E_BEGIN_TITO_SAPS_NOM_LFM_0200_IPU1_BISR_BTRS_BP6</v>
      </c>
      <c r="AZ156" t="str">
        <f t="shared" si="75"/>
        <v>SSA_GFX_HRY_E_BEGIN_TITO_SAPS_NOM_LFM_0200_IPU1_BISR_BTRS_BP6</v>
      </c>
      <c r="BA156" t="str">
        <f t="shared" si="75"/>
        <v>SSA_GFX_HRY_E_BEGIN_TITO_SAPS_NOM_LFM_0200_IPU1_BISR_BTRS_BP6</v>
      </c>
      <c r="BB156" t="str">
        <f t="shared" si="75"/>
        <v>SSA_GFX_HRY_E_BEGIN_TITO_SAPS_NOM_LFM_0200_IPU1_BISR_BTRS_BP6</v>
      </c>
      <c r="BC156" t="str">
        <f>$D159</f>
        <v>SSA_GFX_HRY_E_BEGIN_TITO_SAPS_NOM_LFM_0200_IPU2_BHRY_BTRS_BP3</v>
      </c>
      <c r="BD156" t="str">
        <f>$D157</f>
        <v>SSA_GFX_HRY_E_BEGIN_TITO_SAPS_NOM_LFM_0200_IPU1_BISR_BTRS_BP6</v>
      </c>
    </row>
    <row r="157" spans="1:56" x14ac:dyDescent="0.35">
      <c r="A157" s="7" t="s">
        <v>12</v>
      </c>
      <c r="B157" s="7" t="s">
        <v>54</v>
      </c>
      <c r="C157" s="7" t="str">
        <f>VLOOKUP(B157,templateLookup!A:B,2,0)</f>
        <v>PrimeMbistVminSearchTestMethod</v>
      </c>
      <c r="D157" t="str">
        <f t="shared" si="71"/>
        <v>SSA_GFX_HRY_E_BEGIN_TITO_SAPS_NOM_LFM_0200_IPU1_BISR_BTRS_BP6</v>
      </c>
      <c r="E157" t="s">
        <v>4</v>
      </c>
      <c r="F157" t="s">
        <v>251</v>
      </c>
      <c r="G157" t="s">
        <v>271</v>
      </c>
      <c r="H157" t="s">
        <v>207</v>
      </c>
      <c r="I157" t="s">
        <v>260</v>
      </c>
      <c r="J157" t="s">
        <v>460</v>
      </c>
      <c r="K157" t="s">
        <v>284</v>
      </c>
      <c r="L157" t="s">
        <v>285</v>
      </c>
      <c r="M157" t="s">
        <v>461</v>
      </c>
      <c r="N157" t="s">
        <v>469</v>
      </c>
      <c r="O157" t="s">
        <v>267</v>
      </c>
      <c r="P157" t="s">
        <v>397</v>
      </c>
      <c r="Q157" t="s">
        <v>470</v>
      </c>
      <c r="R157">
        <v>61</v>
      </c>
      <c r="S157">
        <v>40</v>
      </c>
      <c r="T157">
        <v>104</v>
      </c>
      <c r="U157">
        <v>-1</v>
      </c>
      <c r="V157" s="12" t="b">
        <v>0</v>
      </c>
      <c r="W157" t="s">
        <v>298</v>
      </c>
      <c r="X157" t="s">
        <v>401</v>
      </c>
      <c r="Y157" t="s">
        <v>272</v>
      </c>
      <c r="Z157">
        <v>0.85</v>
      </c>
      <c r="AA157">
        <v>0.85</v>
      </c>
      <c r="AS157">
        <f t="shared" si="70"/>
        <v>10</v>
      </c>
      <c r="AT157" t="s">
        <v>273</v>
      </c>
      <c r="AU157" t="str">
        <f t="shared" si="72"/>
        <v>SSA_GFX_RASTER_E_BEGIN_TITO_SAPS_NOM_LFM_0200_IPU1_RASTER_BTRS_BP6</v>
      </c>
      <c r="AV157" t="str">
        <f t="shared" ref="AV157:BD157" si="76">$D159</f>
        <v>SSA_GFX_HRY_E_BEGIN_TITO_SAPS_NOM_LFM_0200_IPU2_BHRY_BTRS_BP3</v>
      </c>
      <c r="AW157" t="str">
        <f t="shared" si="76"/>
        <v>SSA_GFX_HRY_E_BEGIN_TITO_SAPS_NOM_LFM_0200_IPU2_BHRY_BTRS_BP3</v>
      </c>
      <c r="AX157" t="str">
        <f t="shared" si="76"/>
        <v>SSA_GFX_HRY_E_BEGIN_TITO_SAPS_NOM_LFM_0200_IPU2_BHRY_BTRS_BP3</v>
      </c>
      <c r="AY157" t="str">
        <f t="shared" si="76"/>
        <v>SSA_GFX_HRY_E_BEGIN_TITO_SAPS_NOM_LFM_0200_IPU2_BHRY_BTRS_BP3</v>
      </c>
      <c r="AZ157" t="str">
        <f t="shared" si="76"/>
        <v>SSA_GFX_HRY_E_BEGIN_TITO_SAPS_NOM_LFM_0200_IPU2_BHRY_BTRS_BP3</v>
      </c>
      <c r="BA157" t="str">
        <f t="shared" si="76"/>
        <v>SSA_GFX_HRY_E_BEGIN_TITO_SAPS_NOM_LFM_0200_IPU2_BHRY_BTRS_BP3</v>
      </c>
      <c r="BB157" t="str">
        <f t="shared" si="76"/>
        <v>SSA_GFX_HRY_E_BEGIN_TITO_SAPS_NOM_LFM_0200_IPU2_BHRY_BTRS_BP3</v>
      </c>
      <c r="BC157" t="str">
        <f t="shared" si="76"/>
        <v>SSA_GFX_HRY_E_BEGIN_TITO_SAPS_NOM_LFM_0200_IPU2_BHRY_BTRS_BP3</v>
      </c>
      <c r="BD157" t="str">
        <f t="shared" si="76"/>
        <v>SSA_GFX_HRY_E_BEGIN_TITO_SAPS_NOM_LFM_0200_IPU2_BHRY_BTRS_BP3</v>
      </c>
    </row>
    <row r="158" spans="1:56" x14ac:dyDescent="0.35">
      <c r="A158" s="7" t="s">
        <v>12</v>
      </c>
      <c r="B158" s="7" t="s">
        <v>56</v>
      </c>
      <c r="C158" s="7" t="str">
        <f>VLOOKUP(B158,templateLookup!A:B,2,0)</f>
        <v>MbistRasterTC</v>
      </c>
      <c r="D158" t="str">
        <f t="shared" si="71"/>
        <v>SSA_GFX_RASTER_E_BEGIN_TITO_SAPS_NOM_LFM_0200_IPU1_RASTER_BTRS_BP6</v>
      </c>
      <c r="E158" t="s">
        <v>4</v>
      </c>
      <c r="F158" t="s">
        <v>251</v>
      </c>
      <c r="G158" t="s">
        <v>289</v>
      </c>
      <c r="H158" t="s">
        <v>207</v>
      </c>
      <c r="I158" t="s">
        <v>260</v>
      </c>
      <c r="J158" t="s">
        <v>460</v>
      </c>
      <c r="K158" t="s">
        <v>284</v>
      </c>
      <c r="L158" t="s">
        <v>285</v>
      </c>
      <c r="M158" t="s">
        <v>461</v>
      </c>
      <c r="N158" t="s">
        <v>471</v>
      </c>
      <c r="O158" t="s">
        <v>267</v>
      </c>
      <c r="P158" t="s">
        <v>397</v>
      </c>
      <c r="Q158" t="s">
        <v>291</v>
      </c>
      <c r="R158">
        <v>61</v>
      </c>
      <c r="S158">
        <v>40</v>
      </c>
      <c r="T158">
        <v>105</v>
      </c>
      <c r="U158">
        <v>1</v>
      </c>
      <c r="V158" s="12" t="b">
        <v>0</v>
      </c>
      <c r="W158" t="s">
        <v>298</v>
      </c>
      <c r="AS158">
        <f t="shared" si="70"/>
        <v>5</v>
      </c>
      <c r="AT158">
        <v>1</v>
      </c>
      <c r="AU158" t="str">
        <f t="shared" si="72"/>
        <v>SSA_GFX_HRY_E_BEGIN_TITO_SAPS_NOM_LFM_0200_IPU2_BHRY_BTRS_BP3</v>
      </c>
      <c r="AV158" t="str">
        <f>$D159</f>
        <v>SSA_GFX_HRY_E_BEGIN_TITO_SAPS_NOM_LFM_0200_IPU2_BHRY_BTRS_BP3</v>
      </c>
      <c r="AW158" t="str">
        <f>$D159</f>
        <v>SSA_GFX_HRY_E_BEGIN_TITO_SAPS_NOM_LFM_0200_IPU2_BHRY_BTRS_BP3</v>
      </c>
      <c r="AX158" t="str">
        <f>$D159</f>
        <v>SSA_GFX_HRY_E_BEGIN_TITO_SAPS_NOM_LFM_0200_IPU2_BHRY_BTRS_BP3</v>
      </c>
      <c r="AY158" t="str">
        <f>$D159</f>
        <v>SSA_GFX_HRY_E_BEGIN_TITO_SAPS_NOM_LFM_0200_IPU2_BHRY_BTRS_BP3</v>
      </c>
    </row>
    <row r="159" spans="1:56" x14ac:dyDescent="0.35">
      <c r="A159" s="7" t="s">
        <v>12</v>
      </c>
      <c r="B159" s="7" t="s">
        <v>54</v>
      </c>
      <c r="C159" s="7" t="str">
        <f>VLOOKUP(B159,templateLookup!A:B,2,0)</f>
        <v>PrimeMbistVminSearchTestMethod</v>
      </c>
      <c r="D159" t="str">
        <f t="shared" si="71"/>
        <v>SSA_GFX_HRY_E_BEGIN_TITO_SAPS_NOM_LFM_0200_IPU2_BHRY_BTRS_BP3</v>
      </c>
      <c r="E159" t="s">
        <v>4</v>
      </c>
      <c r="F159" t="s">
        <v>251</v>
      </c>
      <c r="G159" t="s">
        <v>271</v>
      </c>
      <c r="H159" t="s">
        <v>207</v>
      </c>
      <c r="I159" t="s">
        <v>260</v>
      </c>
      <c r="J159" t="s">
        <v>460</v>
      </c>
      <c r="K159" t="s">
        <v>284</v>
      </c>
      <c r="L159" t="s">
        <v>285</v>
      </c>
      <c r="M159" t="s">
        <v>461</v>
      </c>
      <c r="N159" t="s">
        <v>472</v>
      </c>
      <c r="O159" t="s">
        <v>267</v>
      </c>
      <c r="P159" t="s">
        <v>397</v>
      </c>
      <c r="Q159" t="s">
        <v>473</v>
      </c>
      <c r="R159">
        <v>61</v>
      </c>
      <c r="S159">
        <v>40</v>
      </c>
      <c r="T159">
        <v>106</v>
      </c>
      <c r="U159">
        <v>-1</v>
      </c>
      <c r="V159" s="12" t="b">
        <v>0</v>
      </c>
      <c r="W159" t="s">
        <v>298</v>
      </c>
      <c r="X159" t="s">
        <v>271</v>
      </c>
      <c r="Y159" t="s">
        <v>272</v>
      </c>
      <c r="Z159">
        <v>0.85</v>
      </c>
      <c r="AA159">
        <v>0.85</v>
      </c>
      <c r="AS159">
        <f t="shared" si="70"/>
        <v>10</v>
      </c>
      <c r="AT159" t="s">
        <v>273</v>
      </c>
      <c r="AU159" t="str">
        <f t="shared" si="72"/>
        <v>SSA_GFX_HRY_E_BEGIN_TITO_SAPS_NOM_LFM_0200_IPU2_BISR_BTRS_BP3</v>
      </c>
      <c r="AV159" t="str">
        <f>$D162</f>
        <v>LSA_GFX_HRY_E_BEGIN_TITO_SAPS_NOM_LFM_0200_IPU_BUTTRESS_BHRY_BTRS_BP4</v>
      </c>
      <c r="AW159" t="str">
        <f t="shared" ref="AW159:BB159" si="77">$D160</f>
        <v>SSA_GFX_HRY_E_BEGIN_TITO_SAPS_NOM_LFM_0200_IPU2_BISR_BTRS_BP3</v>
      </c>
      <c r="AX159" t="str">
        <f t="shared" si="77"/>
        <v>SSA_GFX_HRY_E_BEGIN_TITO_SAPS_NOM_LFM_0200_IPU2_BISR_BTRS_BP3</v>
      </c>
      <c r="AY159" t="str">
        <f t="shared" si="77"/>
        <v>SSA_GFX_HRY_E_BEGIN_TITO_SAPS_NOM_LFM_0200_IPU2_BISR_BTRS_BP3</v>
      </c>
      <c r="AZ159" t="str">
        <f t="shared" si="77"/>
        <v>SSA_GFX_HRY_E_BEGIN_TITO_SAPS_NOM_LFM_0200_IPU2_BISR_BTRS_BP3</v>
      </c>
      <c r="BA159" t="str">
        <f t="shared" si="77"/>
        <v>SSA_GFX_HRY_E_BEGIN_TITO_SAPS_NOM_LFM_0200_IPU2_BISR_BTRS_BP3</v>
      </c>
      <c r="BB159" t="str">
        <f t="shared" si="77"/>
        <v>SSA_GFX_HRY_E_BEGIN_TITO_SAPS_NOM_LFM_0200_IPU2_BISR_BTRS_BP3</v>
      </c>
      <c r="BC159" t="str">
        <f>$D162</f>
        <v>LSA_GFX_HRY_E_BEGIN_TITO_SAPS_NOM_LFM_0200_IPU_BUTTRESS_BHRY_BTRS_BP4</v>
      </c>
      <c r="BD159" t="str">
        <f>$D160</f>
        <v>SSA_GFX_HRY_E_BEGIN_TITO_SAPS_NOM_LFM_0200_IPU2_BISR_BTRS_BP3</v>
      </c>
    </row>
    <row r="160" spans="1:56" x14ac:dyDescent="0.35">
      <c r="A160" s="7" t="s">
        <v>12</v>
      </c>
      <c r="B160" s="7" t="s">
        <v>54</v>
      </c>
      <c r="C160" s="7" t="str">
        <f>VLOOKUP(B160,templateLookup!A:B,2,0)</f>
        <v>PrimeMbistVminSearchTestMethod</v>
      </c>
      <c r="D160" t="str">
        <f t="shared" si="71"/>
        <v>SSA_GFX_HRY_E_BEGIN_TITO_SAPS_NOM_LFM_0200_IPU2_BISR_BTRS_BP3</v>
      </c>
      <c r="E160" t="s">
        <v>4</v>
      </c>
      <c r="F160" t="s">
        <v>251</v>
      </c>
      <c r="G160" t="s">
        <v>271</v>
      </c>
      <c r="H160" t="s">
        <v>207</v>
      </c>
      <c r="I160" t="s">
        <v>260</v>
      </c>
      <c r="J160" t="s">
        <v>460</v>
      </c>
      <c r="K160" t="s">
        <v>284</v>
      </c>
      <c r="L160" t="s">
        <v>285</v>
      </c>
      <c r="M160" t="s">
        <v>461</v>
      </c>
      <c r="N160" t="s">
        <v>474</v>
      </c>
      <c r="O160" t="s">
        <v>267</v>
      </c>
      <c r="P160" t="s">
        <v>397</v>
      </c>
      <c r="Q160" t="s">
        <v>475</v>
      </c>
      <c r="R160">
        <v>61</v>
      </c>
      <c r="S160">
        <v>40</v>
      </c>
      <c r="T160">
        <v>107</v>
      </c>
      <c r="U160">
        <v>-1</v>
      </c>
      <c r="V160" s="12" t="b">
        <v>0</v>
      </c>
      <c r="W160" t="s">
        <v>298</v>
      </c>
      <c r="X160" t="s">
        <v>401</v>
      </c>
      <c r="Y160" t="s">
        <v>272</v>
      </c>
      <c r="Z160">
        <v>0.85</v>
      </c>
      <c r="AA160">
        <v>0.85</v>
      </c>
      <c r="AS160">
        <f t="shared" si="70"/>
        <v>10</v>
      </c>
      <c r="AT160" t="s">
        <v>273</v>
      </c>
      <c r="AU160" t="str">
        <f t="shared" si="72"/>
        <v>SSA_GFX_RASTER_E_BEGIN_TITO_SAPS_NOM_LFM_0200_IPU2_RASTER_BTRS_BP3</v>
      </c>
      <c r="AV160" t="str">
        <f t="shared" ref="AV160:BD160" si="78">$D162</f>
        <v>LSA_GFX_HRY_E_BEGIN_TITO_SAPS_NOM_LFM_0200_IPU_BUTTRESS_BHRY_BTRS_BP4</v>
      </c>
      <c r="AW160" t="str">
        <f t="shared" si="78"/>
        <v>LSA_GFX_HRY_E_BEGIN_TITO_SAPS_NOM_LFM_0200_IPU_BUTTRESS_BHRY_BTRS_BP4</v>
      </c>
      <c r="AX160" t="str">
        <f t="shared" si="78"/>
        <v>LSA_GFX_HRY_E_BEGIN_TITO_SAPS_NOM_LFM_0200_IPU_BUTTRESS_BHRY_BTRS_BP4</v>
      </c>
      <c r="AY160" t="str">
        <f t="shared" si="78"/>
        <v>LSA_GFX_HRY_E_BEGIN_TITO_SAPS_NOM_LFM_0200_IPU_BUTTRESS_BHRY_BTRS_BP4</v>
      </c>
      <c r="AZ160" t="str">
        <f t="shared" si="78"/>
        <v>LSA_GFX_HRY_E_BEGIN_TITO_SAPS_NOM_LFM_0200_IPU_BUTTRESS_BHRY_BTRS_BP4</v>
      </c>
      <c r="BA160" t="str">
        <f t="shared" si="78"/>
        <v>LSA_GFX_HRY_E_BEGIN_TITO_SAPS_NOM_LFM_0200_IPU_BUTTRESS_BHRY_BTRS_BP4</v>
      </c>
      <c r="BB160" t="str">
        <f t="shared" si="78"/>
        <v>LSA_GFX_HRY_E_BEGIN_TITO_SAPS_NOM_LFM_0200_IPU_BUTTRESS_BHRY_BTRS_BP4</v>
      </c>
      <c r="BC160" t="str">
        <f t="shared" si="78"/>
        <v>LSA_GFX_HRY_E_BEGIN_TITO_SAPS_NOM_LFM_0200_IPU_BUTTRESS_BHRY_BTRS_BP4</v>
      </c>
      <c r="BD160" t="str">
        <f t="shared" si="78"/>
        <v>LSA_GFX_HRY_E_BEGIN_TITO_SAPS_NOM_LFM_0200_IPU_BUTTRESS_BHRY_BTRS_BP4</v>
      </c>
    </row>
    <row r="161" spans="1:56" x14ac:dyDescent="0.35">
      <c r="A161" s="7" t="s">
        <v>12</v>
      </c>
      <c r="B161" s="7" t="s">
        <v>56</v>
      </c>
      <c r="C161" s="7" t="str">
        <f>VLOOKUP(B161,templateLookup!A:B,2,0)</f>
        <v>MbistRasterTC</v>
      </c>
      <c r="D161" t="str">
        <f t="shared" si="71"/>
        <v>SSA_GFX_RASTER_E_BEGIN_TITO_SAPS_NOM_LFM_0200_IPU2_RASTER_BTRS_BP3</v>
      </c>
      <c r="E161" t="s">
        <v>4</v>
      </c>
      <c r="F161" t="s">
        <v>251</v>
      </c>
      <c r="G161" t="s">
        <v>289</v>
      </c>
      <c r="H161" t="s">
        <v>207</v>
      </c>
      <c r="I161" t="s">
        <v>260</v>
      </c>
      <c r="J161" t="s">
        <v>460</v>
      </c>
      <c r="K161" t="s">
        <v>284</v>
      </c>
      <c r="L161" t="s">
        <v>285</v>
      </c>
      <c r="M161" t="s">
        <v>461</v>
      </c>
      <c r="N161" t="s">
        <v>476</v>
      </c>
      <c r="O161" t="s">
        <v>267</v>
      </c>
      <c r="P161" t="s">
        <v>397</v>
      </c>
      <c r="Q161" t="s">
        <v>291</v>
      </c>
      <c r="R161">
        <v>61</v>
      </c>
      <c r="S161">
        <v>40</v>
      </c>
      <c r="T161">
        <v>108</v>
      </c>
      <c r="U161">
        <v>1</v>
      </c>
      <c r="V161" s="12" t="b">
        <v>0</v>
      </c>
      <c r="W161" t="s">
        <v>298</v>
      </c>
      <c r="AS161">
        <f t="shared" si="70"/>
        <v>5</v>
      </c>
      <c r="AT161">
        <v>1</v>
      </c>
      <c r="AU161" t="str">
        <f t="shared" si="72"/>
        <v>LSA_GFX_HRY_E_BEGIN_TITO_SAPS_NOM_LFM_0200_IPU_BUTTRESS_BHRY_BTRS_BP4</v>
      </c>
      <c r="AV161" t="str">
        <f>$D162</f>
        <v>LSA_GFX_HRY_E_BEGIN_TITO_SAPS_NOM_LFM_0200_IPU_BUTTRESS_BHRY_BTRS_BP4</v>
      </c>
      <c r="AW161" t="str">
        <f>$D162</f>
        <v>LSA_GFX_HRY_E_BEGIN_TITO_SAPS_NOM_LFM_0200_IPU_BUTTRESS_BHRY_BTRS_BP4</v>
      </c>
      <c r="AX161" t="str">
        <f>$D162</f>
        <v>LSA_GFX_HRY_E_BEGIN_TITO_SAPS_NOM_LFM_0200_IPU_BUTTRESS_BHRY_BTRS_BP4</v>
      </c>
      <c r="AY161" t="str">
        <f>$D162</f>
        <v>LSA_GFX_HRY_E_BEGIN_TITO_SAPS_NOM_LFM_0200_IPU_BUTTRESS_BHRY_BTRS_BP4</v>
      </c>
    </row>
    <row r="162" spans="1:56" x14ac:dyDescent="0.35">
      <c r="A162" s="7" t="s">
        <v>12</v>
      </c>
      <c r="B162" s="7" t="s">
        <v>54</v>
      </c>
      <c r="C162" s="7" t="str">
        <f>VLOOKUP(B162,templateLookup!A:B,2,0)</f>
        <v>PrimeMbistVminSearchTestMethod</v>
      </c>
      <c r="D162" t="str">
        <f t="shared" si="71"/>
        <v>LSA_GFX_HRY_E_BEGIN_TITO_SAPS_NOM_LFM_0200_IPU_BUTTRESS_BHRY_BTRS_BP4</v>
      </c>
      <c r="E162" t="s">
        <v>5</v>
      </c>
      <c r="F162" t="s">
        <v>251</v>
      </c>
      <c r="G162" t="s">
        <v>271</v>
      </c>
      <c r="H162" t="s">
        <v>207</v>
      </c>
      <c r="I162" t="s">
        <v>260</v>
      </c>
      <c r="J162" t="s">
        <v>460</v>
      </c>
      <c r="K162" t="s">
        <v>284</v>
      </c>
      <c r="L162" t="s">
        <v>285</v>
      </c>
      <c r="M162" t="s">
        <v>461</v>
      </c>
      <c r="N162" t="s">
        <v>477</v>
      </c>
      <c r="O162" t="s">
        <v>267</v>
      </c>
      <c r="P162" t="s">
        <v>397</v>
      </c>
      <c r="Q162" t="s">
        <v>478</v>
      </c>
      <c r="R162">
        <v>21</v>
      </c>
      <c r="S162">
        <v>40</v>
      </c>
      <c r="T162">
        <v>109</v>
      </c>
      <c r="U162">
        <v>-1</v>
      </c>
      <c r="V162" s="12" t="b">
        <v>0</v>
      </c>
      <c r="W162" t="s">
        <v>298</v>
      </c>
      <c r="X162" t="s">
        <v>271</v>
      </c>
      <c r="Y162" t="s">
        <v>272</v>
      </c>
      <c r="Z162">
        <v>0.85</v>
      </c>
      <c r="AA162">
        <v>0.85</v>
      </c>
      <c r="AS162">
        <f t="shared" si="70"/>
        <v>10</v>
      </c>
      <c r="AT162" t="s">
        <v>273</v>
      </c>
      <c r="AU162" t="str">
        <f t="shared" si="72"/>
        <v>LSA_GFX_HRY_E_BEGIN_TITO_SAPS_NOM_LFM_0200_IPU_BUTTRESS_BISR_BTRS_BP4</v>
      </c>
      <c r="AV162" t="str">
        <f>$D165</f>
        <v>LSA_GFX_HRY_E_BEGIN_TITO_SAPS_NOM_LFM_0200_IPU0_BHRY_BTRS_BP5</v>
      </c>
      <c r="AW162" t="str">
        <f t="shared" ref="AW162:BB162" si="79">$D163</f>
        <v>LSA_GFX_HRY_E_BEGIN_TITO_SAPS_NOM_LFM_0200_IPU_BUTTRESS_BISR_BTRS_BP4</v>
      </c>
      <c r="AX162" t="str">
        <f t="shared" si="79"/>
        <v>LSA_GFX_HRY_E_BEGIN_TITO_SAPS_NOM_LFM_0200_IPU_BUTTRESS_BISR_BTRS_BP4</v>
      </c>
      <c r="AY162" t="str">
        <f t="shared" si="79"/>
        <v>LSA_GFX_HRY_E_BEGIN_TITO_SAPS_NOM_LFM_0200_IPU_BUTTRESS_BISR_BTRS_BP4</v>
      </c>
      <c r="AZ162" t="str">
        <f t="shared" si="79"/>
        <v>LSA_GFX_HRY_E_BEGIN_TITO_SAPS_NOM_LFM_0200_IPU_BUTTRESS_BISR_BTRS_BP4</v>
      </c>
      <c r="BA162" t="str">
        <f t="shared" si="79"/>
        <v>LSA_GFX_HRY_E_BEGIN_TITO_SAPS_NOM_LFM_0200_IPU_BUTTRESS_BISR_BTRS_BP4</v>
      </c>
      <c r="BB162" t="str">
        <f t="shared" si="79"/>
        <v>LSA_GFX_HRY_E_BEGIN_TITO_SAPS_NOM_LFM_0200_IPU_BUTTRESS_BISR_BTRS_BP4</v>
      </c>
      <c r="BC162" t="str">
        <f>$D165</f>
        <v>LSA_GFX_HRY_E_BEGIN_TITO_SAPS_NOM_LFM_0200_IPU0_BHRY_BTRS_BP5</v>
      </c>
      <c r="BD162" t="str">
        <f>$D163</f>
        <v>LSA_GFX_HRY_E_BEGIN_TITO_SAPS_NOM_LFM_0200_IPU_BUTTRESS_BISR_BTRS_BP4</v>
      </c>
    </row>
    <row r="163" spans="1:56" x14ac:dyDescent="0.35">
      <c r="A163" s="7" t="s">
        <v>12</v>
      </c>
      <c r="B163" s="7" t="s">
        <v>54</v>
      </c>
      <c r="C163" s="7" t="str">
        <f>VLOOKUP(B163,templateLookup!A:B,2,0)</f>
        <v>PrimeMbistVminSearchTestMethod</v>
      </c>
      <c r="D163" t="str">
        <f t="shared" si="71"/>
        <v>LSA_GFX_HRY_E_BEGIN_TITO_SAPS_NOM_LFM_0200_IPU_BUTTRESS_BISR_BTRS_BP4</v>
      </c>
      <c r="E163" t="s">
        <v>5</v>
      </c>
      <c r="F163" t="s">
        <v>251</v>
      </c>
      <c r="G163" t="s">
        <v>271</v>
      </c>
      <c r="H163" t="s">
        <v>207</v>
      </c>
      <c r="I163" t="s">
        <v>260</v>
      </c>
      <c r="J163" t="s">
        <v>460</v>
      </c>
      <c r="K163" t="s">
        <v>284</v>
      </c>
      <c r="L163" t="s">
        <v>285</v>
      </c>
      <c r="M163" t="s">
        <v>461</v>
      </c>
      <c r="N163" t="s">
        <v>479</v>
      </c>
      <c r="O163" t="s">
        <v>267</v>
      </c>
      <c r="P163" t="s">
        <v>397</v>
      </c>
      <c r="Q163" t="s">
        <v>480</v>
      </c>
      <c r="R163">
        <v>21</v>
      </c>
      <c r="S163">
        <v>40</v>
      </c>
      <c r="T163">
        <v>110</v>
      </c>
      <c r="U163">
        <v>-1</v>
      </c>
      <c r="V163" s="12" t="b">
        <v>0</v>
      </c>
      <c r="W163" t="s">
        <v>298</v>
      </c>
      <c r="X163" t="s">
        <v>401</v>
      </c>
      <c r="Y163" t="s">
        <v>272</v>
      </c>
      <c r="Z163">
        <v>0.85</v>
      </c>
      <c r="AA163">
        <v>0.85</v>
      </c>
      <c r="AS163">
        <f t="shared" si="70"/>
        <v>10</v>
      </c>
      <c r="AT163" t="s">
        <v>273</v>
      </c>
      <c r="AU163" t="str">
        <f t="shared" si="72"/>
        <v>LSA_GFX_RASTER_E_BEGIN_TITO_SAPS_NOM_LFM_0200_IPU_BUTTRESS_RASTER_BTRS_BP4</v>
      </c>
      <c r="AV163" t="str">
        <f t="shared" ref="AV163:BD163" si="80">$D165</f>
        <v>LSA_GFX_HRY_E_BEGIN_TITO_SAPS_NOM_LFM_0200_IPU0_BHRY_BTRS_BP5</v>
      </c>
      <c r="AW163" t="str">
        <f t="shared" si="80"/>
        <v>LSA_GFX_HRY_E_BEGIN_TITO_SAPS_NOM_LFM_0200_IPU0_BHRY_BTRS_BP5</v>
      </c>
      <c r="AX163" t="str">
        <f t="shared" si="80"/>
        <v>LSA_GFX_HRY_E_BEGIN_TITO_SAPS_NOM_LFM_0200_IPU0_BHRY_BTRS_BP5</v>
      </c>
      <c r="AY163" t="str">
        <f t="shared" si="80"/>
        <v>LSA_GFX_HRY_E_BEGIN_TITO_SAPS_NOM_LFM_0200_IPU0_BHRY_BTRS_BP5</v>
      </c>
      <c r="AZ163" t="str">
        <f t="shared" si="80"/>
        <v>LSA_GFX_HRY_E_BEGIN_TITO_SAPS_NOM_LFM_0200_IPU0_BHRY_BTRS_BP5</v>
      </c>
      <c r="BA163" t="str">
        <f t="shared" si="80"/>
        <v>LSA_GFX_HRY_E_BEGIN_TITO_SAPS_NOM_LFM_0200_IPU0_BHRY_BTRS_BP5</v>
      </c>
      <c r="BB163" t="str">
        <f t="shared" si="80"/>
        <v>LSA_GFX_HRY_E_BEGIN_TITO_SAPS_NOM_LFM_0200_IPU0_BHRY_BTRS_BP5</v>
      </c>
      <c r="BC163" t="str">
        <f t="shared" si="80"/>
        <v>LSA_GFX_HRY_E_BEGIN_TITO_SAPS_NOM_LFM_0200_IPU0_BHRY_BTRS_BP5</v>
      </c>
      <c r="BD163" t="str">
        <f t="shared" si="80"/>
        <v>LSA_GFX_HRY_E_BEGIN_TITO_SAPS_NOM_LFM_0200_IPU0_BHRY_BTRS_BP5</v>
      </c>
    </row>
    <row r="164" spans="1:56" x14ac:dyDescent="0.35">
      <c r="A164" s="7" t="s">
        <v>12</v>
      </c>
      <c r="B164" s="7" t="s">
        <v>56</v>
      </c>
      <c r="C164" s="7" t="str">
        <f>VLOOKUP(B164,templateLookup!A:B,2,0)</f>
        <v>MbistRasterTC</v>
      </c>
      <c r="D164" t="str">
        <f t="shared" si="71"/>
        <v>LSA_GFX_RASTER_E_BEGIN_TITO_SAPS_NOM_LFM_0200_IPU_BUTTRESS_RASTER_BTRS_BP4</v>
      </c>
      <c r="E164" t="s">
        <v>5</v>
      </c>
      <c r="F164" t="s">
        <v>251</v>
      </c>
      <c r="G164" t="s">
        <v>289</v>
      </c>
      <c r="H164" t="s">
        <v>207</v>
      </c>
      <c r="I164" t="s">
        <v>260</v>
      </c>
      <c r="J164" t="s">
        <v>460</v>
      </c>
      <c r="K164" t="s">
        <v>284</v>
      </c>
      <c r="L164" t="s">
        <v>285</v>
      </c>
      <c r="M164" t="s">
        <v>461</v>
      </c>
      <c r="N164" t="s">
        <v>481</v>
      </c>
      <c r="O164" t="s">
        <v>267</v>
      </c>
      <c r="P164" t="s">
        <v>397</v>
      </c>
      <c r="Q164" t="s">
        <v>291</v>
      </c>
      <c r="R164">
        <v>21</v>
      </c>
      <c r="S164">
        <v>40</v>
      </c>
      <c r="T164">
        <v>111</v>
      </c>
      <c r="U164">
        <v>1</v>
      </c>
      <c r="V164" s="12" t="b">
        <v>0</v>
      </c>
      <c r="W164" t="s">
        <v>298</v>
      </c>
      <c r="AS164">
        <f t="shared" si="70"/>
        <v>5</v>
      </c>
      <c r="AT164">
        <v>1</v>
      </c>
      <c r="AU164" t="str">
        <f t="shared" si="72"/>
        <v>LSA_GFX_HRY_E_BEGIN_TITO_SAPS_NOM_LFM_0200_IPU0_BHRY_BTRS_BP5</v>
      </c>
      <c r="AV164" t="str">
        <f>$D165</f>
        <v>LSA_GFX_HRY_E_BEGIN_TITO_SAPS_NOM_LFM_0200_IPU0_BHRY_BTRS_BP5</v>
      </c>
      <c r="AW164" t="str">
        <f>$D165</f>
        <v>LSA_GFX_HRY_E_BEGIN_TITO_SAPS_NOM_LFM_0200_IPU0_BHRY_BTRS_BP5</v>
      </c>
      <c r="AX164" t="str">
        <f>$D165</f>
        <v>LSA_GFX_HRY_E_BEGIN_TITO_SAPS_NOM_LFM_0200_IPU0_BHRY_BTRS_BP5</v>
      </c>
      <c r="AY164" t="str">
        <f>$D165</f>
        <v>LSA_GFX_HRY_E_BEGIN_TITO_SAPS_NOM_LFM_0200_IPU0_BHRY_BTRS_BP5</v>
      </c>
    </row>
    <row r="165" spans="1:56" x14ac:dyDescent="0.35">
      <c r="A165" s="7" t="s">
        <v>12</v>
      </c>
      <c r="B165" s="7" t="s">
        <v>54</v>
      </c>
      <c r="C165" s="7" t="str">
        <f>VLOOKUP(B165,templateLookup!A:B,2,0)</f>
        <v>PrimeMbistVminSearchTestMethod</v>
      </c>
      <c r="D165" t="str">
        <f t="shared" si="71"/>
        <v>LSA_GFX_HRY_E_BEGIN_TITO_SAPS_NOM_LFM_0200_IPU0_BHRY_BTRS_BP5</v>
      </c>
      <c r="E165" t="s">
        <v>5</v>
      </c>
      <c r="F165" t="s">
        <v>251</v>
      </c>
      <c r="G165" t="s">
        <v>271</v>
      </c>
      <c r="H165" t="s">
        <v>207</v>
      </c>
      <c r="I165" t="s">
        <v>260</v>
      </c>
      <c r="J165" t="s">
        <v>460</v>
      </c>
      <c r="K165" t="s">
        <v>284</v>
      </c>
      <c r="L165" t="s">
        <v>285</v>
      </c>
      <c r="M165" t="s">
        <v>461</v>
      </c>
      <c r="N165" t="s">
        <v>462</v>
      </c>
      <c r="O165" t="s">
        <v>267</v>
      </c>
      <c r="P165" t="s">
        <v>397</v>
      </c>
      <c r="Q165" t="s">
        <v>482</v>
      </c>
      <c r="R165">
        <v>21</v>
      </c>
      <c r="S165">
        <v>40</v>
      </c>
      <c r="T165">
        <v>112</v>
      </c>
      <c r="U165">
        <v>-1</v>
      </c>
      <c r="V165" s="12" t="b">
        <v>0</v>
      </c>
      <c r="W165" t="s">
        <v>298</v>
      </c>
      <c r="X165" t="s">
        <v>271</v>
      </c>
      <c r="Y165" t="s">
        <v>272</v>
      </c>
      <c r="Z165">
        <v>0.85</v>
      </c>
      <c r="AA165">
        <v>0.85</v>
      </c>
      <c r="AS165">
        <f t="shared" si="70"/>
        <v>10</v>
      </c>
      <c r="AT165" t="s">
        <v>273</v>
      </c>
      <c r="AU165" t="str">
        <f>$D167</f>
        <v>LSA_GFX_RASTER_E_BEGIN_TITO_SAPS_NOM_LFM_0200_IPU0_RASTER_BTRS_BP5</v>
      </c>
      <c r="AV165" t="str">
        <f>$D168</f>
        <v>LSA_GFX_HRY_E_BEGIN_TITO_SAPS_NOM_LFM_0200_IPU1_BHRY_BTRS_BP6</v>
      </c>
      <c r="AW165" t="str">
        <f t="shared" ref="AW165:BB165" si="81">$D167</f>
        <v>LSA_GFX_RASTER_E_BEGIN_TITO_SAPS_NOM_LFM_0200_IPU0_RASTER_BTRS_BP5</v>
      </c>
      <c r="AX165" t="str">
        <f t="shared" si="81"/>
        <v>LSA_GFX_RASTER_E_BEGIN_TITO_SAPS_NOM_LFM_0200_IPU0_RASTER_BTRS_BP5</v>
      </c>
      <c r="AY165" t="str">
        <f t="shared" si="81"/>
        <v>LSA_GFX_RASTER_E_BEGIN_TITO_SAPS_NOM_LFM_0200_IPU0_RASTER_BTRS_BP5</v>
      </c>
      <c r="AZ165" t="str">
        <f t="shared" si="81"/>
        <v>LSA_GFX_RASTER_E_BEGIN_TITO_SAPS_NOM_LFM_0200_IPU0_RASTER_BTRS_BP5</v>
      </c>
      <c r="BA165" t="str">
        <f t="shared" si="81"/>
        <v>LSA_GFX_RASTER_E_BEGIN_TITO_SAPS_NOM_LFM_0200_IPU0_RASTER_BTRS_BP5</v>
      </c>
      <c r="BB165" t="str">
        <f t="shared" si="81"/>
        <v>LSA_GFX_RASTER_E_BEGIN_TITO_SAPS_NOM_LFM_0200_IPU0_RASTER_BTRS_BP5</v>
      </c>
      <c r="BC165" t="str">
        <f>$D168</f>
        <v>LSA_GFX_HRY_E_BEGIN_TITO_SAPS_NOM_LFM_0200_IPU1_BHRY_BTRS_BP6</v>
      </c>
      <c r="BD165" t="str">
        <f>$D167</f>
        <v>LSA_GFX_RASTER_E_BEGIN_TITO_SAPS_NOM_LFM_0200_IPU0_RASTER_BTRS_BP5</v>
      </c>
    </row>
    <row r="166" spans="1:56" x14ac:dyDescent="0.35">
      <c r="A166" s="7" t="s">
        <v>12</v>
      </c>
      <c r="B166" s="7" t="s">
        <v>54</v>
      </c>
      <c r="C166" s="7" t="str">
        <f>VLOOKUP(B166,templateLookup!A:B,2,0)</f>
        <v>PrimeMbistVminSearchTestMethod</v>
      </c>
      <c r="D166" t="str">
        <f t="shared" si="71"/>
        <v>LSA_GFX_HRY_E_BEGIN_TITO_SAPS_NOM_LFM_0200_IPU0_BISR_BTRS_BP5</v>
      </c>
      <c r="E166" t="s">
        <v>5</v>
      </c>
      <c r="F166" t="s">
        <v>251</v>
      </c>
      <c r="G166" t="s">
        <v>271</v>
      </c>
      <c r="H166" t="s">
        <v>207</v>
      </c>
      <c r="I166" t="s">
        <v>260</v>
      </c>
      <c r="J166" t="s">
        <v>460</v>
      </c>
      <c r="K166" t="s">
        <v>284</v>
      </c>
      <c r="L166" t="s">
        <v>285</v>
      </c>
      <c r="M166" t="s">
        <v>461</v>
      </c>
      <c r="N166" t="s">
        <v>464</v>
      </c>
      <c r="O166" t="s">
        <v>267</v>
      </c>
      <c r="P166" t="s">
        <v>397</v>
      </c>
      <c r="Q166" t="s">
        <v>483</v>
      </c>
      <c r="R166">
        <v>21</v>
      </c>
      <c r="S166">
        <v>40</v>
      </c>
      <c r="T166">
        <v>113</v>
      </c>
      <c r="U166">
        <v>-1</v>
      </c>
      <c r="V166" s="12" t="b">
        <v>0</v>
      </c>
      <c r="W166" t="s">
        <v>298</v>
      </c>
      <c r="X166" t="s">
        <v>401</v>
      </c>
      <c r="Y166" t="s">
        <v>272</v>
      </c>
      <c r="Z166">
        <v>0.85</v>
      </c>
      <c r="AA166">
        <v>0.85</v>
      </c>
      <c r="AS166">
        <f t="shared" si="70"/>
        <v>10</v>
      </c>
      <c r="AT166" t="s">
        <v>273</v>
      </c>
      <c r="AU166" t="str">
        <f>$D168</f>
        <v>LSA_GFX_HRY_E_BEGIN_TITO_SAPS_NOM_LFM_0200_IPU1_BHRY_BTRS_BP6</v>
      </c>
      <c r="AV166" t="str">
        <f t="shared" ref="AV166:BD166" si="82">$D168</f>
        <v>LSA_GFX_HRY_E_BEGIN_TITO_SAPS_NOM_LFM_0200_IPU1_BHRY_BTRS_BP6</v>
      </c>
      <c r="AW166" t="str">
        <f t="shared" si="82"/>
        <v>LSA_GFX_HRY_E_BEGIN_TITO_SAPS_NOM_LFM_0200_IPU1_BHRY_BTRS_BP6</v>
      </c>
      <c r="AX166" t="str">
        <f t="shared" si="82"/>
        <v>LSA_GFX_HRY_E_BEGIN_TITO_SAPS_NOM_LFM_0200_IPU1_BHRY_BTRS_BP6</v>
      </c>
      <c r="AY166" t="str">
        <f t="shared" si="82"/>
        <v>LSA_GFX_HRY_E_BEGIN_TITO_SAPS_NOM_LFM_0200_IPU1_BHRY_BTRS_BP6</v>
      </c>
      <c r="AZ166" t="str">
        <f t="shared" si="82"/>
        <v>LSA_GFX_HRY_E_BEGIN_TITO_SAPS_NOM_LFM_0200_IPU1_BHRY_BTRS_BP6</v>
      </c>
      <c r="BA166" t="str">
        <f t="shared" si="82"/>
        <v>LSA_GFX_HRY_E_BEGIN_TITO_SAPS_NOM_LFM_0200_IPU1_BHRY_BTRS_BP6</v>
      </c>
      <c r="BB166" t="str">
        <f t="shared" si="82"/>
        <v>LSA_GFX_HRY_E_BEGIN_TITO_SAPS_NOM_LFM_0200_IPU1_BHRY_BTRS_BP6</v>
      </c>
      <c r="BC166" t="str">
        <f t="shared" si="82"/>
        <v>LSA_GFX_HRY_E_BEGIN_TITO_SAPS_NOM_LFM_0200_IPU1_BHRY_BTRS_BP6</v>
      </c>
      <c r="BD166" t="str">
        <f t="shared" si="82"/>
        <v>LSA_GFX_HRY_E_BEGIN_TITO_SAPS_NOM_LFM_0200_IPU1_BHRY_BTRS_BP6</v>
      </c>
    </row>
    <row r="167" spans="1:56" x14ac:dyDescent="0.35">
      <c r="A167" s="7" t="s">
        <v>12</v>
      </c>
      <c r="B167" s="7" t="s">
        <v>56</v>
      </c>
      <c r="C167" s="7" t="str">
        <f>VLOOKUP(B167,templateLookup!A:B,2,0)</f>
        <v>MbistRasterTC</v>
      </c>
      <c r="D167" s="46" t="str">
        <f t="shared" si="71"/>
        <v>LSA_GFX_RASTER_E_BEGIN_TITO_SAPS_NOM_LFM_0200_IPU0_RASTER_BTRS_BP5</v>
      </c>
      <c r="E167" t="s">
        <v>5</v>
      </c>
      <c r="F167" t="s">
        <v>251</v>
      </c>
      <c r="G167" t="s">
        <v>289</v>
      </c>
      <c r="H167" t="s">
        <v>207</v>
      </c>
      <c r="I167" t="s">
        <v>260</v>
      </c>
      <c r="J167" t="s">
        <v>460</v>
      </c>
      <c r="K167" t="s">
        <v>284</v>
      </c>
      <c r="L167" t="s">
        <v>285</v>
      </c>
      <c r="M167" t="s">
        <v>461</v>
      </c>
      <c r="N167" t="s">
        <v>466</v>
      </c>
      <c r="O167" t="s">
        <v>267</v>
      </c>
      <c r="P167" t="s">
        <v>397</v>
      </c>
      <c r="Q167" t="s">
        <v>484</v>
      </c>
      <c r="R167">
        <v>21</v>
      </c>
      <c r="S167">
        <v>40</v>
      </c>
      <c r="T167">
        <v>114</v>
      </c>
      <c r="U167">
        <v>-1</v>
      </c>
      <c r="V167" s="12" t="b">
        <v>0</v>
      </c>
      <c r="W167" t="s">
        <v>298</v>
      </c>
      <c r="AS167">
        <f t="shared" si="70"/>
        <v>5</v>
      </c>
      <c r="AT167">
        <v>1</v>
      </c>
      <c r="AU167" t="str">
        <f>$D166</f>
        <v>LSA_GFX_HRY_E_BEGIN_TITO_SAPS_NOM_LFM_0200_IPU0_BISR_BTRS_BP5</v>
      </c>
      <c r="AV167" t="str">
        <f t="shared" ref="AV167:AY167" si="83">$D166</f>
        <v>LSA_GFX_HRY_E_BEGIN_TITO_SAPS_NOM_LFM_0200_IPU0_BISR_BTRS_BP5</v>
      </c>
      <c r="AW167" t="str">
        <f t="shared" si="83"/>
        <v>LSA_GFX_HRY_E_BEGIN_TITO_SAPS_NOM_LFM_0200_IPU0_BISR_BTRS_BP5</v>
      </c>
      <c r="AX167" t="str">
        <f t="shared" si="83"/>
        <v>LSA_GFX_HRY_E_BEGIN_TITO_SAPS_NOM_LFM_0200_IPU0_BISR_BTRS_BP5</v>
      </c>
      <c r="AY167" t="str">
        <f t="shared" si="83"/>
        <v>LSA_GFX_HRY_E_BEGIN_TITO_SAPS_NOM_LFM_0200_IPU0_BISR_BTRS_BP5</v>
      </c>
    </row>
    <row r="168" spans="1:56" x14ac:dyDescent="0.35">
      <c r="A168" s="7" t="s">
        <v>12</v>
      </c>
      <c r="B168" s="7" t="s">
        <v>54</v>
      </c>
      <c r="C168" s="7" t="str">
        <f>VLOOKUP(B168,templateLookup!A:B,2,0)</f>
        <v>PrimeMbistVminSearchTestMethod</v>
      </c>
      <c r="D168" t="str">
        <f t="shared" si="71"/>
        <v>LSA_GFX_HRY_E_BEGIN_TITO_SAPS_NOM_LFM_0200_IPU1_BHRY_BTRS_BP6</v>
      </c>
      <c r="E168" t="s">
        <v>5</v>
      </c>
      <c r="F168" t="s">
        <v>251</v>
      </c>
      <c r="G168" t="s">
        <v>271</v>
      </c>
      <c r="H168" t="s">
        <v>207</v>
      </c>
      <c r="I168" t="s">
        <v>260</v>
      </c>
      <c r="J168" t="s">
        <v>460</v>
      </c>
      <c r="K168" t="s">
        <v>284</v>
      </c>
      <c r="L168" t="s">
        <v>285</v>
      </c>
      <c r="M168" t="s">
        <v>461</v>
      </c>
      <c r="N168" t="s">
        <v>467</v>
      </c>
      <c r="O168" t="s">
        <v>267</v>
      </c>
      <c r="P168" t="s">
        <v>397</v>
      </c>
      <c r="Q168" t="s">
        <v>485</v>
      </c>
      <c r="R168">
        <v>21</v>
      </c>
      <c r="S168">
        <v>40</v>
      </c>
      <c r="T168">
        <v>115</v>
      </c>
      <c r="U168">
        <v>-1</v>
      </c>
      <c r="V168" s="12" t="b">
        <v>0</v>
      </c>
      <c r="W168" t="s">
        <v>298</v>
      </c>
      <c r="X168" t="s">
        <v>271</v>
      </c>
      <c r="Y168" t="s">
        <v>272</v>
      </c>
      <c r="Z168">
        <v>0.85</v>
      </c>
      <c r="AA168">
        <v>0.85</v>
      </c>
      <c r="AS168">
        <f t="shared" si="70"/>
        <v>10</v>
      </c>
      <c r="AT168" t="s">
        <v>273</v>
      </c>
      <c r="AU168" t="str">
        <f t="shared" si="72"/>
        <v>LSA_GFX_HRY_E_BEGIN_TITO_SAPS_NOM_LFM_0200_IPU1_BISR_BTRS_BP6</v>
      </c>
      <c r="AV168" t="str">
        <f>$D171</f>
        <v>LSA_GFX_HRY_E_BEGIN_TITO_SAPS_NOM_LFM_0200_IPU2_BHRY_BTRS_BP3</v>
      </c>
      <c r="AW168" t="str">
        <f t="shared" ref="AW168:BB168" si="84">$D169</f>
        <v>LSA_GFX_HRY_E_BEGIN_TITO_SAPS_NOM_LFM_0200_IPU1_BISR_BTRS_BP6</v>
      </c>
      <c r="AX168" t="str">
        <f t="shared" si="84"/>
        <v>LSA_GFX_HRY_E_BEGIN_TITO_SAPS_NOM_LFM_0200_IPU1_BISR_BTRS_BP6</v>
      </c>
      <c r="AY168" t="str">
        <f t="shared" si="84"/>
        <v>LSA_GFX_HRY_E_BEGIN_TITO_SAPS_NOM_LFM_0200_IPU1_BISR_BTRS_BP6</v>
      </c>
      <c r="AZ168" t="str">
        <f t="shared" si="84"/>
        <v>LSA_GFX_HRY_E_BEGIN_TITO_SAPS_NOM_LFM_0200_IPU1_BISR_BTRS_BP6</v>
      </c>
      <c r="BA168" t="str">
        <f t="shared" si="84"/>
        <v>LSA_GFX_HRY_E_BEGIN_TITO_SAPS_NOM_LFM_0200_IPU1_BISR_BTRS_BP6</v>
      </c>
      <c r="BB168" t="str">
        <f t="shared" si="84"/>
        <v>LSA_GFX_HRY_E_BEGIN_TITO_SAPS_NOM_LFM_0200_IPU1_BISR_BTRS_BP6</v>
      </c>
      <c r="BC168" t="str">
        <f>$D171</f>
        <v>LSA_GFX_HRY_E_BEGIN_TITO_SAPS_NOM_LFM_0200_IPU2_BHRY_BTRS_BP3</v>
      </c>
      <c r="BD168" t="str">
        <f>$D169</f>
        <v>LSA_GFX_HRY_E_BEGIN_TITO_SAPS_NOM_LFM_0200_IPU1_BISR_BTRS_BP6</v>
      </c>
    </row>
    <row r="169" spans="1:56" x14ac:dyDescent="0.35">
      <c r="A169" s="7" t="s">
        <v>12</v>
      </c>
      <c r="B169" s="7" t="s">
        <v>54</v>
      </c>
      <c r="C169" s="7" t="str">
        <f>VLOOKUP(B169,templateLookup!A:B,2,0)</f>
        <v>PrimeMbistVminSearchTestMethod</v>
      </c>
      <c r="D169" t="str">
        <f t="shared" si="71"/>
        <v>LSA_GFX_HRY_E_BEGIN_TITO_SAPS_NOM_LFM_0200_IPU1_BISR_BTRS_BP6</v>
      </c>
      <c r="E169" t="s">
        <v>5</v>
      </c>
      <c r="F169" t="s">
        <v>251</v>
      </c>
      <c r="G169" t="s">
        <v>271</v>
      </c>
      <c r="H169" t="s">
        <v>207</v>
      </c>
      <c r="I169" t="s">
        <v>260</v>
      </c>
      <c r="J169" t="s">
        <v>460</v>
      </c>
      <c r="K169" t="s">
        <v>284</v>
      </c>
      <c r="L169" t="s">
        <v>285</v>
      </c>
      <c r="M169" t="s">
        <v>461</v>
      </c>
      <c r="N169" t="s">
        <v>469</v>
      </c>
      <c r="O169" t="s">
        <v>267</v>
      </c>
      <c r="P169" t="s">
        <v>397</v>
      </c>
      <c r="Q169" t="s">
        <v>486</v>
      </c>
      <c r="R169">
        <v>21</v>
      </c>
      <c r="S169">
        <v>40</v>
      </c>
      <c r="T169">
        <v>116</v>
      </c>
      <c r="U169">
        <v>-1</v>
      </c>
      <c r="V169" s="12" t="b">
        <v>0</v>
      </c>
      <c r="W169" t="s">
        <v>298</v>
      </c>
      <c r="X169" t="s">
        <v>401</v>
      </c>
      <c r="Y169" t="s">
        <v>272</v>
      </c>
      <c r="Z169">
        <v>0.85</v>
      </c>
      <c r="AA169">
        <v>0.85</v>
      </c>
      <c r="AS169">
        <f t="shared" si="70"/>
        <v>10</v>
      </c>
      <c r="AT169" t="s">
        <v>273</v>
      </c>
      <c r="AU169" t="str">
        <f t="shared" si="72"/>
        <v>LSA_GFX_RASTER_E_BEGIN_TITO_SAPS_NOM_LFM_0200_IPU1_RASTER_BTRS_BP6</v>
      </c>
      <c r="AV169" t="str">
        <f t="shared" ref="AV169:BD169" si="85">$D171</f>
        <v>LSA_GFX_HRY_E_BEGIN_TITO_SAPS_NOM_LFM_0200_IPU2_BHRY_BTRS_BP3</v>
      </c>
      <c r="AW169" t="str">
        <f t="shared" si="85"/>
        <v>LSA_GFX_HRY_E_BEGIN_TITO_SAPS_NOM_LFM_0200_IPU2_BHRY_BTRS_BP3</v>
      </c>
      <c r="AX169" t="str">
        <f t="shared" si="85"/>
        <v>LSA_GFX_HRY_E_BEGIN_TITO_SAPS_NOM_LFM_0200_IPU2_BHRY_BTRS_BP3</v>
      </c>
      <c r="AY169" t="str">
        <f t="shared" si="85"/>
        <v>LSA_GFX_HRY_E_BEGIN_TITO_SAPS_NOM_LFM_0200_IPU2_BHRY_BTRS_BP3</v>
      </c>
      <c r="AZ169" t="str">
        <f t="shared" si="85"/>
        <v>LSA_GFX_HRY_E_BEGIN_TITO_SAPS_NOM_LFM_0200_IPU2_BHRY_BTRS_BP3</v>
      </c>
      <c r="BA169" t="str">
        <f t="shared" si="85"/>
        <v>LSA_GFX_HRY_E_BEGIN_TITO_SAPS_NOM_LFM_0200_IPU2_BHRY_BTRS_BP3</v>
      </c>
      <c r="BB169" t="str">
        <f t="shared" si="85"/>
        <v>LSA_GFX_HRY_E_BEGIN_TITO_SAPS_NOM_LFM_0200_IPU2_BHRY_BTRS_BP3</v>
      </c>
      <c r="BC169" t="str">
        <f t="shared" si="85"/>
        <v>LSA_GFX_HRY_E_BEGIN_TITO_SAPS_NOM_LFM_0200_IPU2_BHRY_BTRS_BP3</v>
      </c>
      <c r="BD169" t="str">
        <f t="shared" si="85"/>
        <v>LSA_GFX_HRY_E_BEGIN_TITO_SAPS_NOM_LFM_0200_IPU2_BHRY_BTRS_BP3</v>
      </c>
    </row>
    <row r="170" spans="1:56" x14ac:dyDescent="0.35">
      <c r="A170" s="7" t="s">
        <v>12</v>
      </c>
      <c r="B170" s="7" t="s">
        <v>56</v>
      </c>
      <c r="C170" s="7" t="str">
        <f>VLOOKUP(B170,templateLookup!A:B,2,0)</f>
        <v>MbistRasterTC</v>
      </c>
      <c r="D170" t="str">
        <f t="shared" si="71"/>
        <v>LSA_GFX_RASTER_E_BEGIN_TITO_SAPS_NOM_LFM_0200_IPU1_RASTER_BTRS_BP6</v>
      </c>
      <c r="E170" t="s">
        <v>5</v>
      </c>
      <c r="F170" t="s">
        <v>251</v>
      </c>
      <c r="G170" t="s">
        <v>289</v>
      </c>
      <c r="H170" t="s">
        <v>207</v>
      </c>
      <c r="I170" t="s">
        <v>260</v>
      </c>
      <c r="J170" t="s">
        <v>460</v>
      </c>
      <c r="K170" t="s">
        <v>284</v>
      </c>
      <c r="L170" t="s">
        <v>285</v>
      </c>
      <c r="M170" t="s">
        <v>461</v>
      </c>
      <c r="N170" t="s">
        <v>471</v>
      </c>
      <c r="O170" t="s">
        <v>267</v>
      </c>
      <c r="P170" t="s">
        <v>397</v>
      </c>
      <c r="Q170" t="s">
        <v>291</v>
      </c>
      <c r="R170">
        <v>21</v>
      </c>
      <c r="S170">
        <v>40</v>
      </c>
      <c r="T170">
        <v>117</v>
      </c>
      <c r="U170">
        <v>1</v>
      </c>
      <c r="V170" s="12" t="b">
        <v>0</v>
      </c>
      <c r="W170" t="s">
        <v>298</v>
      </c>
      <c r="AS170">
        <f t="shared" si="70"/>
        <v>5</v>
      </c>
      <c r="AT170">
        <v>1</v>
      </c>
      <c r="AU170" t="str">
        <f t="shared" si="72"/>
        <v>LSA_GFX_HRY_E_BEGIN_TITO_SAPS_NOM_LFM_0200_IPU2_BHRY_BTRS_BP3</v>
      </c>
      <c r="AV170" t="str">
        <f>$D171</f>
        <v>LSA_GFX_HRY_E_BEGIN_TITO_SAPS_NOM_LFM_0200_IPU2_BHRY_BTRS_BP3</v>
      </c>
      <c r="AW170" t="str">
        <f>$D171</f>
        <v>LSA_GFX_HRY_E_BEGIN_TITO_SAPS_NOM_LFM_0200_IPU2_BHRY_BTRS_BP3</v>
      </c>
      <c r="AX170" t="str">
        <f>$D171</f>
        <v>LSA_GFX_HRY_E_BEGIN_TITO_SAPS_NOM_LFM_0200_IPU2_BHRY_BTRS_BP3</v>
      </c>
      <c r="AY170" t="str">
        <f>$D171</f>
        <v>LSA_GFX_HRY_E_BEGIN_TITO_SAPS_NOM_LFM_0200_IPU2_BHRY_BTRS_BP3</v>
      </c>
    </row>
    <row r="171" spans="1:56" x14ac:dyDescent="0.35">
      <c r="A171" s="7" t="s">
        <v>12</v>
      </c>
      <c r="B171" s="7" t="s">
        <v>54</v>
      </c>
      <c r="C171" s="7" t="str">
        <f>VLOOKUP(B171,templateLookup!A:B,2,0)</f>
        <v>PrimeMbistVminSearchTestMethod</v>
      </c>
      <c r="D171" t="str">
        <f t="shared" si="71"/>
        <v>LSA_GFX_HRY_E_BEGIN_TITO_SAPS_NOM_LFM_0200_IPU2_BHRY_BTRS_BP3</v>
      </c>
      <c r="E171" t="s">
        <v>5</v>
      </c>
      <c r="F171" t="s">
        <v>251</v>
      </c>
      <c r="G171" t="s">
        <v>271</v>
      </c>
      <c r="H171" t="s">
        <v>207</v>
      </c>
      <c r="I171" t="s">
        <v>260</v>
      </c>
      <c r="J171" t="s">
        <v>460</v>
      </c>
      <c r="K171" t="s">
        <v>284</v>
      </c>
      <c r="L171" t="s">
        <v>285</v>
      </c>
      <c r="M171" t="s">
        <v>461</v>
      </c>
      <c r="N171" t="s">
        <v>472</v>
      </c>
      <c r="O171" t="s">
        <v>267</v>
      </c>
      <c r="P171" t="s">
        <v>397</v>
      </c>
      <c r="Q171" t="s">
        <v>487</v>
      </c>
      <c r="R171">
        <v>21</v>
      </c>
      <c r="S171">
        <v>40</v>
      </c>
      <c r="T171">
        <v>118</v>
      </c>
      <c r="U171">
        <v>-1</v>
      </c>
      <c r="V171" s="12" t="b">
        <v>0</v>
      </c>
      <c r="W171" t="s">
        <v>298</v>
      </c>
      <c r="X171" t="s">
        <v>271</v>
      </c>
      <c r="Y171" t="s">
        <v>272</v>
      </c>
      <c r="Z171">
        <v>0.85</v>
      </c>
      <c r="AA171">
        <v>0.85</v>
      </c>
      <c r="AS171">
        <f t="shared" si="70"/>
        <v>10</v>
      </c>
      <c r="AT171" t="s">
        <v>273</v>
      </c>
      <c r="AU171" t="str">
        <f t="shared" si="72"/>
        <v>LSA_GFX_HRY_E_BEGIN_TITO_SAPS_NOM_LFM_0200_IPU2_BISR_BTRS_BP3</v>
      </c>
      <c r="AV171">
        <v>1</v>
      </c>
      <c r="AW171" t="str">
        <f t="shared" ref="AW171:BB171" si="86">$D172</f>
        <v>LSA_GFX_HRY_E_BEGIN_TITO_SAPS_NOM_LFM_0200_IPU2_BISR_BTRS_BP3</v>
      </c>
      <c r="AX171" t="str">
        <f t="shared" si="86"/>
        <v>LSA_GFX_HRY_E_BEGIN_TITO_SAPS_NOM_LFM_0200_IPU2_BISR_BTRS_BP3</v>
      </c>
      <c r="AY171" t="str">
        <f t="shared" si="86"/>
        <v>LSA_GFX_HRY_E_BEGIN_TITO_SAPS_NOM_LFM_0200_IPU2_BISR_BTRS_BP3</v>
      </c>
      <c r="AZ171" t="str">
        <f t="shared" si="86"/>
        <v>LSA_GFX_HRY_E_BEGIN_TITO_SAPS_NOM_LFM_0200_IPU2_BISR_BTRS_BP3</v>
      </c>
      <c r="BA171" t="str">
        <f t="shared" si="86"/>
        <v>LSA_GFX_HRY_E_BEGIN_TITO_SAPS_NOM_LFM_0200_IPU2_BISR_BTRS_BP3</v>
      </c>
      <c r="BB171" t="str">
        <f t="shared" si="86"/>
        <v>LSA_GFX_HRY_E_BEGIN_TITO_SAPS_NOM_LFM_0200_IPU2_BISR_BTRS_BP3</v>
      </c>
      <c r="BC171">
        <v>1</v>
      </c>
      <c r="BD171" t="str">
        <f>$D172</f>
        <v>LSA_GFX_HRY_E_BEGIN_TITO_SAPS_NOM_LFM_0200_IPU2_BISR_BTRS_BP3</v>
      </c>
    </row>
    <row r="172" spans="1:56" x14ac:dyDescent="0.35">
      <c r="A172" s="7" t="s">
        <v>12</v>
      </c>
      <c r="B172" s="7" t="s">
        <v>54</v>
      </c>
      <c r="C172" s="7" t="str">
        <f>VLOOKUP(B172,templateLookup!A:B,2,0)</f>
        <v>PrimeMbistVminSearchTestMethod</v>
      </c>
      <c r="D172" t="str">
        <f t="shared" si="71"/>
        <v>LSA_GFX_HRY_E_BEGIN_TITO_SAPS_NOM_LFM_0200_IPU2_BISR_BTRS_BP3</v>
      </c>
      <c r="E172" t="s">
        <v>5</v>
      </c>
      <c r="F172" t="s">
        <v>251</v>
      </c>
      <c r="G172" t="s">
        <v>271</v>
      </c>
      <c r="H172" t="s">
        <v>207</v>
      </c>
      <c r="I172" t="s">
        <v>260</v>
      </c>
      <c r="J172" t="s">
        <v>460</v>
      </c>
      <c r="K172" t="s">
        <v>284</v>
      </c>
      <c r="L172" t="s">
        <v>285</v>
      </c>
      <c r="M172" t="s">
        <v>461</v>
      </c>
      <c r="N172" t="s">
        <v>474</v>
      </c>
      <c r="O172" t="s">
        <v>267</v>
      </c>
      <c r="P172" t="s">
        <v>397</v>
      </c>
      <c r="Q172" t="s">
        <v>488</v>
      </c>
      <c r="R172">
        <v>21</v>
      </c>
      <c r="S172">
        <v>40</v>
      </c>
      <c r="T172">
        <v>119</v>
      </c>
      <c r="U172">
        <v>-1</v>
      </c>
      <c r="V172" s="12" t="b">
        <v>0</v>
      </c>
      <c r="W172" t="s">
        <v>298</v>
      </c>
      <c r="X172" t="s">
        <v>401</v>
      </c>
      <c r="Y172" t="s">
        <v>272</v>
      </c>
      <c r="Z172">
        <v>0.85</v>
      </c>
      <c r="AA172">
        <v>0.85</v>
      </c>
      <c r="AS172">
        <f t="shared" si="70"/>
        <v>10</v>
      </c>
      <c r="AT172" t="s">
        <v>273</v>
      </c>
      <c r="AU172" t="str">
        <f t="shared" si="72"/>
        <v>LSA_GFX_RASTER_E_BEGIN_TITO_SAPS_NOM_LFM_0200_IPU2_RASTER_BTRS_BP3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</row>
    <row r="173" spans="1:56" x14ac:dyDescent="0.35">
      <c r="A173" s="7" t="s">
        <v>12</v>
      </c>
      <c r="B173" s="7" t="s">
        <v>56</v>
      </c>
      <c r="C173" s="7" t="str">
        <f>VLOOKUP(B173,templateLookup!A:B,2,0)</f>
        <v>MbistRasterTC</v>
      </c>
      <c r="D173" t="str">
        <f t="shared" si="71"/>
        <v>LSA_GFX_RASTER_E_BEGIN_TITO_SAPS_NOM_LFM_0200_IPU2_RASTER_BTRS_BP3</v>
      </c>
      <c r="E173" t="s">
        <v>5</v>
      </c>
      <c r="F173" t="s">
        <v>251</v>
      </c>
      <c r="G173" t="s">
        <v>289</v>
      </c>
      <c r="H173" t="s">
        <v>207</v>
      </c>
      <c r="I173" t="s">
        <v>260</v>
      </c>
      <c r="J173" t="s">
        <v>460</v>
      </c>
      <c r="K173" t="s">
        <v>284</v>
      </c>
      <c r="L173" t="s">
        <v>285</v>
      </c>
      <c r="M173" t="s">
        <v>461</v>
      </c>
      <c r="N173" t="s">
        <v>476</v>
      </c>
      <c r="O173" t="s">
        <v>267</v>
      </c>
      <c r="P173" t="s">
        <v>397</v>
      </c>
      <c r="Q173" t="s">
        <v>291</v>
      </c>
      <c r="R173">
        <v>21</v>
      </c>
      <c r="S173">
        <v>40</v>
      </c>
      <c r="T173">
        <v>120</v>
      </c>
      <c r="U173">
        <v>1</v>
      </c>
      <c r="V173" s="12" t="b">
        <v>0</v>
      </c>
      <c r="W173" t="s">
        <v>298</v>
      </c>
      <c r="AS173">
        <f t="shared" si="70"/>
        <v>5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</row>
    <row r="174" spans="1:56" x14ac:dyDescent="0.35">
      <c r="A174" s="45" t="s">
        <v>12</v>
      </c>
      <c r="B174" s="45" t="s">
        <v>50</v>
      </c>
      <c r="C174" s="45" t="str">
        <f>VLOOKUP(B174,templateLookup!A:B,2,0)</f>
        <v>COMPOSITE</v>
      </c>
      <c r="D174" s="10" t="s">
        <v>489</v>
      </c>
      <c r="V174" s="12"/>
    </row>
    <row r="175" spans="1:56" x14ac:dyDescent="0.35">
      <c r="A175" s="45" t="s">
        <v>12</v>
      </c>
      <c r="B175" s="45" t="s">
        <v>49</v>
      </c>
      <c r="C175" s="45" t="str">
        <f>VLOOKUP(B175,templateLookup!A:B,2,0)</f>
        <v>COMPOSITE</v>
      </c>
      <c r="D175" s="10" t="s">
        <v>490</v>
      </c>
      <c r="F175" t="s">
        <v>30</v>
      </c>
      <c r="V175" s="12"/>
      <c r="AS175">
        <f>COUNTA(AU175:BD175)</f>
        <v>3</v>
      </c>
      <c r="AT175" t="s">
        <v>218</v>
      </c>
      <c r="AU175" t="str">
        <f>$D181</f>
        <v>IPU_POST_REPAIR</v>
      </c>
      <c r="AV175" t="str">
        <f>$D181</f>
        <v>IPU_POST_REPAIR</v>
      </c>
      <c r="AW175" t="str">
        <f>$D190</f>
        <v>MEDIA_BISR</v>
      </c>
    </row>
    <row r="176" spans="1:56" x14ac:dyDescent="0.35">
      <c r="A176" s="7" t="s">
        <v>12</v>
      </c>
      <c r="B176" s="7" t="s">
        <v>97</v>
      </c>
      <c r="C176" s="7" t="str">
        <f>VLOOKUP(B176,templateLookup!A:B,2,0)</f>
        <v>iCScreenTest</v>
      </c>
      <c r="D176" t="str">
        <f>E176&amp;"_"&amp;F176&amp;"_"&amp;G176&amp;"_"&amp;H176&amp;"_"&amp;A176&amp;"_"&amp;I176&amp;"_"&amp;J176&amp;"_"&amp;K176&amp;"_"&amp;L176&amp;"_"&amp;M176&amp;"_"&amp;N176</f>
        <v>ALL_COMMON_SCREEN_E_BEGIN_X_SAPS_X_X_0200_JOIN_BISR_IPU</v>
      </c>
      <c r="E176" t="s">
        <v>7</v>
      </c>
      <c r="F176" t="s">
        <v>30</v>
      </c>
      <c r="G176" t="s">
        <v>206</v>
      </c>
      <c r="H176" t="s">
        <v>207</v>
      </c>
      <c r="I176" t="s">
        <v>208</v>
      </c>
      <c r="J176" t="s">
        <v>460</v>
      </c>
      <c r="K176" t="s">
        <v>208</v>
      </c>
      <c r="L176" t="s">
        <v>208</v>
      </c>
      <c r="M176" t="str">
        <f>TEXT(200,"0000")</f>
        <v>0200</v>
      </c>
      <c r="N176" t="s">
        <v>491</v>
      </c>
      <c r="O176" t="s">
        <v>267</v>
      </c>
      <c r="P176" t="s">
        <v>397</v>
      </c>
      <c r="Q176" t="s">
        <v>444</v>
      </c>
      <c r="R176">
        <v>61</v>
      </c>
      <c r="S176">
        <v>40</v>
      </c>
      <c r="T176">
        <v>150</v>
      </c>
      <c r="U176">
        <v>-1</v>
      </c>
      <c r="V176" t="b">
        <v>0</v>
      </c>
      <c r="AD176" t="s">
        <v>492</v>
      </c>
      <c r="AE176" t="s">
        <v>446</v>
      </c>
      <c r="AS176">
        <f>COUNTA(AU176:BD176)</f>
        <v>3</v>
      </c>
      <c r="AT176">
        <v>1</v>
      </c>
      <c r="AU176" t="str">
        <f>$D177</f>
        <v>ALL_GFX_VFDM_E_BEGIN_X_SAPS_X_X_0200_ALL</v>
      </c>
      <c r="AV176" t="str">
        <f>$D177</f>
        <v>ALL_GFX_VFDM_E_BEGIN_X_SAPS_X_X_0200_ALL</v>
      </c>
      <c r="AW176" t="str">
        <f>$D177</f>
        <v>ALL_GFX_VFDM_E_BEGIN_X_SAPS_X_X_0200_ALL</v>
      </c>
    </row>
    <row r="177" spans="1:56" x14ac:dyDescent="0.35">
      <c r="A177" s="7" t="s">
        <v>12</v>
      </c>
      <c r="B177" s="7" t="s">
        <v>87</v>
      </c>
      <c r="C177" s="7" t="str">
        <f>VLOOKUP(B177,templateLookup!A:B,2,0)</f>
        <v>iCVFDMTest</v>
      </c>
      <c r="D177" t="str">
        <f>E177&amp;"_"&amp;F177&amp;"_"&amp;G177&amp;"_"&amp;H177&amp;"_"&amp;A177&amp;"_"&amp;I177&amp;"_"&amp;J177&amp;"_"&amp;K177&amp;"_"&amp;L177&amp;"_"&amp;M177&amp;"_"&amp;N177</f>
        <v>ALL_GFX_VFDM_E_BEGIN_X_SAPS_X_X_0200_ALL</v>
      </c>
      <c r="E177" t="s">
        <v>7</v>
      </c>
      <c r="F177" t="s">
        <v>251</v>
      </c>
      <c r="G177" t="s">
        <v>178</v>
      </c>
      <c r="H177" t="s">
        <v>207</v>
      </c>
      <c r="I177" t="s">
        <v>208</v>
      </c>
      <c r="J177" t="s">
        <v>460</v>
      </c>
      <c r="K177" t="s">
        <v>208</v>
      </c>
      <c r="L177" t="s">
        <v>208</v>
      </c>
      <c r="M177" t="str">
        <f>TEXT(200,"0000")</f>
        <v>0200</v>
      </c>
      <c r="N177" t="s">
        <v>7</v>
      </c>
      <c r="O177" t="s">
        <v>267</v>
      </c>
      <c r="P177" t="s">
        <v>397</v>
      </c>
      <c r="Q177" t="s">
        <v>444</v>
      </c>
      <c r="R177">
        <v>61</v>
      </c>
      <c r="S177">
        <v>40</v>
      </c>
      <c r="T177">
        <v>151</v>
      </c>
      <c r="U177">
        <v>-1</v>
      </c>
      <c r="V177" s="12" t="b">
        <v>0</v>
      </c>
      <c r="W177" t="s">
        <v>298</v>
      </c>
      <c r="AF177" t="s">
        <v>238</v>
      </c>
      <c r="AG177" t="s">
        <v>237</v>
      </c>
      <c r="AS177">
        <f>COUNTA(AU177:BD177)</f>
        <v>3</v>
      </c>
      <c r="AT177" t="s">
        <v>218</v>
      </c>
      <c r="AU177" t="str">
        <f>$D178</f>
        <v>ALL_GFX_UF_K_BEGIN_X_SAPS_X_X_0200_IPU_VFDM_UF</v>
      </c>
      <c r="AV177" t="str">
        <f>$D178</f>
        <v>ALL_GFX_UF_K_BEGIN_X_SAPS_X_X_0200_IPU_VFDM_UF</v>
      </c>
      <c r="AW177">
        <v>2</v>
      </c>
    </row>
    <row r="178" spans="1:56" x14ac:dyDescent="0.35">
      <c r="A178" s="7" t="s">
        <v>12</v>
      </c>
      <c r="B178" s="7" t="s">
        <v>85</v>
      </c>
      <c r="C178" s="7" t="str">
        <f>VLOOKUP(B178,templateLookup!A:B,2,0)</f>
        <v>iCUserFuncTest</v>
      </c>
      <c r="D178" t="str">
        <f>E178&amp;"_"&amp;F178&amp;"_"&amp;G178&amp;"_"&amp;H178&amp;"_"&amp;A178&amp;"_"&amp;I178&amp;"_"&amp;J178&amp;"_"&amp;K178&amp;"_"&amp;L178&amp;"_"&amp;M178&amp;"_"&amp;N178</f>
        <v>ALL_GFX_UF_K_BEGIN_X_SAPS_X_X_0200_IPU_VFDM_UF</v>
      </c>
      <c r="E178" t="s">
        <v>7</v>
      </c>
      <c r="F178" t="s">
        <v>251</v>
      </c>
      <c r="G178" t="s">
        <v>353</v>
      </c>
      <c r="H178" t="s">
        <v>253</v>
      </c>
      <c r="I178" t="s">
        <v>208</v>
      </c>
      <c r="J178" t="s">
        <v>460</v>
      </c>
      <c r="K178" t="s">
        <v>208</v>
      </c>
      <c r="L178" t="s">
        <v>208</v>
      </c>
      <c r="M178" t="str">
        <f>TEXT(200,"0000")</f>
        <v>0200</v>
      </c>
      <c r="N178" t="s">
        <v>493</v>
      </c>
      <c r="O178" t="s">
        <v>267</v>
      </c>
      <c r="P178" t="s">
        <v>397</v>
      </c>
      <c r="Q178" t="s">
        <v>444</v>
      </c>
      <c r="R178">
        <v>90</v>
      </c>
      <c r="S178">
        <v>61</v>
      </c>
      <c r="T178">
        <v>152</v>
      </c>
      <c r="U178">
        <v>-1</v>
      </c>
      <c r="V178" t="b">
        <v>1</v>
      </c>
      <c r="W178" t="s">
        <v>298</v>
      </c>
      <c r="AJ178" t="s">
        <v>356</v>
      </c>
      <c r="AS178">
        <f>COUNTA(AU178:BD178)</f>
        <v>3</v>
      </c>
      <c r="AT178" t="s">
        <v>218</v>
      </c>
      <c r="AU178" t="str">
        <f>$D179</f>
        <v>ALL_GFX_PATMOD_E_BEGIN_TITO_X_MAX_LFM_X_IPU_REPAIR</v>
      </c>
      <c r="AV178" t="str">
        <f>$D179</f>
        <v>ALL_GFX_PATMOD_E_BEGIN_TITO_X_MAX_LFM_X_IPU_REPAIR</v>
      </c>
      <c r="AW178" t="str">
        <f>$D179</f>
        <v>ALL_GFX_PATMOD_E_BEGIN_TITO_X_MAX_LFM_X_IPU_REPAIR</v>
      </c>
    </row>
    <row r="179" spans="1:56" x14ac:dyDescent="0.35">
      <c r="A179" s="7" t="s">
        <v>12</v>
      </c>
      <c r="B179" s="7" t="s">
        <v>59</v>
      </c>
      <c r="C179" s="7" t="str">
        <f>VLOOKUP(B179,templateLookup!A:B,2,0)</f>
        <v>PrimePatConfigTestMethod</v>
      </c>
      <c r="D179" t="str">
        <f>E179&amp;"_"&amp;F179&amp;"_"&amp;G179&amp;"_"&amp;H179&amp;"_"&amp;A179&amp;"_"&amp;I179&amp;"_"&amp;J179&amp;"_"&amp;K179&amp;"_"&amp;L179&amp;"_"&amp;M179&amp;"_"&amp;N179</f>
        <v>ALL_GFX_PATMOD_E_BEGIN_TITO_X_MAX_LFM_X_IPU_REPAIR</v>
      </c>
      <c r="E179" t="s">
        <v>7</v>
      </c>
      <c r="F179" t="s">
        <v>251</v>
      </c>
      <c r="G179" t="s">
        <v>252</v>
      </c>
      <c r="H179" t="s">
        <v>207</v>
      </c>
      <c r="I179" t="s">
        <v>260</v>
      </c>
      <c r="J179" t="s">
        <v>208</v>
      </c>
      <c r="K179" t="s">
        <v>357</v>
      </c>
      <c r="L179" t="s">
        <v>285</v>
      </c>
      <c r="M179" t="s">
        <v>208</v>
      </c>
      <c r="N179" t="s">
        <v>494</v>
      </c>
      <c r="O179" t="s">
        <v>267</v>
      </c>
      <c r="P179" t="s">
        <v>397</v>
      </c>
      <c r="Q179" t="s">
        <v>444</v>
      </c>
      <c r="R179">
        <v>61</v>
      </c>
      <c r="S179">
        <v>40</v>
      </c>
      <c r="T179">
        <v>153</v>
      </c>
      <c r="U179">
        <v>-1</v>
      </c>
      <c r="V179" t="b">
        <v>0</v>
      </c>
      <c r="W179" t="s">
        <v>298</v>
      </c>
      <c r="AH179" t="s">
        <v>358</v>
      </c>
      <c r="AI179" s="13" t="s">
        <v>495</v>
      </c>
      <c r="AS179">
        <f>COUNTA(AU179:BD179)</f>
        <v>3</v>
      </c>
      <c r="AT179">
        <v>1</v>
      </c>
      <c r="AU179">
        <v>1</v>
      </c>
      <c r="AV179">
        <v>1</v>
      </c>
      <c r="AW179">
        <v>1</v>
      </c>
    </row>
    <row r="180" spans="1:56" x14ac:dyDescent="0.35">
      <c r="A180" s="45" t="s">
        <v>12</v>
      </c>
      <c r="B180" s="45" t="s">
        <v>50</v>
      </c>
      <c r="C180" s="45" t="str">
        <f>VLOOKUP(B180,templateLookup!A:B,2,0)</f>
        <v>COMPOSITE</v>
      </c>
      <c r="D180" s="10" t="s">
        <v>496</v>
      </c>
      <c r="V180" s="12"/>
    </row>
    <row r="181" spans="1:56" x14ac:dyDescent="0.35">
      <c r="A181" s="45" t="s">
        <v>12</v>
      </c>
      <c r="B181" s="45" t="s">
        <v>49</v>
      </c>
      <c r="C181" s="45" t="str">
        <f>VLOOKUP(B181,templateLookup!A:B,2,0)</f>
        <v>COMPOSITE</v>
      </c>
      <c r="D181" s="10" t="s">
        <v>497</v>
      </c>
      <c r="F181" t="s">
        <v>30</v>
      </c>
      <c r="V181" s="12"/>
      <c r="AS181">
        <f t="shared" ref="AS181:AS188" si="87">COUNTA(AU181:BD181)</f>
        <v>2</v>
      </c>
      <c r="AT181">
        <v>1</v>
      </c>
      <c r="AU181" t="str">
        <f>$D190</f>
        <v>MEDIA_BISR</v>
      </c>
      <c r="AV181" t="str">
        <f>$D190</f>
        <v>MEDIA_BISR</v>
      </c>
    </row>
    <row r="182" spans="1:56" x14ac:dyDescent="0.35">
      <c r="A182" s="7" t="s">
        <v>12</v>
      </c>
      <c r="B182" s="7" t="s">
        <v>55</v>
      </c>
      <c r="C182" s="7" t="str">
        <f>VLOOKUP(B182,templateLookup!A:B,2,0)</f>
        <v>PrimeMbistVminSearchTestMethod</v>
      </c>
      <c r="D182" t="str">
        <f t="shared" ref="D182:D188" si="88">E182&amp;"_"&amp;F182&amp;"_"&amp;G182&amp;"_"&amp;H182&amp;"_"&amp;A182&amp;"_"&amp;I182&amp;"_"&amp;J182&amp;"_"&amp;K182&amp;"_"&amp;L182&amp;"_"&amp;M182&amp;"_"&amp;N182</f>
        <v>SSA_GFX_HRY_E_BEGIN_TITO_SAPS_MAX_LFM_0200_IPU0_POST_REPAIR_BTRS_BP5</v>
      </c>
      <c r="E182" t="s">
        <v>4</v>
      </c>
      <c r="F182" t="s">
        <v>251</v>
      </c>
      <c r="G182" t="s">
        <v>271</v>
      </c>
      <c r="H182" t="s">
        <v>207</v>
      </c>
      <c r="I182" t="s">
        <v>260</v>
      </c>
      <c r="J182" t="s">
        <v>460</v>
      </c>
      <c r="K182" t="s">
        <v>357</v>
      </c>
      <c r="L182" t="s">
        <v>285</v>
      </c>
      <c r="M182" t="str">
        <f t="shared" ref="M182:M188" si="89">TEXT(200,"0000")</f>
        <v>0200</v>
      </c>
      <c r="N182" t="s">
        <v>498</v>
      </c>
      <c r="O182" t="s">
        <v>267</v>
      </c>
      <c r="P182" t="s">
        <v>397</v>
      </c>
      <c r="Q182" t="s">
        <v>463</v>
      </c>
      <c r="R182">
        <v>61</v>
      </c>
      <c r="S182">
        <v>40</v>
      </c>
      <c r="T182">
        <v>160</v>
      </c>
      <c r="U182">
        <v>-1</v>
      </c>
      <c r="V182" t="b">
        <v>0</v>
      </c>
      <c r="W182" t="s">
        <v>298</v>
      </c>
      <c r="X182" t="s">
        <v>363</v>
      </c>
      <c r="Y182" t="s">
        <v>272</v>
      </c>
      <c r="Z182">
        <v>0.85</v>
      </c>
      <c r="AA182">
        <v>0.85</v>
      </c>
      <c r="AS182">
        <f t="shared" si="87"/>
        <v>10</v>
      </c>
      <c r="AT182" t="s">
        <v>273</v>
      </c>
      <c r="AU182" t="str">
        <f t="shared" ref="AU182:BD187" si="90">$D183</f>
        <v>SSA_GFX_HRY_E_BEGIN_TITO_SAPS_MAX_LFM_0200_IPU1_POST_REPAIR_BTRS_BP6</v>
      </c>
      <c r="AV182" t="str">
        <f t="shared" si="90"/>
        <v>SSA_GFX_HRY_E_BEGIN_TITO_SAPS_MAX_LFM_0200_IPU1_POST_REPAIR_BTRS_BP6</v>
      </c>
      <c r="AW182" t="str">
        <f t="shared" si="90"/>
        <v>SSA_GFX_HRY_E_BEGIN_TITO_SAPS_MAX_LFM_0200_IPU1_POST_REPAIR_BTRS_BP6</v>
      </c>
      <c r="AX182" t="str">
        <f t="shared" si="90"/>
        <v>SSA_GFX_HRY_E_BEGIN_TITO_SAPS_MAX_LFM_0200_IPU1_POST_REPAIR_BTRS_BP6</v>
      </c>
      <c r="AY182" t="str">
        <f t="shared" si="90"/>
        <v>SSA_GFX_HRY_E_BEGIN_TITO_SAPS_MAX_LFM_0200_IPU1_POST_REPAIR_BTRS_BP6</v>
      </c>
      <c r="AZ182" t="str">
        <f t="shared" si="90"/>
        <v>SSA_GFX_HRY_E_BEGIN_TITO_SAPS_MAX_LFM_0200_IPU1_POST_REPAIR_BTRS_BP6</v>
      </c>
      <c r="BA182" t="str">
        <f t="shared" si="90"/>
        <v>SSA_GFX_HRY_E_BEGIN_TITO_SAPS_MAX_LFM_0200_IPU1_POST_REPAIR_BTRS_BP6</v>
      </c>
      <c r="BB182" t="str">
        <f t="shared" si="90"/>
        <v>SSA_GFX_HRY_E_BEGIN_TITO_SAPS_MAX_LFM_0200_IPU1_POST_REPAIR_BTRS_BP6</v>
      </c>
      <c r="BC182" t="str">
        <f t="shared" si="90"/>
        <v>SSA_GFX_HRY_E_BEGIN_TITO_SAPS_MAX_LFM_0200_IPU1_POST_REPAIR_BTRS_BP6</v>
      </c>
      <c r="BD182" t="str">
        <f t="shared" si="90"/>
        <v>SSA_GFX_HRY_E_BEGIN_TITO_SAPS_MAX_LFM_0200_IPU1_POST_REPAIR_BTRS_BP6</v>
      </c>
    </row>
    <row r="183" spans="1:56" x14ac:dyDescent="0.35">
      <c r="A183" s="7" t="s">
        <v>12</v>
      </c>
      <c r="B183" s="7" t="s">
        <v>55</v>
      </c>
      <c r="C183" s="7" t="str">
        <f>VLOOKUP(B183,templateLookup!A:B,2,0)</f>
        <v>PrimeMbistVminSearchTestMethod</v>
      </c>
      <c r="D183" t="str">
        <f t="shared" si="88"/>
        <v>SSA_GFX_HRY_E_BEGIN_TITO_SAPS_MAX_LFM_0200_IPU1_POST_REPAIR_BTRS_BP6</v>
      </c>
      <c r="E183" t="s">
        <v>4</v>
      </c>
      <c r="F183" t="s">
        <v>251</v>
      </c>
      <c r="G183" t="s">
        <v>271</v>
      </c>
      <c r="H183" t="s">
        <v>207</v>
      </c>
      <c r="I183" t="s">
        <v>260</v>
      </c>
      <c r="J183" t="s">
        <v>460</v>
      </c>
      <c r="K183" t="s">
        <v>357</v>
      </c>
      <c r="L183" t="s">
        <v>285</v>
      </c>
      <c r="M183" t="str">
        <f t="shared" si="89"/>
        <v>0200</v>
      </c>
      <c r="N183" t="s">
        <v>499</v>
      </c>
      <c r="O183" t="s">
        <v>267</v>
      </c>
      <c r="P183" t="s">
        <v>397</v>
      </c>
      <c r="Q183" t="s">
        <v>468</v>
      </c>
      <c r="R183">
        <v>61</v>
      </c>
      <c r="S183">
        <v>40</v>
      </c>
      <c r="T183">
        <v>161</v>
      </c>
      <c r="U183">
        <v>-1</v>
      </c>
      <c r="V183" t="b">
        <v>0</v>
      </c>
      <c r="W183" t="s">
        <v>298</v>
      </c>
      <c r="X183" t="s">
        <v>363</v>
      </c>
      <c r="Y183" t="s">
        <v>272</v>
      </c>
      <c r="Z183">
        <v>0.85</v>
      </c>
      <c r="AA183">
        <v>0.85</v>
      </c>
      <c r="AS183">
        <f t="shared" si="87"/>
        <v>10</v>
      </c>
      <c r="AT183" t="s">
        <v>273</v>
      </c>
      <c r="AU183" t="str">
        <f t="shared" si="90"/>
        <v>SSA_GFX_HRY_E_BEGIN_TITO_SAPS_MAX_LFM_0200_IPU2_POST_REPAIR_BTRS_BP3</v>
      </c>
      <c r="AV183" t="str">
        <f t="shared" si="90"/>
        <v>SSA_GFX_HRY_E_BEGIN_TITO_SAPS_MAX_LFM_0200_IPU2_POST_REPAIR_BTRS_BP3</v>
      </c>
      <c r="AW183" t="str">
        <f t="shared" si="90"/>
        <v>SSA_GFX_HRY_E_BEGIN_TITO_SAPS_MAX_LFM_0200_IPU2_POST_REPAIR_BTRS_BP3</v>
      </c>
      <c r="AX183" t="str">
        <f t="shared" si="90"/>
        <v>SSA_GFX_HRY_E_BEGIN_TITO_SAPS_MAX_LFM_0200_IPU2_POST_REPAIR_BTRS_BP3</v>
      </c>
      <c r="AY183" t="str">
        <f t="shared" si="90"/>
        <v>SSA_GFX_HRY_E_BEGIN_TITO_SAPS_MAX_LFM_0200_IPU2_POST_REPAIR_BTRS_BP3</v>
      </c>
      <c r="AZ183" t="str">
        <f t="shared" si="90"/>
        <v>SSA_GFX_HRY_E_BEGIN_TITO_SAPS_MAX_LFM_0200_IPU2_POST_REPAIR_BTRS_BP3</v>
      </c>
      <c r="BA183" t="str">
        <f t="shared" si="90"/>
        <v>SSA_GFX_HRY_E_BEGIN_TITO_SAPS_MAX_LFM_0200_IPU2_POST_REPAIR_BTRS_BP3</v>
      </c>
      <c r="BB183" t="str">
        <f t="shared" si="90"/>
        <v>SSA_GFX_HRY_E_BEGIN_TITO_SAPS_MAX_LFM_0200_IPU2_POST_REPAIR_BTRS_BP3</v>
      </c>
      <c r="BC183" t="str">
        <f t="shared" si="90"/>
        <v>SSA_GFX_HRY_E_BEGIN_TITO_SAPS_MAX_LFM_0200_IPU2_POST_REPAIR_BTRS_BP3</v>
      </c>
      <c r="BD183" t="str">
        <f t="shared" si="90"/>
        <v>SSA_GFX_HRY_E_BEGIN_TITO_SAPS_MAX_LFM_0200_IPU2_POST_REPAIR_BTRS_BP3</v>
      </c>
    </row>
    <row r="184" spans="1:56" x14ac:dyDescent="0.35">
      <c r="A184" s="7" t="s">
        <v>12</v>
      </c>
      <c r="B184" s="7" t="s">
        <v>55</v>
      </c>
      <c r="C184" s="7" t="str">
        <f>VLOOKUP(B184,templateLookup!A:B,2,0)</f>
        <v>PrimeMbistVminSearchTestMethod</v>
      </c>
      <c r="D184" t="str">
        <f t="shared" si="88"/>
        <v>SSA_GFX_HRY_E_BEGIN_TITO_SAPS_MAX_LFM_0200_IPU2_POST_REPAIR_BTRS_BP3</v>
      </c>
      <c r="E184" t="s">
        <v>4</v>
      </c>
      <c r="F184" t="s">
        <v>251</v>
      </c>
      <c r="G184" t="s">
        <v>271</v>
      </c>
      <c r="H184" t="s">
        <v>207</v>
      </c>
      <c r="I184" t="s">
        <v>260</v>
      </c>
      <c r="J184" t="s">
        <v>460</v>
      </c>
      <c r="K184" t="s">
        <v>357</v>
      </c>
      <c r="L184" t="s">
        <v>285</v>
      </c>
      <c r="M184" t="str">
        <f t="shared" si="89"/>
        <v>0200</v>
      </c>
      <c r="N184" t="s">
        <v>500</v>
      </c>
      <c r="O184" t="s">
        <v>267</v>
      </c>
      <c r="P184" t="s">
        <v>397</v>
      </c>
      <c r="Q184" t="s">
        <v>473</v>
      </c>
      <c r="R184">
        <v>61</v>
      </c>
      <c r="S184">
        <v>40</v>
      </c>
      <c r="T184">
        <v>162</v>
      </c>
      <c r="U184">
        <v>-1</v>
      </c>
      <c r="V184" t="b">
        <v>0</v>
      </c>
      <c r="W184" t="s">
        <v>298</v>
      </c>
      <c r="X184" t="s">
        <v>363</v>
      </c>
      <c r="Y184" t="s">
        <v>272</v>
      </c>
      <c r="Z184">
        <v>0.85</v>
      </c>
      <c r="AA184">
        <v>0.85</v>
      </c>
      <c r="AS184">
        <f t="shared" si="87"/>
        <v>10</v>
      </c>
      <c r="AT184" t="s">
        <v>273</v>
      </c>
      <c r="AU184" t="str">
        <f t="shared" si="90"/>
        <v>LSA_GFX_HRY_E_BEGIN_TITO_SAPS_MAX_LFM_0200_IPU_BUTTRESS_POST_REPAIR_BTRS_BP4</v>
      </c>
      <c r="AV184" t="str">
        <f t="shared" si="90"/>
        <v>LSA_GFX_HRY_E_BEGIN_TITO_SAPS_MAX_LFM_0200_IPU_BUTTRESS_POST_REPAIR_BTRS_BP4</v>
      </c>
      <c r="AW184" t="str">
        <f t="shared" si="90"/>
        <v>LSA_GFX_HRY_E_BEGIN_TITO_SAPS_MAX_LFM_0200_IPU_BUTTRESS_POST_REPAIR_BTRS_BP4</v>
      </c>
      <c r="AX184" t="str">
        <f t="shared" si="90"/>
        <v>LSA_GFX_HRY_E_BEGIN_TITO_SAPS_MAX_LFM_0200_IPU_BUTTRESS_POST_REPAIR_BTRS_BP4</v>
      </c>
      <c r="AY184" t="str">
        <f t="shared" si="90"/>
        <v>LSA_GFX_HRY_E_BEGIN_TITO_SAPS_MAX_LFM_0200_IPU_BUTTRESS_POST_REPAIR_BTRS_BP4</v>
      </c>
      <c r="AZ184" t="str">
        <f t="shared" si="90"/>
        <v>LSA_GFX_HRY_E_BEGIN_TITO_SAPS_MAX_LFM_0200_IPU_BUTTRESS_POST_REPAIR_BTRS_BP4</v>
      </c>
      <c r="BA184" t="str">
        <f t="shared" si="90"/>
        <v>LSA_GFX_HRY_E_BEGIN_TITO_SAPS_MAX_LFM_0200_IPU_BUTTRESS_POST_REPAIR_BTRS_BP4</v>
      </c>
      <c r="BB184" t="str">
        <f t="shared" si="90"/>
        <v>LSA_GFX_HRY_E_BEGIN_TITO_SAPS_MAX_LFM_0200_IPU_BUTTRESS_POST_REPAIR_BTRS_BP4</v>
      </c>
      <c r="BC184" t="str">
        <f t="shared" si="90"/>
        <v>LSA_GFX_HRY_E_BEGIN_TITO_SAPS_MAX_LFM_0200_IPU_BUTTRESS_POST_REPAIR_BTRS_BP4</v>
      </c>
      <c r="BD184" t="str">
        <f t="shared" si="90"/>
        <v>LSA_GFX_HRY_E_BEGIN_TITO_SAPS_MAX_LFM_0200_IPU_BUTTRESS_POST_REPAIR_BTRS_BP4</v>
      </c>
    </row>
    <row r="185" spans="1:56" x14ac:dyDescent="0.35">
      <c r="A185" s="7" t="s">
        <v>12</v>
      </c>
      <c r="B185" s="7" t="s">
        <v>55</v>
      </c>
      <c r="C185" s="7" t="str">
        <f>VLOOKUP(B185,templateLookup!A:B,2,0)</f>
        <v>PrimeMbistVminSearchTestMethod</v>
      </c>
      <c r="D185" t="str">
        <f t="shared" si="88"/>
        <v>LSA_GFX_HRY_E_BEGIN_TITO_SAPS_MAX_LFM_0200_IPU_BUTTRESS_POST_REPAIR_BTRS_BP4</v>
      </c>
      <c r="E185" t="s">
        <v>5</v>
      </c>
      <c r="F185" t="s">
        <v>251</v>
      </c>
      <c r="G185" t="s">
        <v>271</v>
      </c>
      <c r="H185" t="s">
        <v>207</v>
      </c>
      <c r="I185" t="s">
        <v>260</v>
      </c>
      <c r="J185" t="s">
        <v>460</v>
      </c>
      <c r="K185" t="s">
        <v>357</v>
      </c>
      <c r="L185" t="s">
        <v>285</v>
      </c>
      <c r="M185" t="str">
        <f t="shared" si="89"/>
        <v>0200</v>
      </c>
      <c r="N185" t="s">
        <v>501</v>
      </c>
      <c r="O185" t="s">
        <v>267</v>
      </c>
      <c r="P185" t="s">
        <v>397</v>
      </c>
      <c r="Q185" t="s">
        <v>478</v>
      </c>
      <c r="R185">
        <v>21</v>
      </c>
      <c r="S185">
        <v>40</v>
      </c>
      <c r="T185">
        <v>163</v>
      </c>
      <c r="U185">
        <v>-1</v>
      </c>
      <c r="V185" t="b">
        <v>0</v>
      </c>
      <c r="W185" t="s">
        <v>298</v>
      </c>
      <c r="X185" t="s">
        <v>363</v>
      </c>
      <c r="Y185" t="s">
        <v>272</v>
      </c>
      <c r="Z185">
        <v>0.85</v>
      </c>
      <c r="AA185">
        <v>0.85</v>
      </c>
      <c r="AS185">
        <f t="shared" si="87"/>
        <v>10</v>
      </c>
      <c r="AT185" t="s">
        <v>273</v>
      </c>
      <c r="AU185" t="str">
        <f t="shared" si="90"/>
        <v>LSA_GFX_HRY_E_BEGIN_TITO_SAPS_MAX_LFM_0200_IPU0_POST_REPAIR_BTRS_BP5</v>
      </c>
      <c r="AV185" t="str">
        <f t="shared" si="90"/>
        <v>LSA_GFX_HRY_E_BEGIN_TITO_SAPS_MAX_LFM_0200_IPU0_POST_REPAIR_BTRS_BP5</v>
      </c>
      <c r="AW185" t="str">
        <f t="shared" si="90"/>
        <v>LSA_GFX_HRY_E_BEGIN_TITO_SAPS_MAX_LFM_0200_IPU0_POST_REPAIR_BTRS_BP5</v>
      </c>
      <c r="AX185" t="str">
        <f t="shared" si="90"/>
        <v>LSA_GFX_HRY_E_BEGIN_TITO_SAPS_MAX_LFM_0200_IPU0_POST_REPAIR_BTRS_BP5</v>
      </c>
      <c r="AY185" t="str">
        <f t="shared" si="90"/>
        <v>LSA_GFX_HRY_E_BEGIN_TITO_SAPS_MAX_LFM_0200_IPU0_POST_REPAIR_BTRS_BP5</v>
      </c>
      <c r="AZ185" t="str">
        <f t="shared" si="90"/>
        <v>LSA_GFX_HRY_E_BEGIN_TITO_SAPS_MAX_LFM_0200_IPU0_POST_REPAIR_BTRS_BP5</v>
      </c>
      <c r="BA185" t="str">
        <f t="shared" si="90"/>
        <v>LSA_GFX_HRY_E_BEGIN_TITO_SAPS_MAX_LFM_0200_IPU0_POST_REPAIR_BTRS_BP5</v>
      </c>
      <c r="BB185" t="str">
        <f t="shared" si="90"/>
        <v>LSA_GFX_HRY_E_BEGIN_TITO_SAPS_MAX_LFM_0200_IPU0_POST_REPAIR_BTRS_BP5</v>
      </c>
      <c r="BC185" t="str">
        <f t="shared" si="90"/>
        <v>LSA_GFX_HRY_E_BEGIN_TITO_SAPS_MAX_LFM_0200_IPU0_POST_REPAIR_BTRS_BP5</v>
      </c>
      <c r="BD185" t="str">
        <f t="shared" si="90"/>
        <v>LSA_GFX_HRY_E_BEGIN_TITO_SAPS_MAX_LFM_0200_IPU0_POST_REPAIR_BTRS_BP5</v>
      </c>
    </row>
    <row r="186" spans="1:56" x14ac:dyDescent="0.35">
      <c r="A186" s="7" t="s">
        <v>12</v>
      </c>
      <c r="B186" s="7" t="s">
        <v>55</v>
      </c>
      <c r="C186" s="7" t="str">
        <f>VLOOKUP(B186,templateLookup!A:B,2,0)</f>
        <v>PrimeMbistVminSearchTestMethod</v>
      </c>
      <c r="D186" t="str">
        <f t="shared" si="88"/>
        <v>LSA_GFX_HRY_E_BEGIN_TITO_SAPS_MAX_LFM_0200_IPU0_POST_REPAIR_BTRS_BP5</v>
      </c>
      <c r="E186" t="s">
        <v>5</v>
      </c>
      <c r="F186" t="s">
        <v>251</v>
      </c>
      <c r="G186" t="s">
        <v>271</v>
      </c>
      <c r="H186" t="s">
        <v>207</v>
      </c>
      <c r="I186" t="s">
        <v>260</v>
      </c>
      <c r="J186" t="s">
        <v>460</v>
      </c>
      <c r="K186" t="s">
        <v>357</v>
      </c>
      <c r="L186" t="s">
        <v>285</v>
      </c>
      <c r="M186" t="str">
        <f t="shared" si="89"/>
        <v>0200</v>
      </c>
      <c r="N186" t="s">
        <v>498</v>
      </c>
      <c r="O186" t="s">
        <v>267</v>
      </c>
      <c r="P186" t="s">
        <v>397</v>
      </c>
      <c r="Q186" t="s">
        <v>482</v>
      </c>
      <c r="R186">
        <v>21</v>
      </c>
      <c r="S186">
        <v>40</v>
      </c>
      <c r="T186">
        <v>164</v>
      </c>
      <c r="U186">
        <v>-1</v>
      </c>
      <c r="V186" t="b">
        <v>0</v>
      </c>
      <c r="W186" t="s">
        <v>298</v>
      </c>
      <c r="X186" t="s">
        <v>363</v>
      </c>
      <c r="Y186" t="s">
        <v>272</v>
      </c>
      <c r="Z186">
        <v>0.85</v>
      </c>
      <c r="AA186">
        <v>0.85</v>
      </c>
      <c r="AS186">
        <f t="shared" si="87"/>
        <v>10</v>
      </c>
      <c r="AT186" t="s">
        <v>273</v>
      </c>
      <c r="AU186" t="str">
        <f t="shared" si="90"/>
        <v>LSA_GFX_HRY_E_BEGIN_TITO_SAPS_MAX_LFM_0200_IPU1_POST_REPAIR_BTRS_BP6</v>
      </c>
      <c r="AV186" t="str">
        <f t="shared" si="90"/>
        <v>LSA_GFX_HRY_E_BEGIN_TITO_SAPS_MAX_LFM_0200_IPU1_POST_REPAIR_BTRS_BP6</v>
      </c>
      <c r="AW186" t="str">
        <f t="shared" si="90"/>
        <v>LSA_GFX_HRY_E_BEGIN_TITO_SAPS_MAX_LFM_0200_IPU1_POST_REPAIR_BTRS_BP6</v>
      </c>
      <c r="AX186" t="str">
        <f t="shared" si="90"/>
        <v>LSA_GFX_HRY_E_BEGIN_TITO_SAPS_MAX_LFM_0200_IPU1_POST_REPAIR_BTRS_BP6</v>
      </c>
      <c r="AY186" t="str">
        <f t="shared" si="90"/>
        <v>LSA_GFX_HRY_E_BEGIN_TITO_SAPS_MAX_LFM_0200_IPU1_POST_REPAIR_BTRS_BP6</v>
      </c>
      <c r="AZ186" t="str">
        <f t="shared" si="90"/>
        <v>LSA_GFX_HRY_E_BEGIN_TITO_SAPS_MAX_LFM_0200_IPU1_POST_REPAIR_BTRS_BP6</v>
      </c>
      <c r="BA186" t="str">
        <f t="shared" si="90"/>
        <v>LSA_GFX_HRY_E_BEGIN_TITO_SAPS_MAX_LFM_0200_IPU1_POST_REPAIR_BTRS_BP6</v>
      </c>
      <c r="BB186" t="str">
        <f t="shared" si="90"/>
        <v>LSA_GFX_HRY_E_BEGIN_TITO_SAPS_MAX_LFM_0200_IPU1_POST_REPAIR_BTRS_BP6</v>
      </c>
      <c r="BC186" t="str">
        <f t="shared" si="90"/>
        <v>LSA_GFX_HRY_E_BEGIN_TITO_SAPS_MAX_LFM_0200_IPU1_POST_REPAIR_BTRS_BP6</v>
      </c>
      <c r="BD186" t="str">
        <f t="shared" si="90"/>
        <v>LSA_GFX_HRY_E_BEGIN_TITO_SAPS_MAX_LFM_0200_IPU1_POST_REPAIR_BTRS_BP6</v>
      </c>
    </row>
    <row r="187" spans="1:56" x14ac:dyDescent="0.35">
      <c r="A187" s="7" t="s">
        <v>12</v>
      </c>
      <c r="B187" s="7" t="s">
        <v>55</v>
      </c>
      <c r="C187" s="7" t="str">
        <f>VLOOKUP(B187,templateLookup!A:B,2,0)</f>
        <v>PrimeMbistVminSearchTestMethod</v>
      </c>
      <c r="D187" t="str">
        <f t="shared" si="88"/>
        <v>LSA_GFX_HRY_E_BEGIN_TITO_SAPS_MAX_LFM_0200_IPU1_POST_REPAIR_BTRS_BP6</v>
      </c>
      <c r="E187" t="s">
        <v>5</v>
      </c>
      <c r="F187" t="s">
        <v>251</v>
      </c>
      <c r="G187" t="s">
        <v>271</v>
      </c>
      <c r="H187" t="s">
        <v>207</v>
      </c>
      <c r="I187" t="s">
        <v>260</v>
      </c>
      <c r="J187" t="s">
        <v>460</v>
      </c>
      <c r="K187" t="s">
        <v>357</v>
      </c>
      <c r="L187" t="s">
        <v>285</v>
      </c>
      <c r="M187" t="str">
        <f t="shared" si="89"/>
        <v>0200</v>
      </c>
      <c r="N187" t="s">
        <v>499</v>
      </c>
      <c r="O187" t="s">
        <v>267</v>
      </c>
      <c r="P187" t="s">
        <v>397</v>
      </c>
      <c r="Q187" t="s">
        <v>485</v>
      </c>
      <c r="R187">
        <v>21</v>
      </c>
      <c r="S187">
        <v>40</v>
      </c>
      <c r="T187">
        <v>165</v>
      </c>
      <c r="U187">
        <v>-1</v>
      </c>
      <c r="V187" t="b">
        <v>0</v>
      </c>
      <c r="W187" t="s">
        <v>298</v>
      </c>
      <c r="X187" t="s">
        <v>363</v>
      </c>
      <c r="Y187" t="s">
        <v>272</v>
      </c>
      <c r="Z187">
        <v>0.85</v>
      </c>
      <c r="AA187">
        <v>0.85</v>
      </c>
      <c r="AS187">
        <f t="shared" si="87"/>
        <v>10</v>
      </c>
      <c r="AT187" t="s">
        <v>273</v>
      </c>
      <c r="AU187" t="str">
        <f t="shared" si="90"/>
        <v>LSA_GFX_HRY_E_BEGIN_TITO_SAPS_MAX_LFM_0200_IPU2_POST_REPAIR_BTRS_BP3</v>
      </c>
      <c r="AV187" t="str">
        <f t="shared" si="90"/>
        <v>LSA_GFX_HRY_E_BEGIN_TITO_SAPS_MAX_LFM_0200_IPU2_POST_REPAIR_BTRS_BP3</v>
      </c>
      <c r="AW187" t="str">
        <f t="shared" si="90"/>
        <v>LSA_GFX_HRY_E_BEGIN_TITO_SAPS_MAX_LFM_0200_IPU2_POST_REPAIR_BTRS_BP3</v>
      </c>
      <c r="AX187" t="str">
        <f t="shared" si="90"/>
        <v>LSA_GFX_HRY_E_BEGIN_TITO_SAPS_MAX_LFM_0200_IPU2_POST_REPAIR_BTRS_BP3</v>
      </c>
      <c r="AY187" t="str">
        <f t="shared" si="90"/>
        <v>LSA_GFX_HRY_E_BEGIN_TITO_SAPS_MAX_LFM_0200_IPU2_POST_REPAIR_BTRS_BP3</v>
      </c>
      <c r="AZ187" t="str">
        <f t="shared" si="90"/>
        <v>LSA_GFX_HRY_E_BEGIN_TITO_SAPS_MAX_LFM_0200_IPU2_POST_REPAIR_BTRS_BP3</v>
      </c>
      <c r="BA187" t="str">
        <f t="shared" si="90"/>
        <v>LSA_GFX_HRY_E_BEGIN_TITO_SAPS_MAX_LFM_0200_IPU2_POST_REPAIR_BTRS_BP3</v>
      </c>
      <c r="BB187" t="str">
        <f t="shared" si="90"/>
        <v>LSA_GFX_HRY_E_BEGIN_TITO_SAPS_MAX_LFM_0200_IPU2_POST_REPAIR_BTRS_BP3</v>
      </c>
      <c r="BC187" t="str">
        <f t="shared" si="90"/>
        <v>LSA_GFX_HRY_E_BEGIN_TITO_SAPS_MAX_LFM_0200_IPU2_POST_REPAIR_BTRS_BP3</v>
      </c>
      <c r="BD187" t="str">
        <f t="shared" si="90"/>
        <v>LSA_GFX_HRY_E_BEGIN_TITO_SAPS_MAX_LFM_0200_IPU2_POST_REPAIR_BTRS_BP3</v>
      </c>
    </row>
    <row r="188" spans="1:56" x14ac:dyDescent="0.35">
      <c r="A188" s="7" t="s">
        <v>12</v>
      </c>
      <c r="B188" s="7" t="s">
        <v>55</v>
      </c>
      <c r="C188" s="7" t="str">
        <f>VLOOKUP(B188,templateLookup!A:B,2,0)</f>
        <v>PrimeMbistVminSearchTestMethod</v>
      </c>
      <c r="D188" t="str">
        <f t="shared" si="88"/>
        <v>LSA_GFX_HRY_E_BEGIN_TITO_SAPS_MAX_LFM_0200_IPU2_POST_REPAIR_BTRS_BP3</v>
      </c>
      <c r="E188" t="s">
        <v>5</v>
      </c>
      <c r="F188" t="s">
        <v>251</v>
      </c>
      <c r="G188" t="s">
        <v>271</v>
      </c>
      <c r="H188" t="s">
        <v>207</v>
      </c>
      <c r="I188" t="s">
        <v>260</v>
      </c>
      <c r="J188" t="s">
        <v>460</v>
      </c>
      <c r="K188" t="s">
        <v>357</v>
      </c>
      <c r="L188" t="s">
        <v>285</v>
      </c>
      <c r="M188" t="str">
        <f t="shared" si="89"/>
        <v>0200</v>
      </c>
      <c r="N188" t="s">
        <v>500</v>
      </c>
      <c r="O188" t="s">
        <v>267</v>
      </c>
      <c r="P188" t="s">
        <v>397</v>
      </c>
      <c r="Q188" t="s">
        <v>487</v>
      </c>
      <c r="R188">
        <v>21</v>
      </c>
      <c r="S188">
        <v>40</v>
      </c>
      <c r="T188">
        <v>166</v>
      </c>
      <c r="U188">
        <v>-1</v>
      </c>
      <c r="V188" t="b">
        <v>0</v>
      </c>
      <c r="W188" t="s">
        <v>298</v>
      </c>
      <c r="X188" t="s">
        <v>363</v>
      </c>
      <c r="Y188" t="s">
        <v>272</v>
      </c>
      <c r="Z188">
        <v>0.85</v>
      </c>
      <c r="AA188">
        <v>0.85</v>
      </c>
      <c r="AS188">
        <f t="shared" si="87"/>
        <v>10</v>
      </c>
      <c r="AT188" t="s">
        <v>273</v>
      </c>
      <c r="AU188">
        <v>1</v>
      </c>
      <c r="AV188">
        <v>1</v>
      </c>
      <c r="AW188">
        <v>1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1</v>
      </c>
      <c r="BD188">
        <v>1</v>
      </c>
    </row>
    <row r="189" spans="1:56" x14ac:dyDescent="0.35">
      <c r="A189" s="45" t="s">
        <v>12</v>
      </c>
      <c r="B189" s="45" t="s">
        <v>50</v>
      </c>
      <c r="C189" s="45" t="str">
        <f>VLOOKUP(B189,templateLookup!A:B,2,0)</f>
        <v>COMPOSITE</v>
      </c>
      <c r="D189" s="10" t="s">
        <v>502</v>
      </c>
      <c r="V189" s="12"/>
    </row>
    <row r="190" spans="1:56" x14ac:dyDescent="0.35">
      <c r="A190" s="45" t="s">
        <v>12</v>
      </c>
      <c r="B190" s="45" t="s">
        <v>49</v>
      </c>
      <c r="C190" s="45" t="str">
        <f>VLOOKUP(B190,templateLookup!A:B,2,0)</f>
        <v>COMPOSITE</v>
      </c>
      <c r="D190" s="10" t="s">
        <v>503</v>
      </c>
      <c r="F190" t="s">
        <v>30</v>
      </c>
      <c r="V190" s="12"/>
      <c r="AS190">
        <f t="shared" ref="AS190:AS212" si="91">COUNTA(AU190:BD190)</f>
        <v>2</v>
      </c>
      <c r="AT190">
        <v>1</v>
      </c>
      <c r="AU190" t="str">
        <f>$D214</f>
        <v>MEDIA_VFDM</v>
      </c>
      <c r="AV190" t="str">
        <f>$D214</f>
        <v>MEDIA_VFDM</v>
      </c>
    </row>
    <row r="191" spans="1:56" x14ac:dyDescent="0.35">
      <c r="A191" s="7" t="s">
        <v>12</v>
      </c>
      <c r="B191" s="7" t="s">
        <v>54</v>
      </c>
      <c r="C191" s="7" t="str">
        <f>VLOOKUP(B191,templateLookup!A:B,2,0)</f>
        <v>PrimeMbistVminSearchTestMethod</v>
      </c>
      <c r="D191" t="str">
        <f t="shared" ref="D191:D212" si="92">E191&amp;"_"&amp;F191&amp;"_"&amp;G191&amp;"_"&amp;H191&amp;"_"&amp;A191&amp;"_"&amp;I191&amp;"_"&amp;J191&amp;"_"&amp;K191&amp;"_"&amp;L191&amp;"_"&amp;M191&amp;"_"&amp;N191</f>
        <v>SSA_GFX_HRY_E_BEGIN_TITO_SAME_NOM_LFM_0400_MEDIA1_BHRY_BP1</v>
      </c>
      <c r="E191" t="s">
        <v>4</v>
      </c>
      <c r="F191" t="s">
        <v>251</v>
      </c>
      <c r="G191" t="s">
        <v>271</v>
      </c>
      <c r="H191" t="s">
        <v>207</v>
      </c>
      <c r="I191" t="s">
        <v>260</v>
      </c>
      <c r="J191" t="s">
        <v>504</v>
      </c>
      <c r="K191" t="s">
        <v>284</v>
      </c>
      <c r="L191" t="s">
        <v>285</v>
      </c>
      <c r="M191" t="str">
        <f t="shared" ref="M191:M212" si="93">TEXT(400,"0000")</f>
        <v>0400</v>
      </c>
      <c r="N191" t="s">
        <v>505</v>
      </c>
      <c r="O191" t="s">
        <v>267</v>
      </c>
      <c r="P191" t="s">
        <v>397</v>
      </c>
      <c r="Q191" t="s">
        <v>506</v>
      </c>
      <c r="R191">
        <v>61</v>
      </c>
      <c r="S191">
        <v>40</v>
      </c>
      <c r="T191">
        <v>200</v>
      </c>
      <c r="U191">
        <v>-1</v>
      </c>
      <c r="V191" t="b">
        <v>0</v>
      </c>
      <c r="W191" t="s">
        <v>298</v>
      </c>
      <c r="X191" t="s">
        <v>271</v>
      </c>
      <c r="Y191" t="s">
        <v>272</v>
      </c>
      <c r="Z191">
        <v>0.85</v>
      </c>
      <c r="AA191">
        <v>0.85</v>
      </c>
      <c r="AS191">
        <f t="shared" si="91"/>
        <v>10</v>
      </c>
      <c r="AT191" t="s">
        <v>273</v>
      </c>
      <c r="AU191" t="str">
        <f t="shared" ref="AU191:AU196" si="94">$D192</f>
        <v>SSA_GFX_HRY_E_BEGIN_TITO_SAME_NOM_LFM_0400_MEDIA1_BISR_BISR_BP1</v>
      </c>
      <c r="AV191" t="str">
        <f>$D194</f>
        <v>SSA_GFX_HRY_E_BEGIN_TITO_SAME_NOM_LFM_0400_MEDIA3_BHRY_BP3</v>
      </c>
      <c r="AW191" t="str">
        <f t="shared" ref="AW191:BB191" si="95">$D192</f>
        <v>SSA_GFX_HRY_E_BEGIN_TITO_SAME_NOM_LFM_0400_MEDIA1_BISR_BISR_BP1</v>
      </c>
      <c r="AX191" t="str">
        <f t="shared" si="95"/>
        <v>SSA_GFX_HRY_E_BEGIN_TITO_SAME_NOM_LFM_0400_MEDIA1_BISR_BISR_BP1</v>
      </c>
      <c r="AY191" t="str">
        <f t="shared" si="95"/>
        <v>SSA_GFX_HRY_E_BEGIN_TITO_SAME_NOM_LFM_0400_MEDIA1_BISR_BISR_BP1</v>
      </c>
      <c r="AZ191" t="str">
        <f t="shared" si="95"/>
        <v>SSA_GFX_HRY_E_BEGIN_TITO_SAME_NOM_LFM_0400_MEDIA1_BISR_BISR_BP1</v>
      </c>
      <c r="BA191" t="str">
        <f t="shared" si="95"/>
        <v>SSA_GFX_HRY_E_BEGIN_TITO_SAME_NOM_LFM_0400_MEDIA1_BISR_BISR_BP1</v>
      </c>
      <c r="BB191" t="str">
        <f t="shared" si="95"/>
        <v>SSA_GFX_HRY_E_BEGIN_TITO_SAME_NOM_LFM_0400_MEDIA1_BISR_BISR_BP1</v>
      </c>
      <c r="BC191" t="str">
        <f>$D194</f>
        <v>SSA_GFX_HRY_E_BEGIN_TITO_SAME_NOM_LFM_0400_MEDIA3_BHRY_BP3</v>
      </c>
      <c r="BD191" t="str">
        <f>$D192</f>
        <v>SSA_GFX_HRY_E_BEGIN_TITO_SAME_NOM_LFM_0400_MEDIA1_BISR_BISR_BP1</v>
      </c>
    </row>
    <row r="192" spans="1:56" x14ac:dyDescent="0.35">
      <c r="A192" s="7" t="s">
        <v>12</v>
      </c>
      <c r="B192" s="7" t="s">
        <v>54</v>
      </c>
      <c r="C192" s="7" t="str">
        <f>VLOOKUP(B192,templateLookup!A:B,2,0)</f>
        <v>PrimeMbistVminSearchTestMethod</v>
      </c>
      <c r="D192" t="str">
        <f t="shared" si="92"/>
        <v>SSA_GFX_HRY_E_BEGIN_TITO_SAME_NOM_LFM_0400_MEDIA1_BISR_BISR_BP1</v>
      </c>
      <c r="E192" t="s">
        <v>4</v>
      </c>
      <c r="F192" t="s">
        <v>251</v>
      </c>
      <c r="G192" t="s">
        <v>271</v>
      </c>
      <c r="H192" t="s">
        <v>207</v>
      </c>
      <c r="I192" t="s">
        <v>260</v>
      </c>
      <c r="J192" t="s">
        <v>504</v>
      </c>
      <c r="K192" t="s">
        <v>284</v>
      </c>
      <c r="L192" t="s">
        <v>285</v>
      </c>
      <c r="M192" t="str">
        <f t="shared" si="93"/>
        <v>0400</v>
      </c>
      <c r="N192" t="s">
        <v>507</v>
      </c>
      <c r="O192" t="s">
        <v>267</v>
      </c>
      <c r="P192" t="s">
        <v>397</v>
      </c>
      <c r="Q192" t="s">
        <v>508</v>
      </c>
      <c r="R192">
        <v>61</v>
      </c>
      <c r="S192">
        <v>40</v>
      </c>
      <c r="T192">
        <v>201</v>
      </c>
      <c r="U192">
        <v>-1</v>
      </c>
      <c r="V192" t="b">
        <v>0</v>
      </c>
      <c r="W192" t="s">
        <v>298</v>
      </c>
      <c r="X192" t="s">
        <v>401</v>
      </c>
      <c r="Y192" t="s">
        <v>272</v>
      </c>
      <c r="Z192">
        <v>0.85</v>
      </c>
      <c r="AA192">
        <v>0.85</v>
      </c>
      <c r="AS192">
        <f t="shared" si="91"/>
        <v>10</v>
      </c>
      <c r="AT192" t="s">
        <v>273</v>
      </c>
      <c r="AU192" t="str">
        <f t="shared" si="94"/>
        <v>SSA_GFX_RASTER_E_BEGIN_TITO_SAME_NOM_LFM_0400_MEDIA1_RASTER_BISR_BP1</v>
      </c>
      <c r="AV192" t="str">
        <f t="shared" ref="AV192:BD192" si="96">$D194</f>
        <v>SSA_GFX_HRY_E_BEGIN_TITO_SAME_NOM_LFM_0400_MEDIA3_BHRY_BP3</v>
      </c>
      <c r="AW192" t="str">
        <f t="shared" si="96"/>
        <v>SSA_GFX_HRY_E_BEGIN_TITO_SAME_NOM_LFM_0400_MEDIA3_BHRY_BP3</v>
      </c>
      <c r="AX192" t="str">
        <f t="shared" si="96"/>
        <v>SSA_GFX_HRY_E_BEGIN_TITO_SAME_NOM_LFM_0400_MEDIA3_BHRY_BP3</v>
      </c>
      <c r="AY192" t="str">
        <f t="shared" si="96"/>
        <v>SSA_GFX_HRY_E_BEGIN_TITO_SAME_NOM_LFM_0400_MEDIA3_BHRY_BP3</v>
      </c>
      <c r="AZ192" t="str">
        <f t="shared" si="96"/>
        <v>SSA_GFX_HRY_E_BEGIN_TITO_SAME_NOM_LFM_0400_MEDIA3_BHRY_BP3</v>
      </c>
      <c r="BA192" t="str">
        <f t="shared" si="96"/>
        <v>SSA_GFX_HRY_E_BEGIN_TITO_SAME_NOM_LFM_0400_MEDIA3_BHRY_BP3</v>
      </c>
      <c r="BB192" t="str">
        <f t="shared" si="96"/>
        <v>SSA_GFX_HRY_E_BEGIN_TITO_SAME_NOM_LFM_0400_MEDIA3_BHRY_BP3</v>
      </c>
      <c r="BC192" t="str">
        <f t="shared" si="96"/>
        <v>SSA_GFX_HRY_E_BEGIN_TITO_SAME_NOM_LFM_0400_MEDIA3_BHRY_BP3</v>
      </c>
      <c r="BD192" t="str">
        <f t="shared" si="96"/>
        <v>SSA_GFX_HRY_E_BEGIN_TITO_SAME_NOM_LFM_0400_MEDIA3_BHRY_BP3</v>
      </c>
    </row>
    <row r="193" spans="1:56" x14ac:dyDescent="0.35">
      <c r="A193" s="7" t="s">
        <v>12</v>
      </c>
      <c r="B193" s="7" t="s">
        <v>56</v>
      </c>
      <c r="C193" s="7" t="str">
        <f>VLOOKUP(B193,templateLookup!A:B,2,0)</f>
        <v>MbistRasterTC</v>
      </c>
      <c r="D193" t="str">
        <f t="shared" si="92"/>
        <v>SSA_GFX_RASTER_E_BEGIN_TITO_SAME_NOM_LFM_0400_MEDIA1_RASTER_BISR_BP1</v>
      </c>
      <c r="E193" t="s">
        <v>4</v>
      </c>
      <c r="F193" t="s">
        <v>251</v>
      </c>
      <c r="G193" t="s">
        <v>289</v>
      </c>
      <c r="H193" t="s">
        <v>207</v>
      </c>
      <c r="I193" t="s">
        <v>260</v>
      </c>
      <c r="J193" t="s">
        <v>504</v>
      </c>
      <c r="K193" t="s">
        <v>284</v>
      </c>
      <c r="L193" t="s">
        <v>285</v>
      </c>
      <c r="M193" t="str">
        <f t="shared" si="93"/>
        <v>0400</v>
      </c>
      <c r="N193" t="s">
        <v>509</v>
      </c>
      <c r="O193" t="s">
        <v>267</v>
      </c>
      <c r="P193" t="s">
        <v>397</v>
      </c>
      <c r="Q193" t="s">
        <v>291</v>
      </c>
      <c r="R193">
        <v>61</v>
      </c>
      <c r="S193">
        <v>40</v>
      </c>
      <c r="T193">
        <v>202</v>
      </c>
      <c r="U193">
        <v>1</v>
      </c>
      <c r="V193" t="b">
        <v>0</v>
      </c>
      <c r="W193" t="s">
        <v>298</v>
      </c>
      <c r="AS193">
        <f t="shared" si="91"/>
        <v>5</v>
      </c>
      <c r="AT193">
        <v>1</v>
      </c>
      <c r="AU193" t="str">
        <f t="shared" si="94"/>
        <v>SSA_GFX_HRY_E_BEGIN_TITO_SAME_NOM_LFM_0400_MEDIA3_BHRY_BP3</v>
      </c>
      <c r="AV193" t="str">
        <f>$D194</f>
        <v>SSA_GFX_HRY_E_BEGIN_TITO_SAME_NOM_LFM_0400_MEDIA3_BHRY_BP3</v>
      </c>
      <c r="AW193" t="str">
        <f>$D194</f>
        <v>SSA_GFX_HRY_E_BEGIN_TITO_SAME_NOM_LFM_0400_MEDIA3_BHRY_BP3</v>
      </c>
      <c r="AX193" t="str">
        <f>$D194</f>
        <v>SSA_GFX_HRY_E_BEGIN_TITO_SAME_NOM_LFM_0400_MEDIA3_BHRY_BP3</v>
      </c>
      <c r="AY193" t="str">
        <f>$D194</f>
        <v>SSA_GFX_HRY_E_BEGIN_TITO_SAME_NOM_LFM_0400_MEDIA3_BHRY_BP3</v>
      </c>
    </row>
    <row r="194" spans="1:56" x14ac:dyDescent="0.35">
      <c r="A194" s="7" t="s">
        <v>12</v>
      </c>
      <c r="B194" s="7" t="s">
        <v>54</v>
      </c>
      <c r="C194" s="7" t="str">
        <f>VLOOKUP(B194,templateLookup!A:B,2,0)</f>
        <v>PrimeMbistVminSearchTestMethod</v>
      </c>
      <c r="D194" t="str">
        <f t="shared" si="92"/>
        <v>SSA_GFX_HRY_E_BEGIN_TITO_SAME_NOM_LFM_0400_MEDIA3_BHRY_BP3</v>
      </c>
      <c r="E194" t="s">
        <v>4</v>
      </c>
      <c r="F194" t="s">
        <v>251</v>
      </c>
      <c r="G194" t="s">
        <v>271</v>
      </c>
      <c r="H194" t="s">
        <v>207</v>
      </c>
      <c r="I194" t="s">
        <v>260</v>
      </c>
      <c r="J194" t="s">
        <v>504</v>
      </c>
      <c r="K194" t="s">
        <v>284</v>
      </c>
      <c r="L194" t="s">
        <v>285</v>
      </c>
      <c r="M194" t="str">
        <f t="shared" si="93"/>
        <v>0400</v>
      </c>
      <c r="N194" t="s">
        <v>510</v>
      </c>
      <c r="O194" t="s">
        <v>267</v>
      </c>
      <c r="P194" t="s">
        <v>397</v>
      </c>
      <c r="Q194" t="s">
        <v>511</v>
      </c>
      <c r="R194">
        <v>61</v>
      </c>
      <c r="S194">
        <v>40</v>
      </c>
      <c r="T194">
        <v>203</v>
      </c>
      <c r="U194">
        <v>-1</v>
      </c>
      <c r="V194" t="b">
        <v>0</v>
      </c>
      <c r="W194" t="s">
        <v>298</v>
      </c>
      <c r="X194" t="s">
        <v>271</v>
      </c>
      <c r="Y194" t="s">
        <v>272</v>
      </c>
      <c r="Z194">
        <v>0.85</v>
      </c>
      <c r="AA194">
        <v>0.85</v>
      </c>
      <c r="AS194">
        <f t="shared" si="91"/>
        <v>10</v>
      </c>
      <c r="AT194" t="s">
        <v>273</v>
      </c>
      <c r="AU194" t="str">
        <f t="shared" si="94"/>
        <v>SSA_GFX_HRY_E_BEGIN_TITO_SAME_NOM_LFM_0400_MEDIA3_BISR_BISR_BP3</v>
      </c>
      <c r="AV194" t="str">
        <f>$D197</f>
        <v>LSA_GFX_HRY_E_BEGIN_TITO_SAME_NOM_LFM_0400_MEDIA0_BHRY_BP0</v>
      </c>
      <c r="AW194" t="str">
        <f t="shared" ref="AW194:BB194" si="97">$D195</f>
        <v>SSA_GFX_HRY_E_BEGIN_TITO_SAME_NOM_LFM_0400_MEDIA3_BISR_BISR_BP3</v>
      </c>
      <c r="AX194" t="str">
        <f t="shared" si="97"/>
        <v>SSA_GFX_HRY_E_BEGIN_TITO_SAME_NOM_LFM_0400_MEDIA3_BISR_BISR_BP3</v>
      </c>
      <c r="AY194" t="str">
        <f t="shared" si="97"/>
        <v>SSA_GFX_HRY_E_BEGIN_TITO_SAME_NOM_LFM_0400_MEDIA3_BISR_BISR_BP3</v>
      </c>
      <c r="AZ194" t="str">
        <f t="shared" si="97"/>
        <v>SSA_GFX_HRY_E_BEGIN_TITO_SAME_NOM_LFM_0400_MEDIA3_BISR_BISR_BP3</v>
      </c>
      <c r="BA194" t="str">
        <f t="shared" si="97"/>
        <v>SSA_GFX_HRY_E_BEGIN_TITO_SAME_NOM_LFM_0400_MEDIA3_BISR_BISR_BP3</v>
      </c>
      <c r="BB194" t="str">
        <f t="shared" si="97"/>
        <v>SSA_GFX_HRY_E_BEGIN_TITO_SAME_NOM_LFM_0400_MEDIA3_BISR_BISR_BP3</v>
      </c>
      <c r="BC194" t="str">
        <f>$D197</f>
        <v>LSA_GFX_HRY_E_BEGIN_TITO_SAME_NOM_LFM_0400_MEDIA0_BHRY_BP0</v>
      </c>
      <c r="BD194" t="str">
        <f>$D195</f>
        <v>SSA_GFX_HRY_E_BEGIN_TITO_SAME_NOM_LFM_0400_MEDIA3_BISR_BISR_BP3</v>
      </c>
    </row>
    <row r="195" spans="1:56" x14ac:dyDescent="0.35">
      <c r="A195" s="7" t="s">
        <v>12</v>
      </c>
      <c r="B195" s="7" t="s">
        <v>54</v>
      </c>
      <c r="C195" s="7" t="str">
        <f>VLOOKUP(B195,templateLookup!A:B,2,0)</f>
        <v>PrimeMbistVminSearchTestMethod</v>
      </c>
      <c r="D195" t="str">
        <f t="shared" si="92"/>
        <v>SSA_GFX_HRY_E_BEGIN_TITO_SAME_NOM_LFM_0400_MEDIA3_BISR_BISR_BP3</v>
      </c>
      <c r="E195" t="s">
        <v>4</v>
      </c>
      <c r="F195" t="s">
        <v>251</v>
      </c>
      <c r="G195" t="s">
        <v>271</v>
      </c>
      <c r="H195" t="s">
        <v>207</v>
      </c>
      <c r="I195" t="s">
        <v>260</v>
      </c>
      <c r="J195" t="s">
        <v>504</v>
      </c>
      <c r="K195" t="s">
        <v>284</v>
      </c>
      <c r="L195" t="s">
        <v>285</v>
      </c>
      <c r="M195" t="str">
        <f t="shared" si="93"/>
        <v>0400</v>
      </c>
      <c r="N195" t="s">
        <v>512</v>
      </c>
      <c r="O195" t="s">
        <v>267</v>
      </c>
      <c r="P195" t="s">
        <v>397</v>
      </c>
      <c r="Q195" t="s">
        <v>513</v>
      </c>
      <c r="R195">
        <v>61</v>
      </c>
      <c r="S195">
        <v>40</v>
      </c>
      <c r="T195">
        <v>204</v>
      </c>
      <c r="U195">
        <v>-1</v>
      </c>
      <c r="V195" t="b">
        <v>0</v>
      </c>
      <c r="W195" t="s">
        <v>298</v>
      </c>
      <c r="X195" t="s">
        <v>401</v>
      </c>
      <c r="Y195" t="s">
        <v>272</v>
      </c>
      <c r="Z195">
        <v>0.85</v>
      </c>
      <c r="AA195">
        <v>0.85</v>
      </c>
      <c r="AS195">
        <f t="shared" si="91"/>
        <v>10</v>
      </c>
      <c r="AT195" t="s">
        <v>273</v>
      </c>
      <c r="AU195" t="str">
        <f t="shared" si="94"/>
        <v>SSA_GFX_RASTER_E_BEGIN_TITO_SAME_NOM_LFM_0400_MEDIA3_RASTER_BISR_BP3</v>
      </c>
      <c r="AV195" t="str">
        <f t="shared" ref="AV195:BD195" si="98">$D197</f>
        <v>LSA_GFX_HRY_E_BEGIN_TITO_SAME_NOM_LFM_0400_MEDIA0_BHRY_BP0</v>
      </c>
      <c r="AW195" t="str">
        <f t="shared" si="98"/>
        <v>LSA_GFX_HRY_E_BEGIN_TITO_SAME_NOM_LFM_0400_MEDIA0_BHRY_BP0</v>
      </c>
      <c r="AX195" t="str">
        <f t="shared" si="98"/>
        <v>LSA_GFX_HRY_E_BEGIN_TITO_SAME_NOM_LFM_0400_MEDIA0_BHRY_BP0</v>
      </c>
      <c r="AY195" t="str">
        <f t="shared" si="98"/>
        <v>LSA_GFX_HRY_E_BEGIN_TITO_SAME_NOM_LFM_0400_MEDIA0_BHRY_BP0</v>
      </c>
      <c r="AZ195" t="str">
        <f t="shared" si="98"/>
        <v>LSA_GFX_HRY_E_BEGIN_TITO_SAME_NOM_LFM_0400_MEDIA0_BHRY_BP0</v>
      </c>
      <c r="BA195" t="str">
        <f t="shared" si="98"/>
        <v>LSA_GFX_HRY_E_BEGIN_TITO_SAME_NOM_LFM_0400_MEDIA0_BHRY_BP0</v>
      </c>
      <c r="BB195" t="str">
        <f t="shared" si="98"/>
        <v>LSA_GFX_HRY_E_BEGIN_TITO_SAME_NOM_LFM_0400_MEDIA0_BHRY_BP0</v>
      </c>
      <c r="BC195" t="str">
        <f t="shared" si="98"/>
        <v>LSA_GFX_HRY_E_BEGIN_TITO_SAME_NOM_LFM_0400_MEDIA0_BHRY_BP0</v>
      </c>
      <c r="BD195" t="str">
        <f t="shared" si="98"/>
        <v>LSA_GFX_HRY_E_BEGIN_TITO_SAME_NOM_LFM_0400_MEDIA0_BHRY_BP0</v>
      </c>
    </row>
    <row r="196" spans="1:56" x14ac:dyDescent="0.35">
      <c r="A196" s="7" t="s">
        <v>12</v>
      </c>
      <c r="B196" s="7" t="s">
        <v>56</v>
      </c>
      <c r="C196" s="7" t="str">
        <f>VLOOKUP(B196,templateLookup!A:B,2,0)</f>
        <v>MbistRasterTC</v>
      </c>
      <c r="D196" t="str">
        <f t="shared" si="92"/>
        <v>SSA_GFX_RASTER_E_BEGIN_TITO_SAME_NOM_LFM_0400_MEDIA3_RASTER_BISR_BP3</v>
      </c>
      <c r="E196" t="s">
        <v>4</v>
      </c>
      <c r="F196" t="s">
        <v>251</v>
      </c>
      <c r="G196" t="s">
        <v>289</v>
      </c>
      <c r="H196" t="s">
        <v>207</v>
      </c>
      <c r="I196" t="s">
        <v>260</v>
      </c>
      <c r="J196" t="s">
        <v>504</v>
      </c>
      <c r="K196" t="s">
        <v>284</v>
      </c>
      <c r="L196" t="s">
        <v>285</v>
      </c>
      <c r="M196" t="str">
        <f t="shared" si="93"/>
        <v>0400</v>
      </c>
      <c r="N196" t="s">
        <v>514</v>
      </c>
      <c r="O196" t="s">
        <v>267</v>
      </c>
      <c r="P196" t="s">
        <v>397</v>
      </c>
      <c r="Q196" t="s">
        <v>291</v>
      </c>
      <c r="R196">
        <v>61</v>
      </c>
      <c r="S196">
        <v>40</v>
      </c>
      <c r="T196">
        <v>205</v>
      </c>
      <c r="U196">
        <v>1</v>
      </c>
      <c r="V196" t="b">
        <v>0</v>
      </c>
      <c r="W196" t="s">
        <v>298</v>
      </c>
      <c r="AS196">
        <f t="shared" si="91"/>
        <v>5</v>
      </c>
      <c r="AT196">
        <v>1</v>
      </c>
      <c r="AU196" t="str">
        <f t="shared" si="94"/>
        <v>LSA_GFX_HRY_E_BEGIN_TITO_SAME_NOM_LFM_0400_MEDIA0_BHRY_BP0</v>
      </c>
      <c r="AV196" t="str">
        <f>$D197</f>
        <v>LSA_GFX_HRY_E_BEGIN_TITO_SAME_NOM_LFM_0400_MEDIA0_BHRY_BP0</v>
      </c>
      <c r="AW196" t="str">
        <f>$D197</f>
        <v>LSA_GFX_HRY_E_BEGIN_TITO_SAME_NOM_LFM_0400_MEDIA0_BHRY_BP0</v>
      </c>
      <c r="AX196" t="str">
        <f>$D197</f>
        <v>LSA_GFX_HRY_E_BEGIN_TITO_SAME_NOM_LFM_0400_MEDIA0_BHRY_BP0</v>
      </c>
      <c r="AY196" t="str">
        <f>$D197</f>
        <v>LSA_GFX_HRY_E_BEGIN_TITO_SAME_NOM_LFM_0400_MEDIA0_BHRY_BP0</v>
      </c>
    </row>
    <row r="197" spans="1:56" x14ac:dyDescent="0.35">
      <c r="A197" s="7" t="s">
        <v>12</v>
      </c>
      <c r="B197" s="7" t="s">
        <v>54</v>
      </c>
      <c r="C197" s="7" t="str">
        <f>VLOOKUP(B197,templateLookup!A:B,2,0)</f>
        <v>PrimeMbistVminSearchTestMethod</v>
      </c>
      <c r="D197" t="str">
        <f t="shared" si="92"/>
        <v>LSA_GFX_HRY_E_BEGIN_TITO_SAME_NOM_LFM_0400_MEDIA0_BHRY_BP0</v>
      </c>
      <c r="E197" t="s">
        <v>5</v>
      </c>
      <c r="F197" t="s">
        <v>251</v>
      </c>
      <c r="G197" t="s">
        <v>271</v>
      </c>
      <c r="H197" t="s">
        <v>207</v>
      </c>
      <c r="I197" t="s">
        <v>260</v>
      </c>
      <c r="J197" t="s">
        <v>504</v>
      </c>
      <c r="K197" t="s">
        <v>284</v>
      </c>
      <c r="L197" t="s">
        <v>285</v>
      </c>
      <c r="M197" t="str">
        <f t="shared" si="93"/>
        <v>0400</v>
      </c>
      <c r="N197" t="s">
        <v>515</v>
      </c>
      <c r="O197" t="s">
        <v>267</v>
      </c>
      <c r="P197" t="s">
        <v>397</v>
      </c>
      <c r="Q197" t="s">
        <v>516</v>
      </c>
      <c r="R197">
        <v>21</v>
      </c>
      <c r="S197">
        <v>40</v>
      </c>
      <c r="T197">
        <v>206</v>
      </c>
      <c r="U197">
        <v>-1</v>
      </c>
      <c r="V197" t="b">
        <v>0</v>
      </c>
      <c r="W197" t="s">
        <v>298</v>
      </c>
      <c r="X197" t="s">
        <v>271</v>
      </c>
      <c r="Y197" t="s">
        <v>272</v>
      </c>
      <c r="Z197">
        <v>0.85</v>
      </c>
      <c r="AA197">
        <v>0.85</v>
      </c>
      <c r="AS197">
        <f t="shared" si="91"/>
        <v>10</v>
      </c>
      <c r="AT197" t="s">
        <v>273</v>
      </c>
      <c r="AU197" t="str">
        <f>$D199</f>
        <v>LSA_GFX_RASTER_E_BEGIN_TITO_SAME_NOM_LFM_0400_MEDIA0_RASTER_BISR_BP0_MDH4</v>
      </c>
      <c r="AV197" t="str">
        <f>$D201</f>
        <v>LSA_GFX_HRY_E_BEGIN_TITO_SAME_NOM_LFM_0400_MEDIA1_BHRY_BP1</v>
      </c>
      <c r="AW197" t="str">
        <f t="shared" ref="AW197:BB197" si="99">$D199</f>
        <v>LSA_GFX_RASTER_E_BEGIN_TITO_SAME_NOM_LFM_0400_MEDIA0_RASTER_BISR_BP0_MDH4</v>
      </c>
      <c r="AX197" t="str">
        <f t="shared" si="99"/>
        <v>LSA_GFX_RASTER_E_BEGIN_TITO_SAME_NOM_LFM_0400_MEDIA0_RASTER_BISR_BP0_MDH4</v>
      </c>
      <c r="AY197" t="str">
        <f t="shared" si="99"/>
        <v>LSA_GFX_RASTER_E_BEGIN_TITO_SAME_NOM_LFM_0400_MEDIA0_RASTER_BISR_BP0_MDH4</v>
      </c>
      <c r="AZ197" t="str">
        <f t="shared" si="99"/>
        <v>LSA_GFX_RASTER_E_BEGIN_TITO_SAME_NOM_LFM_0400_MEDIA0_RASTER_BISR_BP0_MDH4</v>
      </c>
      <c r="BA197" t="str">
        <f t="shared" si="99"/>
        <v>LSA_GFX_RASTER_E_BEGIN_TITO_SAME_NOM_LFM_0400_MEDIA0_RASTER_BISR_BP0_MDH4</v>
      </c>
      <c r="BB197" t="str">
        <f t="shared" si="99"/>
        <v>LSA_GFX_RASTER_E_BEGIN_TITO_SAME_NOM_LFM_0400_MEDIA0_RASTER_BISR_BP0_MDH4</v>
      </c>
      <c r="BC197" t="str">
        <f>$D201</f>
        <v>LSA_GFX_HRY_E_BEGIN_TITO_SAME_NOM_LFM_0400_MEDIA1_BHRY_BP1</v>
      </c>
      <c r="BD197" t="str">
        <f>$D199</f>
        <v>LSA_GFX_RASTER_E_BEGIN_TITO_SAME_NOM_LFM_0400_MEDIA0_RASTER_BISR_BP0_MDH4</v>
      </c>
    </row>
    <row r="198" spans="1:56" x14ac:dyDescent="0.35">
      <c r="A198" s="7" t="s">
        <v>12</v>
      </c>
      <c r="B198" s="7" t="s">
        <v>54</v>
      </c>
      <c r="C198" s="7" t="str">
        <f>VLOOKUP(B198,templateLookup!A:B,2,0)</f>
        <v>PrimeMbistVminSearchTestMethod</v>
      </c>
      <c r="D198" t="str">
        <f t="shared" si="92"/>
        <v>LSA_GFX_HRY_E_BEGIN_TITO_SAME_NOM_LFM_0400_MEDIA0_BISR_BISR_BP0</v>
      </c>
      <c r="E198" t="s">
        <v>5</v>
      </c>
      <c r="F198" t="s">
        <v>251</v>
      </c>
      <c r="G198" t="s">
        <v>271</v>
      </c>
      <c r="H198" t="s">
        <v>207</v>
      </c>
      <c r="I198" t="s">
        <v>260</v>
      </c>
      <c r="J198" t="s">
        <v>504</v>
      </c>
      <c r="K198" t="s">
        <v>284</v>
      </c>
      <c r="L198" t="s">
        <v>285</v>
      </c>
      <c r="M198" t="str">
        <f t="shared" si="93"/>
        <v>0400</v>
      </c>
      <c r="N198" t="s">
        <v>517</v>
      </c>
      <c r="O198" t="s">
        <v>267</v>
      </c>
      <c r="P198" t="s">
        <v>397</v>
      </c>
      <c r="Q198" t="s">
        <v>518</v>
      </c>
      <c r="R198">
        <v>21</v>
      </c>
      <c r="S198">
        <v>40</v>
      </c>
      <c r="T198">
        <v>207</v>
      </c>
      <c r="U198">
        <v>-1</v>
      </c>
      <c r="V198" t="b">
        <v>0</v>
      </c>
      <c r="W198" t="s">
        <v>298</v>
      </c>
      <c r="X198" t="s">
        <v>401</v>
      </c>
      <c r="Y198" t="s">
        <v>272</v>
      </c>
      <c r="Z198">
        <v>0.85</v>
      </c>
      <c r="AA198">
        <v>0.85</v>
      </c>
      <c r="AS198">
        <f t="shared" si="91"/>
        <v>10</v>
      </c>
      <c r="AT198" t="s">
        <v>273</v>
      </c>
      <c r="AU198" t="str">
        <f>$D201</f>
        <v>LSA_GFX_HRY_E_BEGIN_TITO_SAME_NOM_LFM_0400_MEDIA1_BHRY_BP1</v>
      </c>
      <c r="AV198" t="str">
        <f t="shared" ref="AV198:BD198" si="100">$D201</f>
        <v>LSA_GFX_HRY_E_BEGIN_TITO_SAME_NOM_LFM_0400_MEDIA1_BHRY_BP1</v>
      </c>
      <c r="AW198" t="str">
        <f t="shared" si="100"/>
        <v>LSA_GFX_HRY_E_BEGIN_TITO_SAME_NOM_LFM_0400_MEDIA1_BHRY_BP1</v>
      </c>
      <c r="AX198" t="str">
        <f t="shared" si="100"/>
        <v>LSA_GFX_HRY_E_BEGIN_TITO_SAME_NOM_LFM_0400_MEDIA1_BHRY_BP1</v>
      </c>
      <c r="AY198" t="str">
        <f t="shared" si="100"/>
        <v>LSA_GFX_HRY_E_BEGIN_TITO_SAME_NOM_LFM_0400_MEDIA1_BHRY_BP1</v>
      </c>
      <c r="AZ198" t="str">
        <f t="shared" si="100"/>
        <v>LSA_GFX_HRY_E_BEGIN_TITO_SAME_NOM_LFM_0400_MEDIA1_BHRY_BP1</v>
      </c>
      <c r="BA198" t="str">
        <f t="shared" si="100"/>
        <v>LSA_GFX_HRY_E_BEGIN_TITO_SAME_NOM_LFM_0400_MEDIA1_BHRY_BP1</v>
      </c>
      <c r="BB198" t="str">
        <f t="shared" si="100"/>
        <v>LSA_GFX_HRY_E_BEGIN_TITO_SAME_NOM_LFM_0400_MEDIA1_BHRY_BP1</v>
      </c>
      <c r="BC198" t="str">
        <f t="shared" si="100"/>
        <v>LSA_GFX_HRY_E_BEGIN_TITO_SAME_NOM_LFM_0400_MEDIA1_BHRY_BP1</v>
      </c>
      <c r="BD198" t="str">
        <f t="shared" si="100"/>
        <v>LSA_GFX_HRY_E_BEGIN_TITO_SAME_NOM_LFM_0400_MEDIA1_BHRY_BP1</v>
      </c>
    </row>
    <row r="199" spans="1:56" x14ac:dyDescent="0.35">
      <c r="A199" s="7" t="s">
        <v>12</v>
      </c>
      <c r="B199" s="7" t="s">
        <v>56</v>
      </c>
      <c r="C199" s="7" t="str">
        <f>VLOOKUP(B199,templateLookup!A:B,2,0)</f>
        <v>MbistRasterTC</v>
      </c>
      <c r="D199" s="46" t="str">
        <f t="shared" si="92"/>
        <v>LSA_GFX_RASTER_E_BEGIN_TITO_SAME_NOM_LFM_0400_MEDIA0_RASTER_BISR_BP0_MDH4</v>
      </c>
      <c r="E199" t="s">
        <v>5</v>
      </c>
      <c r="F199" t="s">
        <v>251</v>
      </c>
      <c r="G199" t="s">
        <v>289</v>
      </c>
      <c r="H199" t="s">
        <v>207</v>
      </c>
      <c r="I199" t="s">
        <v>260</v>
      </c>
      <c r="J199" t="s">
        <v>504</v>
      </c>
      <c r="K199" t="s">
        <v>284</v>
      </c>
      <c r="L199" t="s">
        <v>285</v>
      </c>
      <c r="M199" t="str">
        <f t="shared" si="93"/>
        <v>0400</v>
      </c>
      <c r="N199" t="s">
        <v>519</v>
      </c>
      <c r="O199" t="s">
        <v>267</v>
      </c>
      <c r="P199" t="s">
        <v>397</v>
      </c>
      <c r="Q199" t="s">
        <v>520</v>
      </c>
      <c r="R199">
        <v>21</v>
      </c>
      <c r="S199">
        <v>40</v>
      </c>
      <c r="T199">
        <v>208</v>
      </c>
      <c r="U199">
        <v>-1</v>
      </c>
      <c r="V199" t="b">
        <v>0</v>
      </c>
      <c r="W199" t="s">
        <v>298</v>
      </c>
      <c r="AS199">
        <f t="shared" si="91"/>
        <v>5</v>
      </c>
      <c r="AT199">
        <v>1</v>
      </c>
      <c r="AU199" t="str">
        <f t="shared" ref="AU199:AY199" si="101">$D200</f>
        <v>LSA_GFX_RASTER_E_BEGIN_TITO_SAME_NOM_LFM_0400_MEDIA0_RASTER_BISR_BP0_MDC1</v>
      </c>
      <c r="AV199" t="str">
        <f t="shared" si="101"/>
        <v>LSA_GFX_RASTER_E_BEGIN_TITO_SAME_NOM_LFM_0400_MEDIA0_RASTER_BISR_BP0_MDC1</v>
      </c>
      <c r="AW199" t="str">
        <f t="shared" si="101"/>
        <v>LSA_GFX_RASTER_E_BEGIN_TITO_SAME_NOM_LFM_0400_MEDIA0_RASTER_BISR_BP0_MDC1</v>
      </c>
      <c r="AX199" t="str">
        <f t="shared" si="101"/>
        <v>LSA_GFX_RASTER_E_BEGIN_TITO_SAME_NOM_LFM_0400_MEDIA0_RASTER_BISR_BP0_MDC1</v>
      </c>
      <c r="AY199" t="str">
        <f t="shared" si="101"/>
        <v>LSA_GFX_RASTER_E_BEGIN_TITO_SAME_NOM_LFM_0400_MEDIA0_RASTER_BISR_BP0_MDC1</v>
      </c>
    </row>
    <row r="200" spans="1:56" x14ac:dyDescent="0.35">
      <c r="A200" s="7" t="s">
        <v>12</v>
      </c>
      <c r="B200" s="7" t="s">
        <v>56</v>
      </c>
      <c r="C200" s="7" t="str">
        <f>VLOOKUP(B200,templateLookup!A:B,2,0)</f>
        <v>MbistRasterTC</v>
      </c>
      <c r="D200" s="46" t="str">
        <f t="shared" ref="D200" si="102">E200&amp;"_"&amp;F200&amp;"_"&amp;G200&amp;"_"&amp;H200&amp;"_"&amp;A200&amp;"_"&amp;I200&amp;"_"&amp;J200&amp;"_"&amp;K200&amp;"_"&amp;L200&amp;"_"&amp;M200&amp;"_"&amp;N200</f>
        <v>LSA_GFX_RASTER_E_BEGIN_TITO_SAME_NOM_LFM_0400_MEDIA0_RASTER_BISR_BP0_MDC1</v>
      </c>
      <c r="E200" t="s">
        <v>5</v>
      </c>
      <c r="F200" t="s">
        <v>251</v>
      </c>
      <c r="G200" t="s">
        <v>289</v>
      </c>
      <c r="H200" t="s">
        <v>207</v>
      </c>
      <c r="I200" t="s">
        <v>260</v>
      </c>
      <c r="J200" t="s">
        <v>504</v>
      </c>
      <c r="K200" t="s">
        <v>284</v>
      </c>
      <c r="L200" t="s">
        <v>285</v>
      </c>
      <c r="M200" t="str">
        <f t="shared" si="93"/>
        <v>0400</v>
      </c>
      <c r="N200" t="s">
        <v>521</v>
      </c>
      <c r="O200" t="s">
        <v>267</v>
      </c>
      <c r="P200" t="s">
        <v>397</v>
      </c>
      <c r="Q200" t="s">
        <v>522</v>
      </c>
      <c r="R200">
        <v>21</v>
      </c>
      <c r="S200">
        <v>40</v>
      </c>
      <c r="T200">
        <v>209</v>
      </c>
      <c r="U200">
        <v>-1</v>
      </c>
      <c r="V200" t="b">
        <v>0</v>
      </c>
      <c r="W200" t="s">
        <v>298</v>
      </c>
      <c r="AS200">
        <f t="shared" ref="AS200" si="103">COUNTA(AU200:BD200)</f>
        <v>5</v>
      </c>
      <c r="AT200">
        <v>1</v>
      </c>
      <c r="AU200" t="str">
        <f>$D198</f>
        <v>LSA_GFX_HRY_E_BEGIN_TITO_SAME_NOM_LFM_0400_MEDIA0_BISR_BISR_BP0</v>
      </c>
      <c r="AV200" t="str">
        <f t="shared" ref="AV200:AY200" si="104">$D198</f>
        <v>LSA_GFX_HRY_E_BEGIN_TITO_SAME_NOM_LFM_0400_MEDIA0_BISR_BISR_BP0</v>
      </c>
      <c r="AW200" t="str">
        <f t="shared" si="104"/>
        <v>LSA_GFX_HRY_E_BEGIN_TITO_SAME_NOM_LFM_0400_MEDIA0_BISR_BISR_BP0</v>
      </c>
      <c r="AX200" t="str">
        <f t="shared" si="104"/>
        <v>LSA_GFX_HRY_E_BEGIN_TITO_SAME_NOM_LFM_0400_MEDIA0_BISR_BISR_BP0</v>
      </c>
      <c r="AY200" t="str">
        <f t="shared" si="104"/>
        <v>LSA_GFX_HRY_E_BEGIN_TITO_SAME_NOM_LFM_0400_MEDIA0_BISR_BISR_BP0</v>
      </c>
    </row>
    <row r="201" spans="1:56" x14ac:dyDescent="0.35">
      <c r="A201" s="7" t="s">
        <v>12</v>
      </c>
      <c r="B201" s="7" t="s">
        <v>54</v>
      </c>
      <c r="C201" s="7" t="str">
        <f>VLOOKUP(B201,templateLookup!A:B,2,0)</f>
        <v>PrimeMbistVminSearchTestMethod</v>
      </c>
      <c r="D201" t="str">
        <f t="shared" si="92"/>
        <v>LSA_GFX_HRY_E_BEGIN_TITO_SAME_NOM_LFM_0400_MEDIA1_BHRY_BP1</v>
      </c>
      <c r="E201" t="s">
        <v>5</v>
      </c>
      <c r="F201" t="s">
        <v>251</v>
      </c>
      <c r="G201" t="s">
        <v>271</v>
      </c>
      <c r="H201" t="s">
        <v>207</v>
      </c>
      <c r="I201" t="s">
        <v>260</v>
      </c>
      <c r="J201" t="s">
        <v>504</v>
      </c>
      <c r="K201" t="s">
        <v>284</v>
      </c>
      <c r="L201" t="s">
        <v>285</v>
      </c>
      <c r="M201" t="str">
        <f t="shared" si="93"/>
        <v>0400</v>
      </c>
      <c r="N201" t="s">
        <v>505</v>
      </c>
      <c r="O201" t="s">
        <v>267</v>
      </c>
      <c r="P201" t="s">
        <v>397</v>
      </c>
      <c r="Q201" t="s">
        <v>523</v>
      </c>
      <c r="R201">
        <v>21</v>
      </c>
      <c r="S201">
        <v>40</v>
      </c>
      <c r="T201">
        <v>210</v>
      </c>
      <c r="U201">
        <v>-1</v>
      </c>
      <c r="V201" t="b">
        <v>0</v>
      </c>
      <c r="W201" t="s">
        <v>298</v>
      </c>
      <c r="X201" t="s">
        <v>271</v>
      </c>
      <c r="Y201" t="s">
        <v>272</v>
      </c>
      <c r="Z201">
        <v>0.85</v>
      </c>
      <c r="AA201">
        <v>0.85</v>
      </c>
      <c r="AS201">
        <f t="shared" si="91"/>
        <v>10</v>
      </c>
      <c r="AT201" t="s">
        <v>273</v>
      </c>
      <c r="AU201" t="str">
        <f>$D203</f>
        <v>LSA_GFX_RASTER_E_BEGIN_TITO_SAME_NOM_LFM_0400_MEDIA1_RASTER_BISR_BP1_MDH4</v>
      </c>
      <c r="AV201" t="str">
        <f>$D205</f>
        <v>LSA_GFX_HRY_E_BEGIN_TITO_SAME_NOM_LFM_0400_MEDIA2_BHRY_BP2</v>
      </c>
      <c r="AW201" t="str">
        <f t="shared" ref="AW201:BB201" si="105">$D203</f>
        <v>LSA_GFX_RASTER_E_BEGIN_TITO_SAME_NOM_LFM_0400_MEDIA1_RASTER_BISR_BP1_MDH4</v>
      </c>
      <c r="AX201" t="str">
        <f t="shared" si="105"/>
        <v>LSA_GFX_RASTER_E_BEGIN_TITO_SAME_NOM_LFM_0400_MEDIA1_RASTER_BISR_BP1_MDH4</v>
      </c>
      <c r="AY201" t="str">
        <f t="shared" si="105"/>
        <v>LSA_GFX_RASTER_E_BEGIN_TITO_SAME_NOM_LFM_0400_MEDIA1_RASTER_BISR_BP1_MDH4</v>
      </c>
      <c r="AZ201" t="str">
        <f t="shared" si="105"/>
        <v>LSA_GFX_RASTER_E_BEGIN_TITO_SAME_NOM_LFM_0400_MEDIA1_RASTER_BISR_BP1_MDH4</v>
      </c>
      <c r="BA201" t="str">
        <f t="shared" si="105"/>
        <v>LSA_GFX_RASTER_E_BEGIN_TITO_SAME_NOM_LFM_0400_MEDIA1_RASTER_BISR_BP1_MDH4</v>
      </c>
      <c r="BB201" t="str">
        <f t="shared" si="105"/>
        <v>LSA_GFX_RASTER_E_BEGIN_TITO_SAME_NOM_LFM_0400_MEDIA1_RASTER_BISR_BP1_MDH4</v>
      </c>
      <c r="BC201" t="str">
        <f>$D205</f>
        <v>LSA_GFX_HRY_E_BEGIN_TITO_SAME_NOM_LFM_0400_MEDIA2_BHRY_BP2</v>
      </c>
      <c r="BD201" t="str">
        <f>$D203</f>
        <v>LSA_GFX_RASTER_E_BEGIN_TITO_SAME_NOM_LFM_0400_MEDIA1_RASTER_BISR_BP1_MDH4</v>
      </c>
    </row>
    <row r="202" spans="1:56" x14ac:dyDescent="0.35">
      <c r="A202" s="7" t="s">
        <v>12</v>
      </c>
      <c r="B202" s="7" t="s">
        <v>54</v>
      </c>
      <c r="C202" s="7" t="str">
        <f>VLOOKUP(B202,templateLookup!A:B,2,0)</f>
        <v>PrimeMbistVminSearchTestMethod</v>
      </c>
      <c r="D202" t="str">
        <f t="shared" si="92"/>
        <v>LSA_GFX_HRY_E_BEGIN_TITO_SAME_NOM_LFM_0400_MEDIA1_BISR_BISR_BP1</v>
      </c>
      <c r="E202" t="s">
        <v>5</v>
      </c>
      <c r="F202" t="s">
        <v>251</v>
      </c>
      <c r="G202" t="s">
        <v>271</v>
      </c>
      <c r="H202" t="s">
        <v>207</v>
      </c>
      <c r="I202" t="s">
        <v>260</v>
      </c>
      <c r="J202" t="s">
        <v>504</v>
      </c>
      <c r="K202" t="s">
        <v>284</v>
      </c>
      <c r="L202" t="s">
        <v>285</v>
      </c>
      <c r="M202" t="str">
        <f t="shared" si="93"/>
        <v>0400</v>
      </c>
      <c r="N202" t="s">
        <v>507</v>
      </c>
      <c r="O202" t="s">
        <v>267</v>
      </c>
      <c r="P202" t="s">
        <v>397</v>
      </c>
      <c r="Q202" t="s">
        <v>524</v>
      </c>
      <c r="R202">
        <v>21</v>
      </c>
      <c r="S202">
        <v>40</v>
      </c>
      <c r="T202">
        <v>211</v>
      </c>
      <c r="U202">
        <v>-1</v>
      </c>
      <c r="V202" t="b">
        <v>0</v>
      </c>
      <c r="W202" t="s">
        <v>298</v>
      </c>
      <c r="X202" t="s">
        <v>401</v>
      </c>
      <c r="Y202" t="s">
        <v>272</v>
      </c>
      <c r="Z202">
        <v>0.85</v>
      </c>
      <c r="AA202">
        <v>0.85</v>
      </c>
      <c r="AS202">
        <f t="shared" si="91"/>
        <v>10</v>
      </c>
      <c r="AT202" t="s">
        <v>273</v>
      </c>
      <c r="AU202" t="str">
        <f>$D205</f>
        <v>LSA_GFX_HRY_E_BEGIN_TITO_SAME_NOM_LFM_0400_MEDIA2_BHRY_BP2</v>
      </c>
      <c r="AV202" t="str">
        <f t="shared" ref="AV202:BD202" si="106">$D205</f>
        <v>LSA_GFX_HRY_E_BEGIN_TITO_SAME_NOM_LFM_0400_MEDIA2_BHRY_BP2</v>
      </c>
      <c r="AW202" t="str">
        <f t="shared" si="106"/>
        <v>LSA_GFX_HRY_E_BEGIN_TITO_SAME_NOM_LFM_0400_MEDIA2_BHRY_BP2</v>
      </c>
      <c r="AX202" t="str">
        <f t="shared" si="106"/>
        <v>LSA_GFX_HRY_E_BEGIN_TITO_SAME_NOM_LFM_0400_MEDIA2_BHRY_BP2</v>
      </c>
      <c r="AY202" t="str">
        <f t="shared" si="106"/>
        <v>LSA_GFX_HRY_E_BEGIN_TITO_SAME_NOM_LFM_0400_MEDIA2_BHRY_BP2</v>
      </c>
      <c r="AZ202" t="str">
        <f t="shared" si="106"/>
        <v>LSA_GFX_HRY_E_BEGIN_TITO_SAME_NOM_LFM_0400_MEDIA2_BHRY_BP2</v>
      </c>
      <c r="BA202" t="str">
        <f t="shared" si="106"/>
        <v>LSA_GFX_HRY_E_BEGIN_TITO_SAME_NOM_LFM_0400_MEDIA2_BHRY_BP2</v>
      </c>
      <c r="BB202" t="str">
        <f t="shared" si="106"/>
        <v>LSA_GFX_HRY_E_BEGIN_TITO_SAME_NOM_LFM_0400_MEDIA2_BHRY_BP2</v>
      </c>
      <c r="BC202" t="str">
        <f t="shared" si="106"/>
        <v>LSA_GFX_HRY_E_BEGIN_TITO_SAME_NOM_LFM_0400_MEDIA2_BHRY_BP2</v>
      </c>
      <c r="BD202" t="str">
        <f t="shared" si="106"/>
        <v>LSA_GFX_HRY_E_BEGIN_TITO_SAME_NOM_LFM_0400_MEDIA2_BHRY_BP2</v>
      </c>
    </row>
    <row r="203" spans="1:56" x14ac:dyDescent="0.35">
      <c r="A203" s="7" t="s">
        <v>12</v>
      </c>
      <c r="B203" s="7" t="s">
        <v>56</v>
      </c>
      <c r="C203" s="7" t="str">
        <f>VLOOKUP(B203,templateLookup!A:B,2,0)</f>
        <v>MbistRasterTC</v>
      </c>
      <c r="D203" s="46" t="str">
        <f t="shared" si="92"/>
        <v>LSA_GFX_RASTER_E_BEGIN_TITO_SAME_NOM_LFM_0400_MEDIA1_RASTER_BISR_BP1_MDH4</v>
      </c>
      <c r="E203" t="s">
        <v>5</v>
      </c>
      <c r="F203" t="s">
        <v>251</v>
      </c>
      <c r="G203" t="s">
        <v>289</v>
      </c>
      <c r="H203" t="s">
        <v>207</v>
      </c>
      <c r="I203" t="s">
        <v>260</v>
      </c>
      <c r="J203" t="s">
        <v>504</v>
      </c>
      <c r="K203" t="s">
        <v>284</v>
      </c>
      <c r="L203" t="s">
        <v>285</v>
      </c>
      <c r="M203" t="str">
        <f t="shared" si="93"/>
        <v>0400</v>
      </c>
      <c r="N203" t="s">
        <v>525</v>
      </c>
      <c r="O203" t="s">
        <v>267</v>
      </c>
      <c r="P203" t="s">
        <v>397</v>
      </c>
      <c r="Q203" t="s">
        <v>520</v>
      </c>
      <c r="R203">
        <v>21</v>
      </c>
      <c r="S203">
        <v>40</v>
      </c>
      <c r="T203">
        <v>212</v>
      </c>
      <c r="U203">
        <v>-1</v>
      </c>
      <c r="V203" t="b">
        <v>0</v>
      </c>
      <c r="W203" t="s">
        <v>298</v>
      </c>
      <c r="AS203">
        <f t="shared" si="91"/>
        <v>5</v>
      </c>
      <c r="AT203">
        <v>1</v>
      </c>
      <c r="AU203" t="str">
        <f t="shared" ref="AU203:AY203" si="107">$D204</f>
        <v>LSA_GFX_RASTER_E_BEGIN_TITO_SAME_NOM_LFM_0400_MEDIA1_RASTER_BISR_BP1_MDC1</v>
      </c>
      <c r="AV203" t="str">
        <f t="shared" si="107"/>
        <v>LSA_GFX_RASTER_E_BEGIN_TITO_SAME_NOM_LFM_0400_MEDIA1_RASTER_BISR_BP1_MDC1</v>
      </c>
      <c r="AW203" t="str">
        <f t="shared" si="107"/>
        <v>LSA_GFX_RASTER_E_BEGIN_TITO_SAME_NOM_LFM_0400_MEDIA1_RASTER_BISR_BP1_MDC1</v>
      </c>
      <c r="AX203" t="str">
        <f t="shared" si="107"/>
        <v>LSA_GFX_RASTER_E_BEGIN_TITO_SAME_NOM_LFM_0400_MEDIA1_RASTER_BISR_BP1_MDC1</v>
      </c>
      <c r="AY203" t="str">
        <f t="shared" si="107"/>
        <v>LSA_GFX_RASTER_E_BEGIN_TITO_SAME_NOM_LFM_0400_MEDIA1_RASTER_BISR_BP1_MDC1</v>
      </c>
    </row>
    <row r="204" spans="1:56" x14ac:dyDescent="0.35">
      <c r="A204" s="7" t="s">
        <v>12</v>
      </c>
      <c r="B204" s="7" t="s">
        <v>56</v>
      </c>
      <c r="C204" s="7" t="str">
        <f>VLOOKUP(B204,templateLookup!A:B,2,0)</f>
        <v>MbistRasterTC</v>
      </c>
      <c r="D204" s="46" t="str">
        <f t="shared" ref="D204" si="108">E204&amp;"_"&amp;F204&amp;"_"&amp;G204&amp;"_"&amp;H204&amp;"_"&amp;A204&amp;"_"&amp;I204&amp;"_"&amp;J204&amp;"_"&amp;K204&amp;"_"&amp;L204&amp;"_"&amp;M204&amp;"_"&amp;N204</f>
        <v>LSA_GFX_RASTER_E_BEGIN_TITO_SAME_NOM_LFM_0400_MEDIA1_RASTER_BISR_BP1_MDC1</v>
      </c>
      <c r="E204" t="s">
        <v>5</v>
      </c>
      <c r="F204" t="s">
        <v>251</v>
      </c>
      <c r="G204" t="s">
        <v>289</v>
      </c>
      <c r="H204" t="s">
        <v>207</v>
      </c>
      <c r="I204" t="s">
        <v>260</v>
      </c>
      <c r="J204" t="s">
        <v>504</v>
      </c>
      <c r="K204" t="s">
        <v>284</v>
      </c>
      <c r="L204" t="s">
        <v>285</v>
      </c>
      <c r="M204" t="str">
        <f t="shared" si="93"/>
        <v>0400</v>
      </c>
      <c r="N204" t="s">
        <v>526</v>
      </c>
      <c r="O204" t="s">
        <v>267</v>
      </c>
      <c r="P204" t="s">
        <v>397</v>
      </c>
      <c r="Q204" t="s">
        <v>522</v>
      </c>
      <c r="R204">
        <v>21</v>
      </c>
      <c r="S204">
        <v>40</v>
      </c>
      <c r="T204">
        <v>213</v>
      </c>
      <c r="U204">
        <v>-1</v>
      </c>
      <c r="V204" t="b">
        <v>0</v>
      </c>
      <c r="W204" t="s">
        <v>298</v>
      </c>
      <c r="AS204">
        <f t="shared" ref="AS204" si="109">COUNTA(AU204:BD204)</f>
        <v>5</v>
      </c>
      <c r="AT204">
        <v>1</v>
      </c>
      <c r="AU204" t="str">
        <f>$D202</f>
        <v>LSA_GFX_HRY_E_BEGIN_TITO_SAME_NOM_LFM_0400_MEDIA1_BISR_BISR_BP1</v>
      </c>
      <c r="AV204" t="str">
        <f>$D202</f>
        <v>LSA_GFX_HRY_E_BEGIN_TITO_SAME_NOM_LFM_0400_MEDIA1_BISR_BISR_BP1</v>
      </c>
      <c r="AW204" t="str">
        <f>$D202</f>
        <v>LSA_GFX_HRY_E_BEGIN_TITO_SAME_NOM_LFM_0400_MEDIA1_BISR_BISR_BP1</v>
      </c>
      <c r="AX204" t="str">
        <f>$D202</f>
        <v>LSA_GFX_HRY_E_BEGIN_TITO_SAME_NOM_LFM_0400_MEDIA1_BISR_BISR_BP1</v>
      </c>
      <c r="AY204" t="str">
        <f>$D202</f>
        <v>LSA_GFX_HRY_E_BEGIN_TITO_SAME_NOM_LFM_0400_MEDIA1_BISR_BISR_BP1</v>
      </c>
    </row>
    <row r="205" spans="1:56" x14ac:dyDescent="0.35">
      <c r="A205" s="7" t="s">
        <v>12</v>
      </c>
      <c r="B205" s="7" t="s">
        <v>54</v>
      </c>
      <c r="C205" s="7" t="str">
        <f>VLOOKUP(B205,templateLookup!A:B,2,0)</f>
        <v>PrimeMbistVminSearchTestMethod</v>
      </c>
      <c r="D205" t="str">
        <f t="shared" si="92"/>
        <v>LSA_GFX_HRY_E_BEGIN_TITO_SAME_NOM_LFM_0400_MEDIA2_BHRY_BP2</v>
      </c>
      <c r="E205" t="s">
        <v>5</v>
      </c>
      <c r="F205" t="s">
        <v>251</v>
      </c>
      <c r="G205" t="s">
        <v>271</v>
      </c>
      <c r="H205" t="s">
        <v>207</v>
      </c>
      <c r="I205" t="s">
        <v>260</v>
      </c>
      <c r="J205" t="s">
        <v>504</v>
      </c>
      <c r="K205" t="s">
        <v>284</v>
      </c>
      <c r="L205" t="s">
        <v>285</v>
      </c>
      <c r="M205" t="str">
        <f t="shared" si="93"/>
        <v>0400</v>
      </c>
      <c r="N205" t="s">
        <v>527</v>
      </c>
      <c r="O205" t="s">
        <v>267</v>
      </c>
      <c r="P205" t="s">
        <v>397</v>
      </c>
      <c r="Q205" t="s">
        <v>528</v>
      </c>
      <c r="R205">
        <v>21</v>
      </c>
      <c r="S205">
        <v>40</v>
      </c>
      <c r="T205">
        <v>214</v>
      </c>
      <c r="U205">
        <v>-1</v>
      </c>
      <c r="V205" t="b">
        <v>0</v>
      </c>
      <c r="W205" t="s">
        <v>298</v>
      </c>
      <c r="X205" t="s">
        <v>271</v>
      </c>
      <c r="Y205" t="s">
        <v>272</v>
      </c>
      <c r="Z205">
        <v>0.85</v>
      </c>
      <c r="AA205">
        <v>0.85</v>
      </c>
      <c r="AS205">
        <f t="shared" si="91"/>
        <v>10</v>
      </c>
      <c r="AT205" t="s">
        <v>273</v>
      </c>
      <c r="AU205" t="str">
        <f>$D207</f>
        <v>LSA_GFX_RASTER_E_BEGIN_TITO_SAME_NOM_LFM_0400_MEDIA2_RASTER_BISR_BP2_MDE2</v>
      </c>
      <c r="AV205" t="str">
        <f>$D209</f>
        <v>LSA_GFX_HRY_E_BEGIN_TITO_SAME_NOM_LFM_0400_MEDIA3_BHRY_BP3</v>
      </c>
      <c r="AW205" t="str">
        <f t="shared" ref="AW205:BB205" si="110">$D207</f>
        <v>LSA_GFX_RASTER_E_BEGIN_TITO_SAME_NOM_LFM_0400_MEDIA2_RASTER_BISR_BP2_MDE2</v>
      </c>
      <c r="AX205" t="str">
        <f t="shared" si="110"/>
        <v>LSA_GFX_RASTER_E_BEGIN_TITO_SAME_NOM_LFM_0400_MEDIA2_RASTER_BISR_BP2_MDE2</v>
      </c>
      <c r="AY205" t="str">
        <f t="shared" si="110"/>
        <v>LSA_GFX_RASTER_E_BEGIN_TITO_SAME_NOM_LFM_0400_MEDIA2_RASTER_BISR_BP2_MDE2</v>
      </c>
      <c r="AZ205" t="str">
        <f t="shared" si="110"/>
        <v>LSA_GFX_RASTER_E_BEGIN_TITO_SAME_NOM_LFM_0400_MEDIA2_RASTER_BISR_BP2_MDE2</v>
      </c>
      <c r="BA205" t="str">
        <f t="shared" si="110"/>
        <v>LSA_GFX_RASTER_E_BEGIN_TITO_SAME_NOM_LFM_0400_MEDIA2_RASTER_BISR_BP2_MDE2</v>
      </c>
      <c r="BB205" t="str">
        <f t="shared" si="110"/>
        <v>LSA_GFX_RASTER_E_BEGIN_TITO_SAME_NOM_LFM_0400_MEDIA2_RASTER_BISR_BP2_MDE2</v>
      </c>
      <c r="BC205" t="str">
        <f>$D209</f>
        <v>LSA_GFX_HRY_E_BEGIN_TITO_SAME_NOM_LFM_0400_MEDIA3_BHRY_BP3</v>
      </c>
      <c r="BD205" t="str">
        <f>$D207</f>
        <v>LSA_GFX_RASTER_E_BEGIN_TITO_SAME_NOM_LFM_0400_MEDIA2_RASTER_BISR_BP2_MDE2</v>
      </c>
    </row>
    <row r="206" spans="1:56" x14ac:dyDescent="0.35">
      <c r="A206" s="7" t="s">
        <v>12</v>
      </c>
      <c r="B206" s="7" t="s">
        <v>54</v>
      </c>
      <c r="C206" s="7" t="str">
        <f>VLOOKUP(B206,templateLookup!A:B,2,0)</f>
        <v>PrimeMbistVminSearchTestMethod</v>
      </c>
      <c r="D206" t="str">
        <f t="shared" si="92"/>
        <v>LSA_GFX_HRY_E_BEGIN_TITO_SAME_NOM_LFM_0400_MEDIA2_BISR_BISR_BP2</v>
      </c>
      <c r="E206" t="s">
        <v>5</v>
      </c>
      <c r="F206" t="s">
        <v>251</v>
      </c>
      <c r="G206" t="s">
        <v>271</v>
      </c>
      <c r="H206" t="s">
        <v>207</v>
      </c>
      <c r="I206" t="s">
        <v>260</v>
      </c>
      <c r="J206" t="s">
        <v>504</v>
      </c>
      <c r="K206" t="s">
        <v>284</v>
      </c>
      <c r="L206" t="s">
        <v>285</v>
      </c>
      <c r="M206" t="str">
        <f t="shared" si="93"/>
        <v>0400</v>
      </c>
      <c r="N206" t="s">
        <v>529</v>
      </c>
      <c r="O206" t="s">
        <v>267</v>
      </c>
      <c r="P206" t="s">
        <v>397</v>
      </c>
      <c r="Q206" t="s">
        <v>530</v>
      </c>
      <c r="R206">
        <v>21</v>
      </c>
      <c r="S206">
        <v>40</v>
      </c>
      <c r="T206">
        <v>215</v>
      </c>
      <c r="U206">
        <v>-1</v>
      </c>
      <c r="V206" t="b">
        <v>0</v>
      </c>
      <c r="W206" t="s">
        <v>298</v>
      </c>
      <c r="X206" t="s">
        <v>401</v>
      </c>
      <c r="Y206" t="s">
        <v>272</v>
      </c>
      <c r="Z206">
        <v>0.85</v>
      </c>
      <c r="AA206">
        <v>0.85</v>
      </c>
      <c r="AS206">
        <f t="shared" si="91"/>
        <v>10</v>
      </c>
      <c r="AT206" t="s">
        <v>273</v>
      </c>
      <c r="AU206" t="str">
        <f t="shared" ref="AU206:BD206" si="111">$D209</f>
        <v>LSA_GFX_HRY_E_BEGIN_TITO_SAME_NOM_LFM_0400_MEDIA3_BHRY_BP3</v>
      </c>
      <c r="AV206" t="str">
        <f t="shared" si="111"/>
        <v>LSA_GFX_HRY_E_BEGIN_TITO_SAME_NOM_LFM_0400_MEDIA3_BHRY_BP3</v>
      </c>
      <c r="AW206" t="str">
        <f t="shared" si="111"/>
        <v>LSA_GFX_HRY_E_BEGIN_TITO_SAME_NOM_LFM_0400_MEDIA3_BHRY_BP3</v>
      </c>
      <c r="AX206" t="str">
        <f t="shared" si="111"/>
        <v>LSA_GFX_HRY_E_BEGIN_TITO_SAME_NOM_LFM_0400_MEDIA3_BHRY_BP3</v>
      </c>
      <c r="AY206" t="str">
        <f t="shared" si="111"/>
        <v>LSA_GFX_HRY_E_BEGIN_TITO_SAME_NOM_LFM_0400_MEDIA3_BHRY_BP3</v>
      </c>
      <c r="AZ206" t="str">
        <f t="shared" si="111"/>
        <v>LSA_GFX_HRY_E_BEGIN_TITO_SAME_NOM_LFM_0400_MEDIA3_BHRY_BP3</v>
      </c>
      <c r="BA206" t="str">
        <f t="shared" si="111"/>
        <v>LSA_GFX_HRY_E_BEGIN_TITO_SAME_NOM_LFM_0400_MEDIA3_BHRY_BP3</v>
      </c>
      <c r="BB206" t="str">
        <f t="shared" si="111"/>
        <v>LSA_GFX_HRY_E_BEGIN_TITO_SAME_NOM_LFM_0400_MEDIA3_BHRY_BP3</v>
      </c>
      <c r="BC206" t="str">
        <f t="shared" si="111"/>
        <v>LSA_GFX_HRY_E_BEGIN_TITO_SAME_NOM_LFM_0400_MEDIA3_BHRY_BP3</v>
      </c>
      <c r="BD206" t="str">
        <f t="shared" si="111"/>
        <v>LSA_GFX_HRY_E_BEGIN_TITO_SAME_NOM_LFM_0400_MEDIA3_BHRY_BP3</v>
      </c>
    </row>
    <row r="207" spans="1:56" x14ac:dyDescent="0.35">
      <c r="A207" s="7" t="s">
        <v>12</v>
      </c>
      <c r="B207" s="7" t="s">
        <v>56</v>
      </c>
      <c r="C207" s="7" t="str">
        <f>VLOOKUP(B207,templateLookup!A:B,2,0)</f>
        <v>MbistRasterTC</v>
      </c>
      <c r="D207" s="46" t="str">
        <f t="shared" si="92"/>
        <v>LSA_GFX_RASTER_E_BEGIN_TITO_SAME_NOM_LFM_0400_MEDIA2_RASTER_BISR_BP2_MDE2</v>
      </c>
      <c r="E207" t="s">
        <v>5</v>
      </c>
      <c r="F207" t="s">
        <v>251</v>
      </c>
      <c r="G207" t="s">
        <v>289</v>
      </c>
      <c r="H207" t="s">
        <v>207</v>
      </c>
      <c r="I207" t="s">
        <v>260</v>
      </c>
      <c r="J207" t="s">
        <v>504</v>
      </c>
      <c r="K207" t="s">
        <v>284</v>
      </c>
      <c r="L207" t="s">
        <v>285</v>
      </c>
      <c r="M207" t="str">
        <f t="shared" si="93"/>
        <v>0400</v>
      </c>
      <c r="N207" t="s">
        <v>531</v>
      </c>
      <c r="O207" t="s">
        <v>267</v>
      </c>
      <c r="P207" t="s">
        <v>397</v>
      </c>
      <c r="Q207" t="s">
        <v>532</v>
      </c>
      <c r="R207">
        <v>21</v>
      </c>
      <c r="S207">
        <v>40</v>
      </c>
      <c r="T207">
        <v>216</v>
      </c>
      <c r="U207">
        <v>-1</v>
      </c>
      <c r="V207" t="b">
        <v>0</v>
      </c>
      <c r="W207" t="s">
        <v>298</v>
      </c>
      <c r="AS207">
        <f t="shared" si="91"/>
        <v>5</v>
      </c>
      <c r="AT207">
        <v>1</v>
      </c>
      <c r="AU207" t="str">
        <f t="shared" ref="AU207:AY207" si="112">$D208</f>
        <v>LSA_GFX_RASTER_E_BEGIN_TITO_SAME_NOM_LFM_0400_MEDIA2_RASTER_BISR_BP2_MDD2</v>
      </c>
      <c r="AV207" t="str">
        <f t="shared" si="112"/>
        <v>LSA_GFX_RASTER_E_BEGIN_TITO_SAME_NOM_LFM_0400_MEDIA2_RASTER_BISR_BP2_MDD2</v>
      </c>
      <c r="AW207" t="str">
        <f t="shared" si="112"/>
        <v>LSA_GFX_RASTER_E_BEGIN_TITO_SAME_NOM_LFM_0400_MEDIA2_RASTER_BISR_BP2_MDD2</v>
      </c>
      <c r="AX207" t="str">
        <f t="shared" si="112"/>
        <v>LSA_GFX_RASTER_E_BEGIN_TITO_SAME_NOM_LFM_0400_MEDIA2_RASTER_BISR_BP2_MDD2</v>
      </c>
      <c r="AY207" t="str">
        <f t="shared" si="112"/>
        <v>LSA_GFX_RASTER_E_BEGIN_TITO_SAME_NOM_LFM_0400_MEDIA2_RASTER_BISR_BP2_MDD2</v>
      </c>
    </row>
    <row r="208" spans="1:56" x14ac:dyDescent="0.35">
      <c r="A208" s="7" t="s">
        <v>12</v>
      </c>
      <c r="B208" s="7" t="s">
        <v>56</v>
      </c>
      <c r="C208" s="7" t="str">
        <f>VLOOKUP(B208,templateLookup!A:B,2,0)</f>
        <v>MbistRasterTC</v>
      </c>
      <c r="D208" s="46" t="str">
        <f t="shared" ref="D208" si="113">E208&amp;"_"&amp;F208&amp;"_"&amp;G208&amp;"_"&amp;H208&amp;"_"&amp;A208&amp;"_"&amp;I208&amp;"_"&amp;J208&amp;"_"&amp;K208&amp;"_"&amp;L208&amp;"_"&amp;M208&amp;"_"&amp;N208</f>
        <v>LSA_GFX_RASTER_E_BEGIN_TITO_SAME_NOM_LFM_0400_MEDIA2_RASTER_BISR_BP2_MDD2</v>
      </c>
      <c r="E208" t="s">
        <v>5</v>
      </c>
      <c r="F208" t="s">
        <v>251</v>
      </c>
      <c r="G208" t="s">
        <v>289</v>
      </c>
      <c r="H208" t="s">
        <v>207</v>
      </c>
      <c r="I208" t="s">
        <v>260</v>
      </c>
      <c r="J208" t="s">
        <v>504</v>
      </c>
      <c r="K208" t="s">
        <v>284</v>
      </c>
      <c r="L208" t="s">
        <v>285</v>
      </c>
      <c r="M208" t="str">
        <f t="shared" si="93"/>
        <v>0400</v>
      </c>
      <c r="N208" t="s">
        <v>533</v>
      </c>
      <c r="O208" t="s">
        <v>267</v>
      </c>
      <c r="P208" t="s">
        <v>397</v>
      </c>
      <c r="Q208" t="s">
        <v>534</v>
      </c>
      <c r="R208">
        <v>21</v>
      </c>
      <c r="S208">
        <v>40</v>
      </c>
      <c r="T208">
        <v>217</v>
      </c>
      <c r="U208">
        <v>-1</v>
      </c>
      <c r="V208" t="b">
        <v>0</v>
      </c>
      <c r="W208" t="s">
        <v>298</v>
      </c>
      <c r="AS208">
        <f t="shared" ref="AS208" si="114">COUNTA(AU208:BD208)</f>
        <v>5</v>
      </c>
      <c r="AT208">
        <v>1</v>
      </c>
      <c r="AU208" t="str">
        <f>$D206</f>
        <v>LSA_GFX_HRY_E_BEGIN_TITO_SAME_NOM_LFM_0400_MEDIA2_BISR_BISR_BP2</v>
      </c>
      <c r="AV208" t="str">
        <f t="shared" ref="AV208:AY208" si="115">$D206</f>
        <v>LSA_GFX_HRY_E_BEGIN_TITO_SAME_NOM_LFM_0400_MEDIA2_BISR_BISR_BP2</v>
      </c>
      <c r="AW208" t="str">
        <f t="shared" si="115"/>
        <v>LSA_GFX_HRY_E_BEGIN_TITO_SAME_NOM_LFM_0400_MEDIA2_BISR_BISR_BP2</v>
      </c>
      <c r="AX208" t="str">
        <f t="shared" si="115"/>
        <v>LSA_GFX_HRY_E_BEGIN_TITO_SAME_NOM_LFM_0400_MEDIA2_BISR_BISR_BP2</v>
      </c>
      <c r="AY208" t="str">
        <f t="shared" si="115"/>
        <v>LSA_GFX_HRY_E_BEGIN_TITO_SAME_NOM_LFM_0400_MEDIA2_BISR_BISR_BP2</v>
      </c>
    </row>
    <row r="209" spans="1:56" x14ac:dyDescent="0.35">
      <c r="A209" s="7" t="s">
        <v>12</v>
      </c>
      <c r="B209" s="7" t="s">
        <v>54</v>
      </c>
      <c r="C209" s="7" t="str">
        <f>VLOOKUP(B209,templateLookup!A:B,2,0)</f>
        <v>PrimeMbistVminSearchTestMethod</v>
      </c>
      <c r="D209" t="str">
        <f t="shared" si="92"/>
        <v>LSA_GFX_HRY_E_BEGIN_TITO_SAME_NOM_LFM_0400_MEDIA3_BHRY_BP3</v>
      </c>
      <c r="E209" t="s">
        <v>5</v>
      </c>
      <c r="F209" t="s">
        <v>251</v>
      </c>
      <c r="G209" t="s">
        <v>271</v>
      </c>
      <c r="H209" t="s">
        <v>207</v>
      </c>
      <c r="I209" t="s">
        <v>260</v>
      </c>
      <c r="J209" t="s">
        <v>504</v>
      </c>
      <c r="K209" t="s">
        <v>284</v>
      </c>
      <c r="L209" t="s">
        <v>285</v>
      </c>
      <c r="M209" t="str">
        <f t="shared" si="93"/>
        <v>0400</v>
      </c>
      <c r="N209" t="s">
        <v>510</v>
      </c>
      <c r="O209" t="s">
        <v>267</v>
      </c>
      <c r="P209" t="s">
        <v>397</v>
      </c>
      <c r="Q209" t="s">
        <v>535</v>
      </c>
      <c r="R209">
        <v>21</v>
      </c>
      <c r="S209">
        <v>40</v>
      </c>
      <c r="T209">
        <v>218</v>
      </c>
      <c r="U209">
        <v>-1</v>
      </c>
      <c r="V209" t="b">
        <v>0</v>
      </c>
      <c r="W209" t="s">
        <v>298</v>
      </c>
      <c r="X209" t="s">
        <v>271</v>
      </c>
      <c r="Y209" t="s">
        <v>272</v>
      </c>
      <c r="Z209">
        <v>0.85</v>
      </c>
      <c r="AA209">
        <v>0.85</v>
      </c>
      <c r="AS209">
        <f t="shared" si="91"/>
        <v>10</v>
      </c>
      <c r="AT209" t="s">
        <v>273</v>
      </c>
      <c r="AU209" t="str">
        <f>$D211</f>
        <v>LSA_GFX_RASTER_E_BEGIN_TITO_SAME_NOM_LFM_0400_MEDIA3_RASTER_BISR_BP3_MDH4</v>
      </c>
      <c r="AV209">
        <v>1</v>
      </c>
      <c r="AW209" t="str">
        <f t="shared" ref="AW209:BB209" si="116">$D211</f>
        <v>LSA_GFX_RASTER_E_BEGIN_TITO_SAME_NOM_LFM_0400_MEDIA3_RASTER_BISR_BP3_MDH4</v>
      </c>
      <c r="AX209" t="str">
        <f t="shared" si="116"/>
        <v>LSA_GFX_RASTER_E_BEGIN_TITO_SAME_NOM_LFM_0400_MEDIA3_RASTER_BISR_BP3_MDH4</v>
      </c>
      <c r="AY209" t="str">
        <f t="shared" si="116"/>
        <v>LSA_GFX_RASTER_E_BEGIN_TITO_SAME_NOM_LFM_0400_MEDIA3_RASTER_BISR_BP3_MDH4</v>
      </c>
      <c r="AZ209" t="str">
        <f t="shared" si="116"/>
        <v>LSA_GFX_RASTER_E_BEGIN_TITO_SAME_NOM_LFM_0400_MEDIA3_RASTER_BISR_BP3_MDH4</v>
      </c>
      <c r="BA209" t="str">
        <f t="shared" si="116"/>
        <v>LSA_GFX_RASTER_E_BEGIN_TITO_SAME_NOM_LFM_0400_MEDIA3_RASTER_BISR_BP3_MDH4</v>
      </c>
      <c r="BB209" t="str">
        <f t="shared" si="116"/>
        <v>LSA_GFX_RASTER_E_BEGIN_TITO_SAME_NOM_LFM_0400_MEDIA3_RASTER_BISR_BP3_MDH4</v>
      </c>
      <c r="BC209">
        <v>1</v>
      </c>
      <c r="BD209" t="str">
        <f>$D211</f>
        <v>LSA_GFX_RASTER_E_BEGIN_TITO_SAME_NOM_LFM_0400_MEDIA3_RASTER_BISR_BP3_MDH4</v>
      </c>
    </row>
    <row r="210" spans="1:56" x14ac:dyDescent="0.35">
      <c r="A210" s="7" t="s">
        <v>12</v>
      </c>
      <c r="B210" s="7" t="s">
        <v>54</v>
      </c>
      <c r="C210" s="7" t="str">
        <f>VLOOKUP(B210,templateLookup!A:B,2,0)</f>
        <v>PrimeMbistVminSearchTestMethod</v>
      </c>
      <c r="D210" t="str">
        <f t="shared" si="92"/>
        <v>LSA_GFX_HRY_E_BEGIN_TITO_SAME_NOM_LFM_0400_MEDIA3_BISR_BISR_BP3</v>
      </c>
      <c r="E210" t="s">
        <v>5</v>
      </c>
      <c r="F210" t="s">
        <v>251</v>
      </c>
      <c r="G210" t="s">
        <v>271</v>
      </c>
      <c r="H210" t="s">
        <v>207</v>
      </c>
      <c r="I210" t="s">
        <v>260</v>
      </c>
      <c r="J210" t="s">
        <v>504</v>
      </c>
      <c r="K210" t="s">
        <v>284</v>
      </c>
      <c r="L210" t="s">
        <v>285</v>
      </c>
      <c r="M210" t="str">
        <f t="shared" si="93"/>
        <v>0400</v>
      </c>
      <c r="N210" t="s">
        <v>512</v>
      </c>
      <c r="O210" t="s">
        <v>267</v>
      </c>
      <c r="P210" t="s">
        <v>397</v>
      </c>
      <c r="Q210" t="s">
        <v>536</v>
      </c>
      <c r="R210">
        <v>21</v>
      </c>
      <c r="S210">
        <v>40</v>
      </c>
      <c r="T210">
        <v>219</v>
      </c>
      <c r="U210">
        <v>-1</v>
      </c>
      <c r="V210" t="b">
        <v>0</v>
      </c>
      <c r="W210" t="s">
        <v>298</v>
      </c>
      <c r="X210" t="s">
        <v>401</v>
      </c>
      <c r="Y210" t="s">
        <v>272</v>
      </c>
      <c r="Z210">
        <v>0.85</v>
      </c>
      <c r="AA210">
        <v>0.85</v>
      </c>
      <c r="AS210">
        <f t="shared" si="91"/>
        <v>10</v>
      </c>
      <c r="AT210" t="s">
        <v>273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</row>
    <row r="211" spans="1:56" x14ac:dyDescent="0.35">
      <c r="A211" s="7" t="s">
        <v>12</v>
      </c>
      <c r="B211" s="7" t="s">
        <v>56</v>
      </c>
      <c r="C211" s="7" t="str">
        <f>VLOOKUP(B211,templateLookup!A:B,2,0)</f>
        <v>MbistRasterTC</v>
      </c>
      <c r="D211" s="46" t="str">
        <f t="shared" ref="D211" si="117">E211&amp;"_"&amp;F211&amp;"_"&amp;G211&amp;"_"&amp;H211&amp;"_"&amp;A211&amp;"_"&amp;I211&amp;"_"&amp;J211&amp;"_"&amp;K211&amp;"_"&amp;L211&amp;"_"&amp;M211&amp;"_"&amp;N211</f>
        <v>LSA_GFX_RASTER_E_BEGIN_TITO_SAME_NOM_LFM_0400_MEDIA3_RASTER_BISR_BP3_MDH4</v>
      </c>
      <c r="E211" t="s">
        <v>5</v>
      </c>
      <c r="F211" t="s">
        <v>251</v>
      </c>
      <c r="G211" t="s">
        <v>289</v>
      </c>
      <c r="H211" t="s">
        <v>207</v>
      </c>
      <c r="I211" t="s">
        <v>260</v>
      </c>
      <c r="J211" t="s">
        <v>504</v>
      </c>
      <c r="K211" t="s">
        <v>284</v>
      </c>
      <c r="L211" t="s">
        <v>285</v>
      </c>
      <c r="M211" t="str">
        <f t="shared" si="93"/>
        <v>0400</v>
      </c>
      <c r="N211" t="s">
        <v>537</v>
      </c>
      <c r="O211" t="s">
        <v>267</v>
      </c>
      <c r="P211" t="s">
        <v>397</v>
      </c>
      <c r="Q211" t="s">
        <v>520</v>
      </c>
      <c r="R211">
        <v>21</v>
      </c>
      <c r="S211">
        <v>40</v>
      </c>
      <c r="T211">
        <v>220</v>
      </c>
      <c r="U211">
        <v>-1</v>
      </c>
      <c r="V211" t="b">
        <v>0</v>
      </c>
      <c r="W211" t="s">
        <v>298</v>
      </c>
      <c r="AS211">
        <f t="shared" ref="AS211" si="118">COUNTA(AU211:BD211)</f>
        <v>5</v>
      </c>
      <c r="AT211">
        <v>1</v>
      </c>
      <c r="AU211" t="str">
        <f>$D212</f>
        <v>LSA_GFX_RASTER_E_BEGIN_TITO_SAME_NOM_LFM_0400_MEDIA3_RASTER_BISR_BP3_MDC1</v>
      </c>
      <c r="AV211" t="str">
        <f>$D212</f>
        <v>LSA_GFX_RASTER_E_BEGIN_TITO_SAME_NOM_LFM_0400_MEDIA3_RASTER_BISR_BP3_MDC1</v>
      </c>
      <c r="AW211" t="str">
        <f>$D212</f>
        <v>LSA_GFX_RASTER_E_BEGIN_TITO_SAME_NOM_LFM_0400_MEDIA3_RASTER_BISR_BP3_MDC1</v>
      </c>
      <c r="AX211" t="str">
        <f>$D212</f>
        <v>LSA_GFX_RASTER_E_BEGIN_TITO_SAME_NOM_LFM_0400_MEDIA3_RASTER_BISR_BP3_MDC1</v>
      </c>
      <c r="AY211" t="str">
        <f>$D212</f>
        <v>LSA_GFX_RASTER_E_BEGIN_TITO_SAME_NOM_LFM_0400_MEDIA3_RASTER_BISR_BP3_MDC1</v>
      </c>
    </row>
    <row r="212" spans="1:56" x14ac:dyDescent="0.35">
      <c r="A212" s="7" t="s">
        <v>12</v>
      </c>
      <c r="B212" s="7" t="s">
        <v>56</v>
      </c>
      <c r="C212" s="7" t="str">
        <f>VLOOKUP(B212,templateLookup!A:B,2,0)</f>
        <v>MbistRasterTC</v>
      </c>
      <c r="D212" s="46" t="str">
        <f t="shared" si="92"/>
        <v>LSA_GFX_RASTER_E_BEGIN_TITO_SAME_NOM_LFM_0400_MEDIA3_RASTER_BISR_BP3_MDC1</v>
      </c>
      <c r="E212" t="s">
        <v>5</v>
      </c>
      <c r="F212" t="s">
        <v>251</v>
      </c>
      <c r="G212" t="s">
        <v>289</v>
      </c>
      <c r="H212" t="s">
        <v>207</v>
      </c>
      <c r="I212" t="s">
        <v>260</v>
      </c>
      <c r="J212" t="s">
        <v>504</v>
      </c>
      <c r="K212" t="s">
        <v>284</v>
      </c>
      <c r="L212" t="s">
        <v>285</v>
      </c>
      <c r="M212" t="str">
        <f t="shared" si="93"/>
        <v>0400</v>
      </c>
      <c r="N212" t="s">
        <v>538</v>
      </c>
      <c r="O212" t="s">
        <v>267</v>
      </c>
      <c r="P212" t="s">
        <v>397</v>
      </c>
      <c r="Q212" t="s">
        <v>522</v>
      </c>
      <c r="R212">
        <v>21</v>
      </c>
      <c r="S212">
        <v>40</v>
      </c>
      <c r="T212">
        <v>221</v>
      </c>
      <c r="U212">
        <v>-1</v>
      </c>
      <c r="V212" t="b">
        <v>0</v>
      </c>
      <c r="W212" t="s">
        <v>298</v>
      </c>
      <c r="AS212">
        <f t="shared" si="91"/>
        <v>5</v>
      </c>
      <c r="AT212">
        <v>1</v>
      </c>
      <c r="AU212" t="str">
        <f>$D210</f>
        <v>LSA_GFX_HRY_E_BEGIN_TITO_SAME_NOM_LFM_0400_MEDIA3_BISR_BISR_BP3</v>
      </c>
      <c r="AV212" t="str">
        <f t="shared" ref="AV212:AY212" si="119">$D210</f>
        <v>LSA_GFX_HRY_E_BEGIN_TITO_SAME_NOM_LFM_0400_MEDIA3_BISR_BISR_BP3</v>
      </c>
      <c r="AW212" t="str">
        <f t="shared" si="119"/>
        <v>LSA_GFX_HRY_E_BEGIN_TITO_SAME_NOM_LFM_0400_MEDIA3_BISR_BISR_BP3</v>
      </c>
      <c r="AX212" t="str">
        <f t="shared" si="119"/>
        <v>LSA_GFX_HRY_E_BEGIN_TITO_SAME_NOM_LFM_0400_MEDIA3_BISR_BISR_BP3</v>
      </c>
      <c r="AY212" t="str">
        <f t="shared" si="119"/>
        <v>LSA_GFX_HRY_E_BEGIN_TITO_SAME_NOM_LFM_0400_MEDIA3_BISR_BISR_BP3</v>
      </c>
    </row>
    <row r="213" spans="1:56" x14ac:dyDescent="0.35">
      <c r="A213" s="45" t="s">
        <v>12</v>
      </c>
      <c r="B213" s="45" t="s">
        <v>50</v>
      </c>
      <c r="C213" s="45" t="str">
        <f>VLOOKUP(B213,templateLookup!A:B,2,0)</f>
        <v>COMPOSITE</v>
      </c>
      <c r="D213" s="10" t="s">
        <v>539</v>
      </c>
      <c r="V213" s="12"/>
    </row>
    <row r="214" spans="1:56" x14ac:dyDescent="0.35">
      <c r="A214" s="45" t="s">
        <v>12</v>
      </c>
      <c r="B214" s="45" t="s">
        <v>49</v>
      </c>
      <c r="C214" s="45" t="str">
        <f>VLOOKUP(B214,templateLookup!A:B,2,0)</f>
        <v>COMPOSITE</v>
      </c>
      <c r="D214" s="10" t="s">
        <v>540</v>
      </c>
      <c r="F214" t="s">
        <v>30</v>
      </c>
      <c r="V214" s="12"/>
      <c r="AS214">
        <f>COUNTA(AU214:BD214)</f>
        <v>3</v>
      </c>
      <c r="AT214" t="s">
        <v>218</v>
      </c>
      <c r="AU214" t="str">
        <f>$D220</f>
        <v>MEDIA_POST_REPAIR</v>
      </c>
      <c r="AV214" t="str">
        <f>$D220</f>
        <v>MEDIA_POST_REPAIR</v>
      </c>
      <c r="AW214">
        <v>1</v>
      </c>
    </row>
    <row r="215" spans="1:56" x14ac:dyDescent="0.35">
      <c r="A215" s="7" t="s">
        <v>12</v>
      </c>
      <c r="B215" s="7" t="s">
        <v>97</v>
      </c>
      <c r="C215" s="7" t="str">
        <f>VLOOKUP(B215,templateLookup!A:B,2,0)</f>
        <v>iCScreenTest</v>
      </c>
      <c r="D215" t="str">
        <f>E215&amp;"_"&amp;F215&amp;"_"&amp;G215&amp;"_"&amp;H215&amp;"_"&amp;A215&amp;"_"&amp;I215&amp;"_"&amp;J215&amp;"_"&amp;K215&amp;"_"&amp;L215&amp;"_"&amp;M215&amp;"_"&amp;N215</f>
        <v>ALL_COMMON_SCREEN_E_BEGIN_X_SAME_X_X_0400_JOIN_BISR_MEDIA</v>
      </c>
      <c r="E215" t="s">
        <v>7</v>
      </c>
      <c r="F215" t="s">
        <v>30</v>
      </c>
      <c r="G215" t="s">
        <v>206</v>
      </c>
      <c r="H215" t="s">
        <v>207</v>
      </c>
      <c r="I215" t="s">
        <v>208</v>
      </c>
      <c r="J215" t="s">
        <v>504</v>
      </c>
      <c r="K215" t="s">
        <v>208</v>
      </c>
      <c r="L215" t="s">
        <v>208</v>
      </c>
      <c r="M215" t="str">
        <f>TEXT(400,"0000")</f>
        <v>0400</v>
      </c>
      <c r="N215" t="s">
        <v>541</v>
      </c>
      <c r="O215" t="s">
        <v>267</v>
      </c>
      <c r="P215" t="s">
        <v>397</v>
      </c>
      <c r="Q215" t="s">
        <v>444</v>
      </c>
      <c r="R215">
        <v>61</v>
      </c>
      <c r="S215">
        <v>40</v>
      </c>
      <c r="T215">
        <v>250</v>
      </c>
      <c r="U215">
        <v>-1</v>
      </c>
      <c r="V215" t="b">
        <v>0</v>
      </c>
      <c r="AD215" t="s">
        <v>542</v>
      </c>
      <c r="AE215" t="s">
        <v>446</v>
      </c>
      <c r="AS215">
        <f>COUNTA(AU215:BD215)</f>
        <v>3</v>
      </c>
      <c r="AT215">
        <v>1</v>
      </c>
      <c r="AU215" t="str">
        <f>$D216</f>
        <v>ALL_GFX_VFDM_E_BEGIN_X_SAME_X_X_0400_ALL</v>
      </c>
      <c r="AV215" t="str">
        <f>$D216</f>
        <v>ALL_GFX_VFDM_E_BEGIN_X_SAME_X_X_0400_ALL</v>
      </c>
      <c r="AW215" t="str">
        <f>$D216</f>
        <v>ALL_GFX_VFDM_E_BEGIN_X_SAME_X_X_0400_ALL</v>
      </c>
    </row>
    <row r="216" spans="1:56" x14ac:dyDescent="0.35">
      <c r="A216" s="7" t="s">
        <v>12</v>
      </c>
      <c r="B216" s="7" t="s">
        <v>87</v>
      </c>
      <c r="C216" s="7" t="str">
        <f>VLOOKUP(B216,templateLookup!A:B,2,0)</f>
        <v>iCVFDMTest</v>
      </c>
      <c r="D216" t="str">
        <f>E216&amp;"_"&amp;F216&amp;"_"&amp;G216&amp;"_"&amp;H216&amp;"_"&amp;A216&amp;"_"&amp;I216&amp;"_"&amp;J216&amp;"_"&amp;K216&amp;"_"&amp;L216&amp;"_"&amp;M216&amp;"_"&amp;N216</f>
        <v>ALL_GFX_VFDM_E_BEGIN_X_SAME_X_X_0400_ALL</v>
      </c>
      <c r="E216" t="s">
        <v>7</v>
      </c>
      <c r="F216" t="s">
        <v>251</v>
      </c>
      <c r="G216" t="s">
        <v>178</v>
      </c>
      <c r="H216" t="s">
        <v>207</v>
      </c>
      <c r="I216" t="s">
        <v>208</v>
      </c>
      <c r="J216" t="s">
        <v>504</v>
      </c>
      <c r="K216" t="s">
        <v>208</v>
      </c>
      <c r="L216" t="s">
        <v>208</v>
      </c>
      <c r="M216" t="str">
        <f>TEXT(400,"0000")</f>
        <v>0400</v>
      </c>
      <c r="N216" t="s">
        <v>7</v>
      </c>
      <c r="O216" t="s">
        <v>267</v>
      </c>
      <c r="P216" t="s">
        <v>397</v>
      </c>
      <c r="Q216" t="s">
        <v>444</v>
      </c>
      <c r="R216">
        <v>61</v>
      </c>
      <c r="S216">
        <v>40</v>
      </c>
      <c r="T216">
        <v>251</v>
      </c>
      <c r="U216">
        <v>-1</v>
      </c>
      <c r="V216" t="b">
        <v>0</v>
      </c>
      <c r="W216" t="s">
        <v>298</v>
      </c>
      <c r="AF216" t="s">
        <v>244</v>
      </c>
      <c r="AG216" t="s">
        <v>243</v>
      </c>
      <c r="AS216">
        <f>COUNTA(AU216:BD216)</f>
        <v>3</v>
      </c>
      <c r="AT216" t="s">
        <v>218</v>
      </c>
      <c r="AU216" t="str">
        <f>$D217</f>
        <v>ALL_GFX_UF_K_BEGIN_X_SAME_X_X_0400_MEDIA_VFDM_UF</v>
      </c>
      <c r="AV216" t="str">
        <f>$D217</f>
        <v>ALL_GFX_UF_K_BEGIN_X_SAME_X_X_0400_MEDIA_VFDM_UF</v>
      </c>
      <c r="AW216">
        <v>2</v>
      </c>
    </row>
    <row r="217" spans="1:56" x14ac:dyDescent="0.35">
      <c r="A217" s="7" t="s">
        <v>12</v>
      </c>
      <c r="B217" s="7" t="s">
        <v>85</v>
      </c>
      <c r="C217" s="7" t="str">
        <f>VLOOKUP(B217,templateLookup!A:B,2,0)</f>
        <v>iCUserFuncTest</v>
      </c>
      <c r="D217" t="str">
        <f>E217&amp;"_"&amp;F217&amp;"_"&amp;G217&amp;"_"&amp;H217&amp;"_"&amp;A217&amp;"_"&amp;I217&amp;"_"&amp;J217&amp;"_"&amp;K217&amp;"_"&amp;L217&amp;"_"&amp;M217&amp;"_"&amp;N217</f>
        <v>ALL_GFX_UF_K_BEGIN_X_SAME_X_X_0400_MEDIA_VFDM_UF</v>
      </c>
      <c r="E217" t="s">
        <v>7</v>
      </c>
      <c r="F217" t="s">
        <v>251</v>
      </c>
      <c r="G217" t="s">
        <v>353</v>
      </c>
      <c r="H217" t="s">
        <v>253</v>
      </c>
      <c r="I217" t="s">
        <v>208</v>
      </c>
      <c r="J217" t="s">
        <v>504</v>
      </c>
      <c r="K217" t="s">
        <v>208</v>
      </c>
      <c r="L217" t="s">
        <v>208</v>
      </c>
      <c r="M217" t="str">
        <f>TEXT(400,"0000")</f>
        <v>0400</v>
      </c>
      <c r="N217" t="s">
        <v>543</v>
      </c>
      <c r="O217" t="s">
        <v>267</v>
      </c>
      <c r="P217" t="s">
        <v>397</v>
      </c>
      <c r="Q217" t="s">
        <v>444</v>
      </c>
      <c r="R217">
        <v>90</v>
      </c>
      <c r="S217">
        <v>61</v>
      </c>
      <c r="T217">
        <v>252</v>
      </c>
      <c r="U217">
        <v>-1</v>
      </c>
      <c r="V217" t="b">
        <v>1</v>
      </c>
      <c r="W217" t="s">
        <v>298</v>
      </c>
      <c r="AJ217" t="s">
        <v>356</v>
      </c>
      <c r="AS217">
        <f>COUNTA(AU217:BD217)</f>
        <v>3</v>
      </c>
      <c r="AT217" t="s">
        <v>218</v>
      </c>
      <c r="AU217" t="str">
        <f>$D218</f>
        <v>ALL_GFX_PATMOD_E_BEGIN_TITO_X_MAX_LFM_X_MEDIA_REPAIR</v>
      </c>
      <c r="AV217" t="str">
        <f>$D218</f>
        <v>ALL_GFX_PATMOD_E_BEGIN_TITO_X_MAX_LFM_X_MEDIA_REPAIR</v>
      </c>
      <c r="AW217" t="str">
        <f>$D218</f>
        <v>ALL_GFX_PATMOD_E_BEGIN_TITO_X_MAX_LFM_X_MEDIA_REPAIR</v>
      </c>
    </row>
    <row r="218" spans="1:56" x14ac:dyDescent="0.35">
      <c r="A218" s="7" t="s">
        <v>12</v>
      </c>
      <c r="B218" s="7" t="s">
        <v>59</v>
      </c>
      <c r="C218" s="7" t="str">
        <f>VLOOKUP(B218,templateLookup!A:B,2,0)</f>
        <v>PrimePatConfigTestMethod</v>
      </c>
      <c r="D218" t="str">
        <f>E218&amp;"_"&amp;F218&amp;"_"&amp;G218&amp;"_"&amp;H218&amp;"_"&amp;A218&amp;"_"&amp;I218&amp;"_"&amp;J218&amp;"_"&amp;K218&amp;"_"&amp;L218&amp;"_"&amp;M218&amp;"_"&amp;N218</f>
        <v>ALL_GFX_PATMOD_E_BEGIN_TITO_X_MAX_LFM_X_MEDIA_REPAIR</v>
      </c>
      <c r="E218" t="s">
        <v>7</v>
      </c>
      <c r="F218" t="s">
        <v>251</v>
      </c>
      <c r="G218" t="s">
        <v>252</v>
      </c>
      <c r="H218" t="s">
        <v>207</v>
      </c>
      <c r="I218" t="s">
        <v>260</v>
      </c>
      <c r="J218" t="s">
        <v>208</v>
      </c>
      <c r="K218" t="s">
        <v>357</v>
      </c>
      <c r="L218" t="s">
        <v>285</v>
      </c>
      <c r="M218" t="s">
        <v>208</v>
      </c>
      <c r="N218" t="s">
        <v>544</v>
      </c>
      <c r="O218" t="s">
        <v>267</v>
      </c>
      <c r="P218" t="s">
        <v>397</v>
      </c>
      <c r="Q218" t="s">
        <v>444</v>
      </c>
      <c r="R218">
        <v>61</v>
      </c>
      <c r="S218">
        <v>40</v>
      </c>
      <c r="T218">
        <v>253</v>
      </c>
      <c r="U218">
        <v>-1</v>
      </c>
      <c r="V218" s="6" t="b">
        <v>0</v>
      </c>
      <c r="W218" t="s">
        <v>298</v>
      </c>
      <c r="AH218" t="s">
        <v>358</v>
      </c>
      <c r="AI218" s="13" t="s">
        <v>545</v>
      </c>
      <c r="AS218">
        <f>COUNTA(AU218:BD218)</f>
        <v>3</v>
      </c>
      <c r="AT218">
        <v>1</v>
      </c>
      <c r="AU218">
        <v>1</v>
      </c>
      <c r="AV218">
        <v>1</v>
      </c>
      <c r="AW218">
        <v>1</v>
      </c>
    </row>
    <row r="219" spans="1:56" x14ac:dyDescent="0.35">
      <c r="A219" s="45" t="s">
        <v>12</v>
      </c>
      <c r="B219" s="45" t="s">
        <v>50</v>
      </c>
      <c r="C219" s="45" t="str">
        <f>VLOOKUP(B219,templateLookup!A:B,2,0)</f>
        <v>COMPOSITE</v>
      </c>
      <c r="D219" s="10" t="s">
        <v>546</v>
      </c>
      <c r="V219" s="12"/>
    </row>
    <row r="220" spans="1:56" x14ac:dyDescent="0.35">
      <c r="A220" s="45" t="s">
        <v>12</v>
      </c>
      <c r="B220" s="45" t="s">
        <v>49</v>
      </c>
      <c r="C220" s="45" t="str">
        <f>VLOOKUP(B220,templateLookup!A:B,2,0)</f>
        <v>COMPOSITE</v>
      </c>
      <c r="D220" s="10" t="s">
        <v>547</v>
      </c>
      <c r="F220" t="s">
        <v>30</v>
      </c>
      <c r="V220" s="12"/>
      <c r="AS220">
        <f t="shared" ref="AS220:AS226" si="120">COUNTA(AU220:BD220)</f>
        <v>2</v>
      </c>
      <c r="AT220">
        <v>1</v>
      </c>
      <c r="AU220">
        <v>1</v>
      </c>
      <c r="AV220">
        <v>1</v>
      </c>
    </row>
    <row r="221" spans="1:56" x14ac:dyDescent="0.35">
      <c r="A221" s="7" t="s">
        <v>12</v>
      </c>
      <c r="B221" s="7" t="s">
        <v>55</v>
      </c>
      <c r="C221" s="7" t="str">
        <f>VLOOKUP(B221,templateLookup!A:B,2,0)</f>
        <v>PrimeMbistVminSearchTestMethod</v>
      </c>
      <c r="D221" t="str">
        <f t="shared" ref="D221:D226" si="121">E221&amp;"_"&amp;F221&amp;"_"&amp;G221&amp;"_"&amp;H221&amp;"_"&amp;A221&amp;"_"&amp;I221&amp;"_"&amp;J221&amp;"_"&amp;K221&amp;"_"&amp;L221&amp;"_"&amp;M221&amp;"_"&amp;N221</f>
        <v>SSA_GFX_HRY_E_BEGIN_TITO_SAME_MAX_LFM_0400_MEDIA1_POST_REPAIR_BISR_BP1</v>
      </c>
      <c r="E221" t="s">
        <v>4</v>
      </c>
      <c r="F221" t="s">
        <v>251</v>
      </c>
      <c r="G221" t="s">
        <v>271</v>
      </c>
      <c r="H221" t="s">
        <v>207</v>
      </c>
      <c r="I221" t="s">
        <v>260</v>
      </c>
      <c r="J221" t="s">
        <v>504</v>
      </c>
      <c r="K221" t="s">
        <v>357</v>
      </c>
      <c r="L221" t="s">
        <v>285</v>
      </c>
      <c r="M221" t="str">
        <f t="shared" ref="M221:M226" si="122">TEXT(400,"0000")</f>
        <v>0400</v>
      </c>
      <c r="N221" t="s">
        <v>548</v>
      </c>
      <c r="O221" t="s">
        <v>267</v>
      </c>
      <c r="P221" t="s">
        <v>397</v>
      </c>
      <c r="Q221" t="s">
        <v>506</v>
      </c>
      <c r="R221">
        <v>61</v>
      </c>
      <c r="S221">
        <v>40</v>
      </c>
      <c r="T221">
        <v>260</v>
      </c>
      <c r="U221">
        <v>-1</v>
      </c>
      <c r="V221" t="b">
        <v>0</v>
      </c>
      <c r="W221" t="s">
        <v>298</v>
      </c>
      <c r="X221" t="s">
        <v>363</v>
      </c>
      <c r="Y221" t="s">
        <v>272</v>
      </c>
      <c r="Z221">
        <v>0.85</v>
      </c>
      <c r="AA221">
        <v>0.85</v>
      </c>
      <c r="AS221">
        <f t="shared" si="120"/>
        <v>10</v>
      </c>
      <c r="AT221" t="s">
        <v>273</v>
      </c>
      <c r="AU221" t="str">
        <f t="shared" ref="AU221:BD225" si="123">$D222</f>
        <v>SSA_GFX_HRY_E_BEGIN_TITO_SAME_MAX_LFM_0400_MEDIA3_POST_REPAIR_BISR_BP3</v>
      </c>
      <c r="AV221" t="str">
        <f t="shared" si="123"/>
        <v>SSA_GFX_HRY_E_BEGIN_TITO_SAME_MAX_LFM_0400_MEDIA3_POST_REPAIR_BISR_BP3</v>
      </c>
      <c r="AW221" t="str">
        <f t="shared" si="123"/>
        <v>SSA_GFX_HRY_E_BEGIN_TITO_SAME_MAX_LFM_0400_MEDIA3_POST_REPAIR_BISR_BP3</v>
      </c>
      <c r="AX221" t="str">
        <f t="shared" si="123"/>
        <v>SSA_GFX_HRY_E_BEGIN_TITO_SAME_MAX_LFM_0400_MEDIA3_POST_REPAIR_BISR_BP3</v>
      </c>
      <c r="AY221" t="str">
        <f t="shared" si="123"/>
        <v>SSA_GFX_HRY_E_BEGIN_TITO_SAME_MAX_LFM_0400_MEDIA3_POST_REPAIR_BISR_BP3</v>
      </c>
      <c r="AZ221" t="str">
        <f t="shared" si="123"/>
        <v>SSA_GFX_HRY_E_BEGIN_TITO_SAME_MAX_LFM_0400_MEDIA3_POST_REPAIR_BISR_BP3</v>
      </c>
      <c r="BA221" t="str">
        <f t="shared" si="123"/>
        <v>SSA_GFX_HRY_E_BEGIN_TITO_SAME_MAX_LFM_0400_MEDIA3_POST_REPAIR_BISR_BP3</v>
      </c>
      <c r="BB221" t="str">
        <f t="shared" si="123"/>
        <v>SSA_GFX_HRY_E_BEGIN_TITO_SAME_MAX_LFM_0400_MEDIA3_POST_REPAIR_BISR_BP3</v>
      </c>
      <c r="BC221" t="str">
        <f t="shared" si="123"/>
        <v>SSA_GFX_HRY_E_BEGIN_TITO_SAME_MAX_LFM_0400_MEDIA3_POST_REPAIR_BISR_BP3</v>
      </c>
      <c r="BD221" t="str">
        <f t="shared" si="123"/>
        <v>SSA_GFX_HRY_E_BEGIN_TITO_SAME_MAX_LFM_0400_MEDIA3_POST_REPAIR_BISR_BP3</v>
      </c>
    </row>
    <row r="222" spans="1:56" x14ac:dyDescent="0.35">
      <c r="A222" s="7" t="s">
        <v>12</v>
      </c>
      <c r="B222" s="7" t="s">
        <v>55</v>
      </c>
      <c r="C222" s="7" t="str">
        <f>VLOOKUP(B222,templateLookup!A:B,2,0)</f>
        <v>PrimeMbistVminSearchTestMethod</v>
      </c>
      <c r="D222" t="str">
        <f t="shared" si="121"/>
        <v>SSA_GFX_HRY_E_BEGIN_TITO_SAME_MAX_LFM_0400_MEDIA3_POST_REPAIR_BISR_BP3</v>
      </c>
      <c r="E222" t="s">
        <v>4</v>
      </c>
      <c r="F222" t="s">
        <v>251</v>
      </c>
      <c r="G222" t="s">
        <v>271</v>
      </c>
      <c r="H222" t="s">
        <v>207</v>
      </c>
      <c r="I222" t="s">
        <v>260</v>
      </c>
      <c r="J222" t="s">
        <v>504</v>
      </c>
      <c r="K222" t="s">
        <v>357</v>
      </c>
      <c r="L222" t="s">
        <v>285</v>
      </c>
      <c r="M222" t="str">
        <f t="shared" si="122"/>
        <v>0400</v>
      </c>
      <c r="N222" t="s">
        <v>549</v>
      </c>
      <c r="O222" t="s">
        <v>267</v>
      </c>
      <c r="P222" t="s">
        <v>397</v>
      </c>
      <c r="Q222" t="s">
        <v>511</v>
      </c>
      <c r="R222">
        <v>61</v>
      </c>
      <c r="S222">
        <v>40</v>
      </c>
      <c r="T222">
        <v>261</v>
      </c>
      <c r="U222">
        <v>-1</v>
      </c>
      <c r="V222" t="b">
        <v>0</v>
      </c>
      <c r="W222" t="s">
        <v>298</v>
      </c>
      <c r="X222" t="s">
        <v>363</v>
      </c>
      <c r="Y222" t="s">
        <v>272</v>
      </c>
      <c r="Z222">
        <v>0.85</v>
      </c>
      <c r="AA222">
        <v>0.85</v>
      </c>
      <c r="AS222">
        <f t="shared" si="120"/>
        <v>10</v>
      </c>
      <c r="AT222" t="s">
        <v>273</v>
      </c>
      <c r="AU222" t="str">
        <f t="shared" si="123"/>
        <v>LSA_GFX_HRY_E_BEGIN_TITO_SAME_MAX_LFM_0400_MEDIA0_POST_REPAIR_BISR_BP0</v>
      </c>
      <c r="AV222" t="str">
        <f t="shared" si="123"/>
        <v>LSA_GFX_HRY_E_BEGIN_TITO_SAME_MAX_LFM_0400_MEDIA0_POST_REPAIR_BISR_BP0</v>
      </c>
      <c r="AW222" t="str">
        <f t="shared" si="123"/>
        <v>LSA_GFX_HRY_E_BEGIN_TITO_SAME_MAX_LFM_0400_MEDIA0_POST_REPAIR_BISR_BP0</v>
      </c>
      <c r="AX222" t="str">
        <f t="shared" si="123"/>
        <v>LSA_GFX_HRY_E_BEGIN_TITO_SAME_MAX_LFM_0400_MEDIA0_POST_REPAIR_BISR_BP0</v>
      </c>
      <c r="AY222" t="str">
        <f t="shared" si="123"/>
        <v>LSA_GFX_HRY_E_BEGIN_TITO_SAME_MAX_LFM_0400_MEDIA0_POST_REPAIR_BISR_BP0</v>
      </c>
      <c r="AZ222" t="str">
        <f t="shared" si="123"/>
        <v>LSA_GFX_HRY_E_BEGIN_TITO_SAME_MAX_LFM_0400_MEDIA0_POST_REPAIR_BISR_BP0</v>
      </c>
      <c r="BA222" t="str">
        <f t="shared" si="123"/>
        <v>LSA_GFX_HRY_E_BEGIN_TITO_SAME_MAX_LFM_0400_MEDIA0_POST_REPAIR_BISR_BP0</v>
      </c>
      <c r="BB222" t="str">
        <f t="shared" si="123"/>
        <v>LSA_GFX_HRY_E_BEGIN_TITO_SAME_MAX_LFM_0400_MEDIA0_POST_REPAIR_BISR_BP0</v>
      </c>
      <c r="BC222" t="str">
        <f t="shared" si="123"/>
        <v>LSA_GFX_HRY_E_BEGIN_TITO_SAME_MAX_LFM_0400_MEDIA0_POST_REPAIR_BISR_BP0</v>
      </c>
      <c r="BD222" t="str">
        <f t="shared" si="123"/>
        <v>LSA_GFX_HRY_E_BEGIN_TITO_SAME_MAX_LFM_0400_MEDIA0_POST_REPAIR_BISR_BP0</v>
      </c>
    </row>
    <row r="223" spans="1:56" x14ac:dyDescent="0.35">
      <c r="A223" s="7" t="s">
        <v>12</v>
      </c>
      <c r="B223" s="7" t="s">
        <v>55</v>
      </c>
      <c r="C223" s="7" t="str">
        <f>VLOOKUP(B223,templateLookup!A:B,2,0)</f>
        <v>PrimeMbistVminSearchTestMethod</v>
      </c>
      <c r="D223" t="str">
        <f t="shared" si="121"/>
        <v>LSA_GFX_HRY_E_BEGIN_TITO_SAME_MAX_LFM_0400_MEDIA0_POST_REPAIR_BISR_BP0</v>
      </c>
      <c r="E223" t="s">
        <v>5</v>
      </c>
      <c r="F223" t="s">
        <v>251</v>
      </c>
      <c r="G223" t="s">
        <v>271</v>
      </c>
      <c r="H223" t="s">
        <v>207</v>
      </c>
      <c r="I223" t="s">
        <v>260</v>
      </c>
      <c r="J223" t="s">
        <v>504</v>
      </c>
      <c r="K223" t="s">
        <v>357</v>
      </c>
      <c r="L223" t="s">
        <v>285</v>
      </c>
      <c r="M223" t="str">
        <f t="shared" si="122"/>
        <v>0400</v>
      </c>
      <c r="N223" t="s">
        <v>550</v>
      </c>
      <c r="O223" t="s">
        <v>267</v>
      </c>
      <c r="P223" t="s">
        <v>397</v>
      </c>
      <c r="Q223" t="s">
        <v>516</v>
      </c>
      <c r="R223">
        <v>21</v>
      </c>
      <c r="S223">
        <v>40</v>
      </c>
      <c r="T223">
        <v>262</v>
      </c>
      <c r="U223">
        <v>-1</v>
      </c>
      <c r="V223" t="b">
        <v>0</v>
      </c>
      <c r="W223" t="s">
        <v>298</v>
      </c>
      <c r="X223" t="s">
        <v>363</v>
      </c>
      <c r="Y223" t="s">
        <v>272</v>
      </c>
      <c r="Z223">
        <v>0.85</v>
      </c>
      <c r="AA223">
        <v>0.85</v>
      </c>
      <c r="AS223">
        <f t="shared" si="120"/>
        <v>10</v>
      </c>
      <c r="AT223" t="s">
        <v>273</v>
      </c>
      <c r="AU223" t="str">
        <f t="shared" si="123"/>
        <v>LSA_GFX_HRY_E_BEGIN_TITO_SAME_MAX_LFM_0400_MEDIA1_POST_REPAIR_BISR_BP1</v>
      </c>
      <c r="AV223" t="str">
        <f t="shared" si="123"/>
        <v>LSA_GFX_HRY_E_BEGIN_TITO_SAME_MAX_LFM_0400_MEDIA1_POST_REPAIR_BISR_BP1</v>
      </c>
      <c r="AW223" t="str">
        <f t="shared" si="123"/>
        <v>LSA_GFX_HRY_E_BEGIN_TITO_SAME_MAX_LFM_0400_MEDIA1_POST_REPAIR_BISR_BP1</v>
      </c>
      <c r="AX223" t="str">
        <f t="shared" si="123"/>
        <v>LSA_GFX_HRY_E_BEGIN_TITO_SAME_MAX_LFM_0400_MEDIA1_POST_REPAIR_BISR_BP1</v>
      </c>
      <c r="AY223" t="str">
        <f t="shared" si="123"/>
        <v>LSA_GFX_HRY_E_BEGIN_TITO_SAME_MAX_LFM_0400_MEDIA1_POST_REPAIR_BISR_BP1</v>
      </c>
      <c r="AZ223" t="str">
        <f t="shared" si="123"/>
        <v>LSA_GFX_HRY_E_BEGIN_TITO_SAME_MAX_LFM_0400_MEDIA1_POST_REPAIR_BISR_BP1</v>
      </c>
      <c r="BA223" t="str">
        <f t="shared" si="123"/>
        <v>LSA_GFX_HRY_E_BEGIN_TITO_SAME_MAX_LFM_0400_MEDIA1_POST_REPAIR_BISR_BP1</v>
      </c>
      <c r="BB223" t="str">
        <f t="shared" si="123"/>
        <v>LSA_GFX_HRY_E_BEGIN_TITO_SAME_MAX_LFM_0400_MEDIA1_POST_REPAIR_BISR_BP1</v>
      </c>
      <c r="BC223" t="str">
        <f t="shared" si="123"/>
        <v>LSA_GFX_HRY_E_BEGIN_TITO_SAME_MAX_LFM_0400_MEDIA1_POST_REPAIR_BISR_BP1</v>
      </c>
      <c r="BD223" t="str">
        <f t="shared" si="123"/>
        <v>LSA_GFX_HRY_E_BEGIN_TITO_SAME_MAX_LFM_0400_MEDIA1_POST_REPAIR_BISR_BP1</v>
      </c>
    </row>
    <row r="224" spans="1:56" x14ac:dyDescent="0.35">
      <c r="A224" s="7" t="s">
        <v>12</v>
      </c>
      <c r="B224" s="7" t="s">
        <v>55</v>
      </c>
      <c r="C224" s="7" t="str">
        <f>VLOOKUP(B224,templateLookup!A:B,2,0)</f>
        <v>PrimeMbistVminSearchTestMethod</v>
      </c>
      <c r="D224" t="str">
        <f t="shared" si="121"/>
        <v>LSA_GFX_HRY_E_BEGIN_TITO_SAME_MAX_LFM_0400_MEDIA1_POST_REPAIR_BISR_BP1</v>
      </c>
      <c r="E224" t="s">
        <v>5</v>
      </c>
      <c r="F224" t="s">
        <v>251</v>
      </c>
      <c r="G224" t="s">
        <v>271</v>
      </c>
      <c r="H224" t="s">
        <v>207</v>
      </c>
      <c r="I224" t="s">
        <v>260</v>
      </c>
      <c r="J224" t="s">
        <v>504</v>
      </c>
      <c r="K224" t="s">
        <v>357</v>
      </c>
      <c r="L224" t="s">
        <v>285</v>
      </c>
      <c r="M224" t="str">
        <f t="shared" si="122"/>
        <v>0400</v>
      </c>
      <c r="N224" t="s">
        <v>548</v>
      </c>
      <c r="O224" t="s">
        <v>267</v>
      </c>
      <c r="P224" t="s">
        <v>397</v>
      </c>
      <c r="Q224" t="s">
        <v>523</v>
      </c>
      <c r="R224">
        <v>21</v>
      </c>
      <c r="S224">
        <v>40</v>
      </c>
      <c r="T224">
        <v>263</v>
      </c>
      <c r="U224">
        <v>-1</v>
      </c>
      <c r="V224" t="b">
        <v>0</v>
      </c>
      <c r="W224" t="s">
        <v>298</v>
      </c>
      <c r="X224" t="s">
        <v>363</v>
      </c>
      <c r="Y224" t="s">
        <v>272</v>
      </c>
      <c r="Z224">
        <v>0.85</v>
      </c>
      <c r="AA224">
        <v>0.85</v>
      </c>
      <c r="AS224">
        <f t="shared" si="120"/>
        <v>10</v>
      </c>
      <c r="AT224" t="s">
        <v>273</v>
      </c>
      <c r="AU224" t="str">
        <f t="shared" si="123"/>
        <v>LSA_GFX_HRY_E_BEGIN_TITO_SAME_MAX_LFM_0400_MEDIA2_POST_REPAIR_BISR_BP2</v>
      </c>
      <c r="AV224" t="str">
        <f t="shared" si="123"/>
        <v>LSA_GFX_HRY_E_BEGIN_TITO_SAME_MAX_LFM_0400_MEDIA2_POST_REPAIR_BISR_BP2</v>
      </c>
      <c r="AW224" t="str">
        <f t="shared" si="123"/>
        <v>LSA_GFX_HRY_E_BEGIN_TITO_SAME_MAX_LFM_0400_MEDIA2_POST_REPAIR_BISR_BP2</v>
      </c>
      <c r="AX224" t="str">
        <f t="shared" si="123"/>
        <v>LSA_GFX_HRY_E_BEGIN_TITO_SAME_MAX_LFM_0400_MEDIA2_POST_REPAIR_BISR_BP2</v>
      </c>
      <c r="AY224" t="str">
        <f t="shared" si="123"/>
        <v>LSA_GFX_HRY_E_BEGIN_TITO_SAME_MAX_LFM_0400_MEDIA2_POST_REPAIR_BISR_BP2</v>
      </c>
      <c r="AZ224" t="str">
        <f t="shared" si="123"/>
        <v>LSA_GFX_HRY_E_BEGIN_TITO_SAME_MAX_LFM_0400_MEDIA2_POST_REPAIR_BISR_BP2</v>
      </c>
      <c r="BA224" t="str">
        <f t="shared" si="123"/>
        <v>LSA_GFX_HRY_E_BEGIN_TITO_SAME_MAX_LFM_0400_MEDIA2_POST_REPAIR_BISR_BP2</v>
      </c>
      <c r="BB224" t="str">
        <f t="shared" si="123"/>
        <v>LSA_GFX_HRY_E_BEGIN_TITO_SAME_MAX_LFM_0400_MEDIA2_POST_REPAIR_BISR_BP2</v>
      </c>
      <c r="BC224" t="str">
        <f t="shared" si="123"/>
        <v>LSA_GFX_HRY_E_BEGIN_TITO_SAME_MAX_LFM_0400_MEDIA2_POST_REPAIR_BISR_BP2</v>
      </c>
      <c r="BD224" t="str">
        <f t="shared" si="123"/>
        <v>LSA_GFX_HRY_E_BEGIN_TITO_SAME_MAX_LFM_0400_MEDIA2_POST_REPAIR_BISR_BP2</v>
      </c>
    </row>
    <row r="225" spans="1:56" x14ac:dyDescent="0.35">
      <c r="A225" s="7" t="s">
        <v>12</v>
      </c>
      <c r="B225" s="7" t="s">
        <v>55</v>
      </c>
      <c r="C225" s="7" t="str">
        <f>VLOOKUP(B225,templateLookup!A:B,2,0)</f>
        <v>PrimeMbistVminSearchTestMethod</v>
      </c>
      <c r="D225" t="str">
        <f t="shared" si="121"/>
        <v>LSA_GFX_HRY_E_BEGIN_TITO_SAME_MAX_LFM_0400_MEDIA2_POST_REPAIR_BISR_BP2</v>
      </c>
      <c r="E225" t="s">
        <v>5</v>
      </c>
      <c r="F225" t="s">
        <v>251</v>
      </c>
      <c r="G225" t="s">
        <v>271</v>
      </c>
      <c r="H225" t="s">
        <v>207</v>
      </c>
      <c r="I225" t="s">
        <v>260</v>
      </c>
      <c r="J225" t="s">
        <v>504</v>
      </c>
      <c r="K225" t="s">
        <v>357</v>
      </c>
      <c r="L225" t="s">
        <v>285</v>
      </c>
      <c r="M225" t="str">
        <f t="shared" si="122"/>
        <v>0400</v>
      </c>
      <c r="N225" t="s">
        <v>551</v>
      </c>
      <c r="O225" t="s">
        <v>267</v>
      </c>
      <c r="P225" t="s">
        <v>397</v>
      </c>
      <c r="Q225" t="s">
        <v>528</v>
      </c>
      <c r="R225">
        <v>21</v>
      </c>
      <c r="S225">
        <v>40</v>
      </c>
      <c r="T225">
        <v>264</v>
      </c>
      <c r="U225">
        <v>-1</v>
      </c>
      <c r="V225" t="b">
        <v>0</v>
      </c>
      <c r="W225" t="s">
        <v>298</v>
      </c>
      <c r="X225" t="s">
        <v>363</v>
      </c>
      <c r="Y225" t="s">
        <v>272</v>
      </c>
      <c r="Z225">
        <v>0.85</v>
      </c>
      <c r="AA225">
        <v>0.85</v>
      </c>
      <c r="AS225">
        <f t="shared" si="120"/>
        <v>10</v>
      </c>
      <c r="AT225" t="s">
        <v>273</v>
      </c>
      <c r="AU225" t="str">
        <f t="shared" si="123"/>
        <v>LSA_GFX_HRY_E_BEGIN_TITO_SAME_MAX_LFM_0400_MEDIA3_POST_REPAIR_BISR_BP3</v>
      </c>
      <c r="AV225" t="str">
        <f t="shared" si="123"/>
        <v>LSA_GFX_HRY_E_BEGIN_TITO_SAME_MAX_LFM_0400_MEDIA3_POST_REPAIR_BISR_BP3</v>
      </c>
      <c r="AW225" t="str">
        <f t="shared" si="123"/>
        <v>LSA_GFX_HRY_E_BEGIN_TITO_SAME_MAX_LFM_0400_MEDIA3_POST_REPAIR_BISR_BP3</v>
      </c>
      <c r="AX225" t="str">
        <f t="shared" si="123"/>
        <v>LSA_GFX_HRY_E_BEGIN_TITO_SAME_MAX_LFM_0400_MEDIA3_POST_REPAIR_BISR_BP3</v>
      </c>
      <c r="AY225" t="str">
        <f t="shared" si="123"/>
        <v>LSA_GFX_HRY_E_BEGIN_TITO_SAME_MAX_LFM_0400_MEDIA3_POST_REPAIR_BISR_BP3</v>
      </c>
      <c r="AZ225" t="str">
        <f t="shared" si="123"/>
        <v>LSA_GFX_HRY_E_BEGIN_TITO_SAME_MAX_LFM_0400_MEDIA3_POST_REPAIR_BISR_BP3</v>
      </c>
      <c r="BA225" t="str">
        <f t="shared" si="123"/>
        <v>LSA_GFX_HRY_E_BEGIN_TITO_SAME_MAX_LFM_0400_MEDIA3_POST_REPAIR_BISR_BP3</v>
      </c>
      <c r="BB225" t="str">
        <f t="shared" si="123"/>
        <v>LSA_GFX_HRY_E_BEGIN_TITO_SAME_MAX_LFM_0400_MEDIA3_POST_REPAIR_BISR_BP3</v>
      </c>
      <c r="BC225" t="str">
        <f t="shared" si="123"/>
        <v>LSA_GFX_HRY_E_BEGIN_TITO_SAME_MAX_LFM_0400_MEDIA3_POST_REPAIR_BISR_BP3</v>
      </c>
      <c r="BD225" t="str">
        <f t="shared" si="123"/>
        <v>LSA_GFX_HRY_E_BEGIN_TITO_SAME_MAX_LFM_0400_MEDIA3_POST_REPAIR_BISR_BP3</v>
      </c>
    </row>
    <row r="226" spans="1:56" x14ac:dyDescent="0.35">
      <c r="A226" s="7" t="s">
        <v>12</v>
      </c>
      <c r="B226" s="7" t="s">
        <v>55</v>
      </c>
      <c r="C226" s="7" t="str">
        <f>VLOOKUP(B226,templateLookup!A:B,2,0)</f>
        <v>PrimeMbistVminSearchTestMethod</v>
      </c>
      <c r="D226" t="str">
        <f t="shared" si="121"/>
        <v>LSA_GFX_HRY_E_BEGIN_TITO_SAME_MAX_LFM_0400_MEDIA3_POST_REPAIR_BISR_BP3</v>
      </c>
      <c r="E226" t="s">
        <v>5</v>
      </c>
      <c r="F226" t="s">
        <v>251</v>
      </c>
      <c r="G226" t="s">
        <v>271</v>
      </c>
      <c r="H226" t="s">
        <v>207</v>
      </c>
      <c r="I226" t="s">
        <v>260</v>
      </c>
      <c r="J226" t="s">
        <v>504</v>
      </c>
      <c r="K226" t="s">
        <v>357</v>
      </c>
      <c r="L226" t="s">
        <v>285</v>
      </c>
      <c r="M226" t="str">
        <f t="shared" si="122"/>
        <v>0400</v>
      </c>
      <c r="N226" t="s">
        <v>549</v>
      </c>
      <c r="O226" t="s">
        <v>267</v>
      </c>
      <c r="P226" t="s">
        <v>397</v>
      </c>
      <c r="Q226" t="s">
        <v>535</v>
      </c>
      <c r="R226">
        <v>21</v>
      </c>
      <c r="S226">
        <v>40</v>
      </c>
      <c r="T226">
        <v>265</v>
      </c>
      <c r="U226">
        <v>-1</v>
      </c>
      <c r="V226" s="6" t="b">
        <v>0</v>
      </c>
      <c r="W226" t="s">
        <v>298</v>
      </c>
      <c r="X226" t="s">
        <v>363</v>
      </c>
      <c r="Y226" t="s">
        <v>272</v>
      </c>
      <c r="Z226">
        <v>0.85</v>
      </c>
      <c r="AA226">
        <v>0.85</v>
      </c>
      <c r="AS226">
        <f t="shared" si="120"/>
        <v>10</v>
      </c>
      <c r="AT226" t="s">
        <v>273</v>
      </c>
      <c r="AU226">
        <v>1</v>
      </c>
      <c r="AV226">
        <v>1</v>
      </c>
      <c r="AW226">
        <v>1</v>
      </c>
      <c r="AX226">
        <v>1</v>
      </c>
      <c r="AY226">
        <v>1</v>
      </c>
      <c r="AZ226">
        <v>1</v>
      </c>
      <c r="BA226">
        <v>1</v>
      </c>
      <c r="BB226">
        <v>1</v>
      </c>
      <c r="BC226">
        <v>1</v>
      </c>
      <c r="BD226">
        <v>1</v>
      </c>
    </row>
    <row r="227" spans="1:56" x14ac:dyDescent="0.35">
      <c r="A227" s="45" t="s">
        <v>12</v>
      </c>
      <c r="B227" s="45" t="s">
        <v>50</v>
      </c>
      <c r="C227" s="45" t="str">
        <f>VLOOKUP(B227,templateLookup!A:B,2,0)</f>
        <v>COMPOSITE</v>
      </c>
      <c r="D227" s="10" t="s">
        <v>552</v>
      </c>
      <c r="V227" s="12"/>
    </row>
    <row r="228" spans="1:56" x14ac:dyDescent="0.35">
      <c r="A228" s="50" t="s">
        <v>12</v>
      </c>
      <c r="B228" s="50" t="s">
        <v>50</v>
      </c>
      <c r="C228" s="50" t="str">
        <f>VLOOKUP(B228,templateLookup!A:B,2,0)</f>
        <v>COMPOSITE</v>
      </c>
      <c r="D228" s="10" t="s">
        <v>553</v>
      </c>
      <c r="V228" s="12"/>
    </row>
    <row r="229" spans="1:56" x14ac:dyDescent="0.35">
      <c r="A229" s="50" t="s">
        <v>12</v>
      </c>
      <c r="B229" s="50" t="s">
        <v>49</v>
      </c>
      <c r="C229" s="50" t="str">
        <f>VLOOKUP(B229,templateLookup!A:B,2,0)</f>
        <v>COMPOSITE</v>
      </c>
      <c r="D229" s="5" t="s">
        <v>554</v>
      </c>
      <c r="E229" s="6"/>
      <c r="F229" s="6" t="s">
        <v>30</v>
      </c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AS229">
        <f t="shared" ref="AS229:AS250" si="124">COUNTA(AU229:BD229)</f>
        <v>2</v>
      </c>
      <c r="AT229">
        <v>1</v>
      </c>
      <c r="AU229" t="str">
        <f>$D344</f>
        <v>VPU_REPAIRABLE</v>
      </c>
      <c r="AV229" t="str">
        <f>$D344</f>
        <v>VPU_REPAIRABLE</v>
      </c>
    </row>
    <row r="230" spans="1:56" x14ac:dyDescent="0.35">
      <c r="A230" s="28" t="s">
        <v>12</v>
      </c>
      <c r="B230" s="28" t="s">
        <v>61</v>
      </c>
      <c r="C230" s="28" t="str">
        <f>VLOOKUP(B230,templateLookup!A:B,2,0)</f>
        <v>PrimePatConfigTestMethod</v>
      </c>
      <c r="D230" t="str">
        <f>E230&amp;"_"&amp;F230&amp;"_"&amp;G230&amp;"_"&amp;H230&amp;"_"&amp;A230&amp;"_"&amp;I230&amp;"_"&amp;J230&amp;"_"&amp;K230&amp;"_"&amp;L230&amp;"_"&amp;M230&amp;"_"&amp;N230</f>
        <v>ALL_SOC_PATMOD_K_BEGIN_X_X_X_X_X_RESET_FREQ</v>
      </c>
      <c r="E230" t="s">
        <v>7</v>
      </c>
      <c r="F230" t="s">
        <v>27</v>
      </c>
      <c r="G230" t="s">
        <v>252</v>
      </c>
      <c r="H230" t="s">
        <v>253</v>
      </c>
      <c r="I230" t="s">
        <v>208</v>
      </c>
      <c r="J230" t="s">
        <v>208</v>
      </c>
      <c r="K230" t="s">
        <v>208</v>
      </c>
      <c r="L230" t="s">
        <v>208</v>
      </c>
      <c r="M230" t="s">
        <v>208</v>
      </c>
      <c r="N230" t="s">
        <v>278</v>
      </c>
      <c r="O230" t="s">
        <v>211</v>
      </c>
      <c r="P230" t="s">
        <v>211</v>
      </c>
      <c r="Q230" t="s">
        <v>212</v>
      </c>
      <c r="R230">
        <v>90</v>
      </c>
      <c r="S230">
        <v>50</v>
      </c>
      <c r="T230">
        <v>75</v>
      </c>
      <c r="U230">
        <v>-1</v>
      </c>
      <c r="V230" t="b">
        <v>1</v>
      </c>
      <c r="AO230" t="s">
        <v>279</v>
      </c>
      <c r="AP230" t="s">
        <v>280</v>
      </c>
      <c r="AQ230" t="s">
        <v>257</v>
      </c>
      <c r="AR230" t="s">
        <v>555</v>
      </c>
      <c r="AS230">
        <f t="shared" si="124"/>
        <v>2</v>
      </c>
      <c r="AT230">
        <v>1</v>
      </c>
      <c r="AU230" t="str">
        <f>$D231</f>
        <v>SOC_BISR</v>
      </c>
      <c r="AV230" t="str">
        <f>$D231</f>
        <v>SOC_BISR</v>
      </c>
      <c r="BB230" s="8"/>
      <c r="BC230" s="8"/>
    </row>
    <row r="231" spans="1:56" x14ac:dyDescent="0.35">
      <c r="A231" s="27" t="s">
        <v>12</v>
      </c>
      <c r="B231" s="27" t="s">
        <v>49</v>
      </c>
      <c r="C231" s="27" t="str">
        <f>VLOOKUP(B231,templateLookup!A:B,2,0)</f>
        <v>COMPOSITE</v>
      </c>
      <c r="D231" s="10" t="s">
        <v>556</v>
      </c>
      <c r="F231" t="s">
        <v>30</v>
      </c>
      <c r="V231" s="12"/>
      <c r="AS231">
        <f t="shared" si="124"/>
        <v>2</v>
      </c>
      <c r="AT231">
        <v>1</v>
      </c>
      <c r="AU231" t="str">
        <f>$D310</f>
        <v>SOC_VFDM</v>
      </c>
      <c r="AV231" t="str">
        <f>$D310</f>
        <v>SOC_VFDM</v>
      </c>
    </row>
    <row r="232" spans="1:56" x14ac:dyDescent="0.35">
      <c r="A232" s="27" t="s">
        <v>12</v>
      </c>
      <c r="B232" s="27" t="s">
        <v>49</v>
      </c>
      <c r="C232" s="27" t="str">
        <f>VLOOKUP(B232,templateLookup!A:B,2,0)</f>
        <v>COMPOSITE</v>
      </c>
      <c r="D232" s="10" t="s">
        <v>557</v>
      </c>
      <c r="F232" t="s">
        <v>30</v>
      </c>
      <c r="V232" s="12"/>
      <c r="AS232">
        <f t="shared" si="124"/>
        <v>2</v>
      </c>
      <c r="AT232">
        <v>1</v>
      </c>
      <c r="AU232" t="str">
        <f>$D252</f>
        <v>PRE_REPAIR_MMM_DDR</v>
      </c>
      <c r="AV232" t="str">
        <f>$D252</f>
        <v>PRE_REPAIR_MMM_DDR</v>
      </c>
    </row>
    <row r="233" spans="1:56" x14ac:dyDescent="0.35">
      <c r="A233" s="28" t="s">
        <v>12</v>
      </c>
      <c r="B233" s="28" t="s">
        <v>54</v>
      </c>
      <c r="C233" s="28" t="str">
        <f>VLOOKUP(B233,templateLookup!A:B,2,0)</f>
        <v>PrimeMbistVminSearchTestMethod</v>
      </c>
      <c r="D233" t="str">
        <f t="shared" ref="D233:D250" si="125">E233&amp;"_"&amp;F233&amp;"_"&amp;G233&amp;"_"&amp;H233&amp;"_"&amp;A233&amp;"_"&amp;I233&amp;"_"&amp;J233&amp;"_"&amp;K233&amp;"_"&amp;L233&amp;"_"&amp;M233&amp;"_"&amp;N233</f>
        <v>SSA_SOC_HRY_E_BEGIN_TITO_SAQ_NOM_LFM_0600_MEMSS0_BHRY_MMM_BP1</v>
      </c>
      <c r="E233" t="s">
        <v>4</v>
      </c>
      <c r="F233" t="s">
        <v>27</v>
      </c>
      <c r="G233" t="s">
        <v>271</v>
      </c>
      <c r="H233" t="s">
        <v>207</v>
      </c>
      <c r="I233" t="s">
        <v>260</v>
      </c>
      <c r="J233" t="s">
        <v>558</v>
      </c>
      <c r="K233" t="s">
        <v>284</v>
      </c>
      <c r="L233" t="s">
        <v>285</v>
      </c>
      <c r="M233" t="s">
        <v>559</v>
      </c>
      <c r="N233" t="s">
        <v>560</v>
      </c>
      <c r="O233" t="s">
        <v>267</v>
      </c>
      <c r="P233" t="s">
        <v>268</v>
      </c>
      <c r="Q233" t="s">
        <v>561</v>
      </c>
      <c r="R233">
        <v>61</v>
      </c>
      <c r="S233">
        <v>50</v>
      </c>
      <c r="T233">
        <v>0</v>
      </c>
      <c r="U233">
        <v>-1</v>
      </c>
      <c r="V233" t="b">
        <v>0</v>
      </c>
      <c r="W233" t="s">
        <v>298</v>
      </c>
      <c r="X233" t="s">
        <v>271</v>
      </c>
      <c r="Y233" t="s">
        <v>272</v>
      </c>
      <c r="Z233">
        <v>0.85</v>
      </c>
      <c r="AA233">
        <v>0.85</v>
      </c>
      <c r="AS233">
        <f t="shared" si="124"/>
        <v>10</v>
      </c>
      <c r="AT233" t="s">
        <v>273</v>
      </c>
      <c r="AU233" t="str">
        <f t="shared" ref="AU233:AU249" si="126">$D234</f>
        <v>SSA_SOC_HRY_E_BEGIN_TITO_SAQ_NOM_LFM_0600_MEMSS0_BISR_MMM_BP1</v>
      </c>
      <c r="AV233" t="str">
        <f>$D236</f>
        <v>SSA_SOC_HRY_E_BEGIN_TITO_SAQ_NOM_LFM_0600_MEMSS1_BHRY_MMM_BP2</v>
      </c>
      <c r="AW233" t="str">
        <f t="shared" ref="AW233:BB233" si="127">$D234</f>
        <v>SSA_SOC_HRY_E_BEGIN_TITO_SAQ_NOM_LFM_0600_MEMSS0_BISR_MMM_BP1</v>
      </c>
      <c r="AX233" t="str">
        <f t="shared" si="127"/>
        <v>SSA_SOC_HRY_E_BEGIN_TITO_SAQ_NOM_LFM_0600_MEMSS0_BISR_MMM_BP1</v>
      </c>
      <c r="AY233" t="str">
        <f t="shared" si="127"/>
        <v>SSA_SOC_HRY_E_BEGIN_TITO_SAQ_NOM_LFM_0600_MEMSS0_BISR_MMM_BP1</v>
      </c>
      <c r="AZ233" t="str">
        <f t="shared" si="127"/>
        <v>SSA_SOC_HRY_E_BEGIN_TITO_SAQ_NOM_LFM_0600_MEMSS0_BISR_MMM_BP1</v>
      </c>
      <c r="BA233" t="str">
        <f t="shared" si="127"/>
        <v>SSA_SOC_HRY_E_BEGIN_TITO_SAQ_NOM_LFM_0600_MEMSS0_BISR_MMM_BP1</v>
      </c>
      <c r="BB233" t="str">
        <f t="shared" si="127"/>
        <v>SSA_SOC_HRY_E_BEGIN_TITO_SAQ_NOM_LFM_0600_MEMSS0_BISR_MMM_BP1</v>
      </c>
      <c r="BC233" t="str">
        <f>$D236</f>
        <v>SSA_SOC_HRY_E_BEGIN_TITO_SAQ_NOM_LFM_0600_MEMSS1_BHRY_MMM_BP2</v>
      </c>
      <c r="BD233" t="str">
        <f>$D234</f>
        <v>SSA_SOC_HRY_E_BEGIN_TITO_SAQ_NOM_LFM_0600_MEMSS0_BISR_MMM_BP1</v>
      </c>
    </row>
    <row r="234" spans="1:56" x14ac:dyDescent="0.35">
      <c r="A234" s="28" t="s">
        <v>12</v>
      </c>
      <c r="B234" s="28" t="s">
        <v>54</v>
      </c>
      <c r="C234" s="28" t="str">
        <f>VLOOKUP(B234,templateLookup!A:B,2,0)</f>
        <v>PrimeMbistVminSearchTestMethod</v>
      </c>
      <c r="D234" t="str">
        <f t="shared" si="125"/>
        <v>SSA_SOC_HRY_E_BEGIN_TITO_SAQ_NOM_LFM_0600_MEMSS0_BISR_MMM_BP1</v>
      </c>
      <c r="E234" t="s">
        <v>4</v>
      </c>
      <c r="F234" t="s">
        <v>27</v>
      </c>
      <c r="G234" t="s">
        <v>271</v>
      </c>
      <c r="H234" t="s">
        <v>207</v>
      </c>
      <c r="I234" t="s">
        <v>260</v>
      </c>
      <c r="J234" t="s">
        <v>558</v>
      </c>
      <c r="K234" t="s">
        <v>284</v>
      </c>
      <c r="L234" t="s">
        <v>285</v>
      </c>
      <c r="M234" t="s">
        <v>559</v>
      </c>
      <c r="N234" t="s">
        <v>562</v>
      </c>
      <c r="O234" t="s">
        <v>267</v>
      </c>
      <c r="P234" t="s">
        <v>268</v>
      </c>
      <c r="Q234" t="s">
        <v>563</v>
      </c>
      <c r="R234">
        <v>61</v>
      </c>
      <c r="S234">
        <v>50</v>
      </c>
      <c r="T234">
        <v>1</v>
      </c>
      <c r="U234">
        <v>-1</v>
      </c>
      <c r="V234" t="b">
        <v>0</v>
      </c>
      <c r="W234" t="s">
        <v>298</v>
      </c>
      <c r="X234" t="s">
        <v>401</v>
      </c>
      <c r="Y234" t="s">
        <v>272</v>
      </c>
      <c r="Z234">
        <v>0.85</v>
      </c>
      <c r="AA234">
        <v>0.85</v>
      </c>
      <c r="AS234">
        <f t="shared" si="124"/>
        <v>10</v>
      </c>
      <c r="AT234" t="s">
        <v>273</v>
      </c>
      <c r="AU234" t="str">
        <f t="shared" si="126"/>
        <v>SSA_SOC_RASTER_E_BEGIN_TITO_SAQ_NOM_LFM_0600_MEMSS0_RASTER_MMM_BP1</v>
      </c>
      <c r="AV234" t="str">
        <f t="shared" ref="AV234:BD234" si="128">$D236</f>
        <v>SSA_SOC_HRY_E_BEGIN_TITO_SAQ_NOM_LFM_0600_MEMSS1_BHRY_MMM_BP2</v>
      </c>
      <c r="AW234" t="str">
        <f t="shared" si="128"/>
        <v>SSA_SOC_HRY_E_BEGIN_TITO_SAQ_NOM_LFM_0600_MEMSS1_BHRY_MMM_BP2</v>
      </c>
      <c r="AX234" t="str">
        <f t="shared" si="128"/>
        <v>SSA_SOC_HRY_E_BEGIN_TITO_SAQ_NOM_LFM_0600_MEMSS1_BHRY_MMM_BP2</v>
      </c>
      <c r="AY234" t="str">
        <f t="shared" si="128"/>
        <v>SSA_SOC_HRY_E_BEGIN_TITO_SAQ_NOM_LFM_0600_MEMSS1_BHRY_MMM_BP2</v>
      </c>
      <c r="AZ234" t="str">
        <f t="shared" si="128"/>
        <v>SSA_SOC_HRY_E_BEGIN_TITO_SAQ_NOM_LFM_0600_MEMSS1_BHRY_MMM_BP2</v>
      </c>
      <c r="BA234" t="str">
        <f t="shared" si="128"/>
        <v>SSA_SOC_HRY_E_BEGIN_TITO_SAQ_NOM_LFM_0600_MEMSS1_BHRY_MMM_BP2</v>
      </c>
      <c r="BB234" t="str">
        <f t="shared" si="128"/>
        <v>SSA_SOC_HRY_E_BEGIN_TITO_SAQ_NOM_LFM_0600_MEMSS1_BHRY_MMM_BP2</v>
      </c>
      <c r="BC234" t="str">
        <f t="shared" si="128"/>
        <v>SSA_SOC_HRY_E_BEGIN_TITO_SAQ_NOM_LFM_0600_MEMSS1_BHRY_MMM_BP2</v>
      </c>
      <c r="BD234" t="str">
        <f t="shared" si="128"/>
        <v>SSA_SOC_HRY_E_BEGIN_TITO_SAQ_NOM_LFM_0600_MEMSS1_BHRY_MMM_BP2</v>
      </c>
    </row>
    <row r="235" spans="1:56" x14ac:dyDescent="0.35">
      <c r="A235" s="28" t="s">
        <v>12</v>
      </c>
      <c r="B235" s="28" t="s">
        <v>56</v>
      </c>
      <c r="C235" s="28" t="str">
        <f>VLOOKUP(B235,templateLookup!A:B,2,0)</f>
        <v>MbistRasterTC</v>
      </c>
      <c r="D235" t="str">
        <f t="shared" si="125"/>
        <v>SSA_SOC_RASTER_E_BEGIN_TITO_SAQ_NOM_LFM_0600_MEMSS0_RASTER_MMM_BP1</v>
      </c>
      <c r="E235" t="s">
        <v>4</v>
      </c>
      <c r="F235" t="s">
        <v>27</v>
      </c>
      <c r="G235" t="s">
        <v>289</v>
      </c>
      <c r="H235" t="s">
        <v>207</v>
      </c>
      <c r="I235" t="s">
        <v>260</v>
      </c>
      <c r="J235" t="s">
        <v>558</v>
      </c>
      <c r="K235" t="s">
        <v>284</v>
      </c>
      <c r="L235" t="s">
        <v>285</v>
      </c>
      <c r="M235" t="s">
        <v>559</v>
      </c>
      <c r="N235" t="s">
        <v>564</v>
      </c>
      <c r="O235" t="s">
        <v>267</v>
      </c>
      <c r="P235" t="s">
        <v>268</v>
      </c>
      <c r="Q235" t="s">
        <v>291</v>
      </c>
      <c r="R235">
        <v>61</v>
      </c>
      <c r="S235">
        <v>50</v>
      </c>
      <c r="T235">
        <v>2</v>
      </c>
      <c r="U235">
        <v>1</v>
      </c>
      <c r="V235" t="b">
        <v>0</v>
      </c>
      <c r="W235" t="s">
        <v>298</v>
      </c>
      <c r="AS235">
        <f t="shared" si="124"/>
        <v>5</v>
      </c>
      <c r="AT235">
        <v>1</v>
      </c>
      <c r="AU235" t="str">
        <f t="shared" si="126"/>
        <v>SSA_SOC_HRY_E_BEGIN_TITO_SAQ_NOM_LFM_0600_MEMSS1_BHRY_MMM_BP2</v>
      </c>
      <c r="AV235" t="str">
        <f>$D236</f>
        <v>SSA_SOC_HRY_E_BEGIN_TITO_SAQ_NOM_LFM_0600_MEMSS1_BHRY_MMM_BP2</v>
      </c>
      <c r="AW235" t="str">
        <f>$D236</f>
        <v>SSA_SOC_HRY_E_BEGIN_TITO_SAQ_NOM_LFM_0600_MEMSS1_BHRY_MMM_BP2</v>
      </c>
      <c r="AX235" t="str">
        <f>$D236</f>
        <v>SSA_SOC_HRY_E_BEGIN_TITO_SAQ_NOM_LFM_0600_MEMSS1_BHRY_MMM_BP2</v>
      </c>
      <c r="AY235" t="str">
        <f>$D236</f>
        <v>SSA_SOC_HRY_E_BEGIN_TITO_SAQ_NOM_LFM_0600_MEMSS1_BHRY_MMM_BP2</v>
      </c>
    </row>
    <row r="236" spans="1:56" x14ac:dyDescent="0.35">
      <c r="A236" s="28" t="s">
        <v>12</v>
      </c>
      <c r="B236" s="28" t="s">
        <v>54</v>
      </c>
      <c r="C236" s="28" t="str">
        <f>VLOOKUP(B236,templateLookup!A:B,2,0)</f>
        <v>PrimeMbistVminSearchTestMethod</v>
      </c>
      <c r="D236" t="str">
        <f t="shared" si="125"/>
        <v>SSA_SOC_HRY_E_BEGIN_TITO_SAQ_NOM_LFM_0600_MEMSS1_BHRY_MMM_BP2</v>
      </c>
      <c r="E236" t="s">
        <v>4</v>
      </c>
      <c r="F236" t="s">
        <v>27</v>
      </c>
      <c r="G236" t="s">
        <v>271</v>
      </c>
      <c r="H236" t="s">
        <v>207</v>
      </c>
      <c r="I236" t="s">
        <v>260</v>
      </c>
      <c r="J236" t="s">
        <v>558</v>
      </c>
      <c r="K236" t="s">
        <v>284</v>
      </c>
      <c r="L236" t="s">
        <v>285</v>
      </c>
      <c r="M236" t="s">
        <v>559</v>
      </c>
      <c r="N236" t="s">
        <v>565</v>
      </c>
      <c r="O236" t="s">
        <v>267</v>
      </c>
      <c r="P236" t="s">
        <v>268</v>
      </c>
      <c r="Q236" t="s">
        <v>566</v>
      </c>
      <c r="R236">
        <v>61</v>
      </c>
      <c r="S236">
        <v>50</v>
      </c>
      <c r="T236">
        <v>3</v>
      </c>
      <c r="U236">
        <v>-1</v>
      </c>
      <c r="V236" t="b">
        <v>0</v>
      </c>
      <c r="W236" t="s">
        <v>298</v>
      </c>
      <c r="X236" t="s">
        <v>271</v>
      </c>
      <c r="Y236" t="s">
        <v>272</v>
      </c>
      <c r="Z236">
        <v>0.85</v>
      </c>
      <c r="AA236">
        <v>0.85</v>
      </c>
      <c r="AS236">
        <f t="shared" si="124"/>
        <v>10</v>
      </c>
      <c r="AT236" t="s">
        <v>273</v>
      </c>
      <c r="AU236" t="str">
        <f t="shared" si="126"/>
        <v>SSA_SOC_HRY_E_BEGIN_TITO_SAQ_NOM_LFM_0600_MEMSS1_BISR_MMM_BP2</v>
      </c>
      <c r="AV236" t="str">
        <f>$D239</f>
        <v>LSA_SOC_HRY_E_BEGIN_TITO_SAQ_NOM_LFM_0600_MEMSS0_BHRY_MMM_BP1</v>
      </c>
      <c r="AW236" t="str">
        <f t="shared" ref="AW236:BB236" si="129">$D237</f>
        <v>SSA_SOC_HRY_E_BEGIN_TITO_SAQ_NOM_LFM_0600_MEMSS1_BISR_MMM_BP2</v>
      </c>
      <c r="AX236" t="str">
        <f t="shared" si="129"/>
        <v>SSA_SOC_HRY_E_BEGIN_TITO_SAQ_NOM_LFM_0600_MEMSS1_BISR_MMM_BP2</v>
      </c>
      <c r="AY236" t="str">
        <f t="shared" si="129"/>
        <v>SSA_SOC_HRY_E_BEGIN_TITO_SAQ_NOM_LFM_0600_MEMSS1_BISR_MMM_BP2</v>
      </c>
      <c r="AZ236" t="str">
        <f t="shared" si="129"/>
        <v>SSA_SOC_HRY_E_BEGIN_TITO_SAQ_NOM_LFM_0600_MEMSS1_BISR_MMM_BP2</v>
      </c>
      <c r="BA236" t="str">
        <f t="shared" si="129"/>
        <v>SSA_SOC_HRY_E_BEGIN_TITO_SAQ_NOM_LFM_0600_MEMSS1_BISR_MMM_BP2</v>
      </c>
      <c r="BB236" t="str">
        <f t="shared" si="129"/>
        <v>SSA_SOC_HRY_E_BEGIN_TITO_SAQ_NOM_LFM_0600_MEMSS1_BISR_MMM_BP2</v>
      </c>
      <c r="BC236" t="str">
        <f>$D239</f>
        <v>LSA_SOC_HRY_E_BEGIN_TITO_SAQ_NOM_LFM_0600_MEMSS0_BHRY_MMM_BP1</v>
      </c>
      <c r="BD236" t="str">
        <f>$D237</f>
        <v>SSA_SOC_HRY_E_BEGIN_TITO_SAQ_NOM_LFM_0600_MEMSS1_BISR_MMM_BP2</v>
      </c>
    </row>
    <row r="237" spans="1:56" x14ac:dyDescent="0.35">
      <c r="A237" s="28" t="s">
        <v>12</v>
      </c>
      <c r="B237" s="28" t="s">
        <v>54</v>
      </c>
      <c r="C237" s="28" t="str">
        <f>VLOOKUP(B237,templateLookup!A:B,2,0)</f>
        <v>PrimeMbistVminSearchTestMethod</v>
      </c>
      <c r="D237" t="str">
        <f t="shared" si="125"/>
        <v>SSA_SOC_HRY_E_BEGIN_TITO_SAQ_NOM_LFM_0600_MEMSS1_BISR_MMM_BP2</v>
      </c>
      <c r="E237" t="s">
        <v>4</v>
      </c>
      <c r="F237" t="s">
        <v>27</v>
      </c>
      <c r="G237" t="s">
        <v>271</v>
      </c>
      <c r="H237" t="s">
        <v>207</v>
      </c>
      <c r="I237" t="s">
        <v>260</v>
      </c>
      <c r="J237" t="s">
        <v>558</v>
      </c>
      <c r="K237" t="s">
        <v>284</v>
      </c>
      <c r="L237" t="s">
        <v>285</v>
      </c>
      <c r="M237" t="s">
        <v>559</v>
      </c>
      <c r="N237" t="s">
        <v>567</v>
      </c>
      <c r="O237" t="s">
        <v>267</v>
      </c>
      <c r="P237" t="s">
        <v>268</v>
      </c>
      <c r="Q237" t="s">
        <v>568</v>
      </c>
      <c r="R237">
        <v>61</v>
      </c>
      <c r="S237">
        <v>50</v>
      </c>
      <c r="T237">
        <v>4</v>
      </c>
      <c r="U237">
        <v>-1</v>
      </c>
      <c r="V237" t="b">
        <v>0</v>
      </c>
      <c r="W237" t="s">
        <v>298</v>
      </c>
      <c r="X237" t="s">
        <v>401</v>
      </c>
      <c r="Y237" t="s">
        <v>272</v>
      </c>
      <c r="Z237">
        <v>0.85</v>
      </c>
      <c r="AA237">
        <v>0.85</v>
      </c>
      <c r="AS237">
        <f t="shared" si="124"/>
        <v>10</v>
      </c>
      <c r="AT237" t="s">
        <v>273</v>
      </c>
      <c r="AU237" t="str">
        <f t="shared" si="126"/>
        <v>SSA_SOC_RASTER_E_BEGIN_TITO_SAQ_NOM_LFM_0600_MEMSS1_RASTER_MMM_BP2</v>
      </c>
      <c r="AV237" t="str">
        <f t="shared" ref="AV237:BD237" si="130">$D239</f>
        <v>LSA_SOC_HRY_E_BEGIN_TITO_SAQ_NOM_LFM_0600_MEMSS0_BHRY_MMM_BP1</v>
      </c>
      <c r="AW237" t="str">
        <f t="shared" si="130"/>
        <v>LSA_SOC_HRY_E_BEGIN_TITO_SAQ_NOM_LFM_0600_MEMSS0_BHRY_MMM_BP1</v>
      </c>
      <c r="AX237" t="str">
        <f t="shared" si="130"/>
        <v>LSA_SOC_HRY_E_BEGIN_TITO_SAQ_NOM_LFM_0600_MEMSS0_BHRY_MMM_BP1</v>
      </c>
      <c r="AY237" t="str">
        <f t="shared" si="130"/>
        <v>LSA_SOC_HRY_E_BEGIN_TITO_SAQ_NOM_LFM_0600_MEMSS0_BHRY_MMM_BP1</v>
      </c>
      <c r="AZ237" t="str">
        <f t="shared" si="130"/>
        <v>LSA_SOC_HRY_E_BEGIN_TITO_SAQ_NOM_LFM_0600_MEMSS0_BHRY_MMM_BP1</v>
      </c>
      <c r="BA237" t="str">
        <f t="shared" si="130"/>
        <v>LSA_SOC_HRY_E_BEGIN_TITO_SAQ_NOM_LFM_0600_MEMSS0_BHRY_MMM_BP1</v>
      </c>
      <c r="BB237" t="str">
        <f t="shared" si="130"/>
        <v>LSA_SOC_HRY_E_BEGIN_TITO_SAQ_NOM_LFM_0600_MEMSS0_BHRY_MMM_BP1</v>
      </c>
      <c r="BC237" t="str">
        <f t="shared" si="130"/>
        <v>LSA_SOC_HRY_E_BEGIN_TITO_SAQ_NOM_LFM_0600_MEMSS0_BHRY_MMM_BP1</v>
      </c>
      <c r="BD237" t="str">
        <f t="shared" si="130"/>
        <v>LSA_SOC_HRY_E_BEGIN_TITO_SAQ_NOM_LFM_0600_MEMSS0_BHRY_MMM_BP1</v>
      </c>
    </row>
    <row r="238" spans="1:56" x14ac:dyDescent="0.35">
      <c r="A238" s="28" t="s">
        <v>12</v>
      </c>
      <c r="B238" s="28" t="s">
        <v>56</v>
      </c>
      <c r="C238" s="28" t="str">
        <f>VLOOKUP(B238,templateLookup!A:B,2,0)</f>
        <v>MbistRasterTC</v>
      </c>
      <c r="D238" t="str">
        <f t="shared" si="125"/>
        <v>SSA_SOC_RASTER_E_BEGIN_TITO_SAQ_NOM_LFM_0600_MEMSS1_RASTER_MMM_BP2</v>
      </c>
      <c r="E238" t="s">
        <v>4</v>
      </c>
      <c r="F238" t="s">
        <v>27</v>
      </c>
      <c r="G238" t="s">
        <v>289</v>
      </c>
      <c r="H238" t="s">
        <v>207</v>
      </c>
      <c r="I238" t="s">
        <v>260</v>
      </c>
      <c r="J238" t="s">
        <v>558</v>
      </c>
      <c r="K238" t="s">
        <v>284</v>
      </c>
      <c r="L238" t="s">
        <v>285</v>
      </c>
      <c r="M238" t="s">
        <v>559</v>
      </c>
      <c r="N238" t="s">
        <v>569</v>
      </c>
      <c r="O238" t="s">
        <v>267</v>
      </c>
      <c r="P238" t="s">
        <v>268</v>
      </c>
      <c r="Q238" t="s">
        <v>291</v>
      </c>
      <c r="R238">
        <v>61</v>
      </c>
      <c r="S238">
        <v>50</v>
      </c>
      <c r="T238">
        <v>5</v>
      </c>
      <c r="U238">
        <v>1</v>
      </c>
      <c r="V238" t="b">
        <v>0</v>
      </c>
      <c r="W238" t="s">
        <v>298</v>
      </c>
      <c r="AS238">
        <f t="shared" si="124"/>
        <v>5</v>
      </c>
      <c r="AT238">
        <v>1</v>
      </c>
      <c r="AU238" t="str">
        <f t="shared" si="126"/>
        <v>LSA_SOC_HRY_E_BEGIN_TITO_SAQ_NOM_LFM_0600_MEMSS0_BHRY_MMM_BP1</v>
      </c>
      <c r="AV238" t="str">
        <f>$D239</f>
        <v>LSA_SOC_HRY_E_BEGIN_TITO_SAQ_NOM_LFM_0600_MEMSS0_BHRY_MMM_BP1</v>
      </c>
      <c r="AW238" t="str">
        <f>$D239</f>
        <v>LSA_SOC_HRY_E_BEGIN_TITO_SAQ_NOM_LFM_0600_MEMSS0_BHRY_MMM_BP1</v>
      </c>
      <c r="AX238" t="str">
        <f>$D239</f>
        <v>LSA_SOC_HRY_E_BEGIN_TITO_SAQ_NOM_LFM_0600_MEMSS0_BHRY_MMM_BP1</v>
      </c>
      <c r="AY238" t="str">
        <f>$D239</f>
        <v>LSA_SOC_HRY_E_BEGIN_TITO_SAQ_NOM_LFM_0600_MEMSS0_BHRY_MMM_BP1</v>
      </c>
    </row>
    <row r="239" spans="1:56" x14ac:dyDescent="0.35">
      <c r="A239" s="28" t="s">
        <v>12</v>
      </c>
      <c r="B239" s="28" t="s">
        <v>54</v>
      </c>
      <c r="C239" s="28" t="str">
        <f>VLOOKUP(B239,templateLookup!A:B,2,0)</f>
        <v>PrimeMbistVminSearchTestMethod</v>
      </c>
      <c r="D239" t="str">
        <f t="shared" si="125"/>
        <v>LSA_SOC_HRY_E_BEGIN_TITO_SAQ_NOM_LFM_0600_MEMSS0_BHRY_MMM_BP1</v>
      </c>
      <c r="E239" t="s">
        <v>5</v>
      </c>
      <c r="F239" t="s">
        <v>27</v>
      </c>
      <c r="G239" t="s">
        <v>271</v>
      </c>
      <c r="H239" t="s">
        <v>207</v>
      </c>
      <c r="I239" t="s">
        <v>260</v>
      </c>
      <c r="J239" t="s">
        <v>558</v>
      </c>
      <c r="K239" t="s">
        <v>284</v>
      </c>
      <c r="L239" t="s">
        <v>285</v>
      </c>
      <c r="M239" t="s">
        <v>559</v>
      </c>
      <c r="N239" t="s">
        <v>560</v>
      </c>
      <c r="O239" t="s">
        <v>267</v>
      </c>
      <c r="P239" t="s">
        <v>268</v>
      </c>
      <c r="Q239" t="s">
        <v>570</v>
      </c>
      <c r="R239">
        <v>21</v>
      </c>
      <c r="S239">
        <v>50</v>
      </c>
      <c r="T239">
        <v>6</v>
      </c>
      <c r="U239">
        <v>-1</v>
      </c>
      <c r="V239" t="b">
        <v>0</v>
      </c>
      <c r="W239" t="s">
        <v>298</v>
      </c>
      <c r="X239" t="s">
        <v>271</v>
      </c>
      <c r="Y239" t="s">
        <v>272</v>
      </c>
      <c r="Z239">
        <v>0.85</v>
      </c>
      <c r="AA239">
        <v>0.85</v>
      </c>
      <c r="AS239">
        <f t="shared" si="124"/>
        <v>10</v>
      </c>
      <c r="AT239" t="s">
        <v>273</v>
      </c>
      <c r="AU239" t="str">
        <f t="shared" si="126"/>
        <v>LSA_SOC_HRY_E_BEGIN_TITO_SAQ_NOM_LFM_0600_MEMSS0_BISR_MMM_BP1</v>
      </c>
      <c r="AV239" t="str">
        <f>$D242</f>
        <v>LSA_SOC_HRY_E_BEGIN_TITO_SAQ_NOM_LFM_0600_MEMSS1_BHRY_MMM_BP2</v>
      </c>
      <c r="AW239" t="str">
        <f t="shared" ref="AW239:BB239" si="131">$D240</f>
        <v>LSA_SOC_HRY_E_BEGIN_TITO_SAQ_NOM_LFM_0600_MEMSS0_BISR_MMM_BP1</v>
      </c>
      <c r="AX239" t="str">
        <f t="shared" si="131"/>
        <v>LSA_SOC_HRY_E_BEGIN_TITO_SAQ_NOM_LFM_0600_MEMSS0_BISR_MMM_BP1</v>
      </c>
      <c r="AY239" t="str">
        <f t="shared" si="131"/>
        <v>LSA_SOC_HRY_E_BEGIN_TITO_SAQ_NOM_LFM_0600_MEMSS0_BISR_MMM_BP1</v>
      </c>
      <c r="AZ239" t="str">
        <f t="shared" si="131"/>
        <v>LSA_SOC_HRY_E_BEGIN_TITO_SAQ_NOM_LFM_0600_MEMSS0_BISR_MMM_BP1</v>
      </c>
      <c r="BA239" t="str">
        <f t="shared" si="131"/>
        <v>LSA_SOC_HRY_E_BEGIN_TITO_SAQ_NOM_LFM_0600_MEMSS0_BISR_MMM_BP1</v>
      </c>
      <c r="BB239" t="str">
        <f t="shared" si="131"/>
        <v>LSA_SOC_HRY_E_BEGIN_TITO_SAQ_NOM_LFM_0600_MEMSS0_BISR_MMM_BP1</v>
      </c>
      <c r="BC239" t="str">
        <f>$D242</f>
        <v>LSA_SOC_HRY_E_BEGIN_TITO_SAQ_NOM_LFM_0600_MEMSS1_BHRY_MMM_BP2</v>
      </c>
      <c r="BD239" t="str">
        <f>$D240</f>
        <v>LSA_SOC_HRY_E_BEGIN_TITO_SAQ_NOM_LFM_0600_MEMSS0_BISR_MMM_BP1</v>
      </c>
    </row>
    <row r="240" spans="1:56" x14ac:dyDescent="0.35">
      <c r="A240" s="28" t="s">
        <v>12</v>
      </c>
      <c r="B240" s="28" t="s">
        <v>54</v>
      </c>
      <c r="C240" s="28" t="str">
        <f>VLOOKUP(B240,templateLookup!A:B,2,0)</f>
        <v>PrimeMbistVminSearchTestMethod</v>
      </c>
      <c r="D240" t="str">
        <f t="shared" si="125"/>
        <v>LSA_SOC_HRY_E_BEGIN_TITO_SAQ_NOM_LFM_0600_MEMSS0_BISR_MMM_BP1</v>
      </c>
      <c r="E240" t="s">
        <v>5</v>
      </c>
      <c r="F240" t="s">
        <v>27</v>
      </c>
      <c r="G240" t="s">
        <v>271</v>
      </c>
      <c r="H240" t="s">
        <v>207</v>
      </c>
      <c r="I240" t="s">
        <v>260</v>
      </c>
      <c r="J240" t="s">
        <v>558</v>
      </c>
      <c r="K240" t="s">
        <v>284</v>
      </c>
      <c r="L240" t="s">
        <v>285</v>
      </c>
      <c r="M240" t="s">
        <v>559</v>
      </c>
      <c r="N240" t="s">
        <v>562</v>
      </c>
      <c r="O240" t="s">
        <v>267</v>
      </c>
      <c r="P240" t="s">
        <v>268</v>
      </c>
      <c r="Q240" t="s">
        <v>571</v>
      </c>
      <c r="R240">
        <v>21</v>
      </c>
      <c r="S240">
        <v>50</v>
      </c>
      <c r="T240">
        <v>7</v>
      </c>
      <c r="U240">
        <v>-1</v>
      </c>
      <c r="V240" t="b">
        <v>0</v>
      </c>
      <c r="W240" t="s">
        <v>298</v>
      </c>
      <c r="X240" t="s">
        <v>401</v>
      </c>
      <c r="Y240" t="s">
        <v>272</v>
      </c>
      <c r="Z240">
        <v>0.85</v>
      </c>
      <c r="AA240">
        <v>0.85</v>
      </c>
      <c r="AS240">
        <f t="shared" si="124"/>
        <v>10</v>
      </c>
      <c r="AT240" t="s">
        <v>273</v>
      </c>
      <c r="AU240" t="str">
        <f t="shared" si="126"/>
        <v>LSA_SOC_RASTER_E_BEGIN_TITO_SAQ_NOM_LFM_0600_MEMSS0_RASTER_MMM_BP1</v>
      </c>
      <c r="AV240" t="str">
        <f t="shared" ref="AV240:BD240" si="132">$D242</f>
        <v>LSA_SOC_HRY_E_BEGIN_TITO_SAQ_NOM_LFM_0600_MEMSS1_BHRY_MMM_BP2</v>
      </c>
      <c r="AW240" t="str">
        <f t="shared" si="132"/>
        <v>LSA_SOC_HRY_E_BEGIN_TITO_SAQ_NOM_LFM_0600_MEMSS1_BHRY_MMM_BP2</v>
      </c>
      <c r="AX240" t="str">
        <f t="shared" si="132"/>
        <v>LSA_SOC_HRY_E_BEGIN_TITO_SAQ_NOM_LFM_0600_MEMSS1_BHRY_MMM_BP2</v>
      </c>
      <c r="AY240" t="str">
        <f t="shared" si="132"/>
        <v>LSA_SOC_HRY_E_BEGIN_TITO_SAQ_NOM_LFM_0600_MEMSS1_BHRY_MMM_BP2</v>
      </c>
      <c r="AZ240" t="str">
        <f t="shared" si="132"/>
        <v>LSA_SOC_HRY_E_BEGIN_TITO_SAQ_NOM_LFM_0600_MEMSS1_BHRY_MMM_BP2</v>
      </c>
      <c r="BA240" t="str">
        <f t="shared" si="132"/>
        <v>LSA_SOC_HRY_E_BEGIN_TITO_SAQ_NOM_LFM_0600_MEMSS1_BHRY_MMM_BP2</v>
      </c>
      <c r="BB240" t="str">
        <f t="shared" si="132"/>
        <v>LSA_SOC_HRY_E_BEGIN_TITO_SAQ_NOM_LFM_0600_MEMSS1_BHRY_MMM_BP2</v>
      </c>
      <c r="BC240" t="str">
        <f t="shared" si="132"/>
        <v>LSA_SOC_HRY_E_BEGIN_TITO_SAQ_NOM_LFM_0600_MEMSS1_BHRY_MMM_BP2</v>
      </c>
      <c r="BD240" t="str">
        <f t="shared" si="132"/>
        <v>LSA_SOC_HRY_E_BEGIN_TITO_SAQ_NOM_LFM_0600_MEMSS1_BHRY_MMM_BP2</v>
      </c>
    </row>
    <row r="241" spans="1:56" x14ac:dyDescent="0.35">
      <c r="A241" s="28" t="s">
        <v>12</v>
      </c>
      <c r="B241" s="28" t="s">
        <v>56</v>
      </c>
      <c r="C241" s="28" t="str">
        <f>VLOOKUP(B241,templateLookup!A:B,2,0)</f>
        <v>MbistRasterTC</v>
      </c>
      <c r="D241" t="str">
        <f t="shared" si="125"/>
        <v>LSA_SOC_RASTER_E_BEGIN_TITO_SAQ_NOM_LFM_0600_MEMSS0_RASTER_MMM_BP1</v>
      </c>
      <c r="E241" t="s">
        <v>5</v>
      </c>
      <c r="F241" t="s">
        <v>27</v>
      </c>
      <c r="G241" t="s">
        <v>289</v>
      </c>
      <c r="H241" t="s">
        <v>207</v>
      </c>
      <c r="I241" t="s">
        <v>260</v>
      </c>
      <c r="J241" t="s">
        <v>558</v>
      </c>
      <c r="K241" t="s">
        <v>284</v>
      </c>
      <c r="L241" t="s">
        <v>285</v>
      </c>
      <c r="M241" t="s">
        <v>559</v>
      </c>
      <c r="N241" t="s">
        <v>564</v>
      </c>
      <c r="O241" t="s">
        <v>267</v>
      </c>
      <c r="P241" t="s">
        <v>268</v>
      </c>
      <c r="Q241" t="s">
        <v>291</v>
      </c>
      <c r="R241">
        <v>21</v>
      </c>
      <c r="S241">
        <v>50</v>
      </c>
      <c r="T241">
        <v>8</v>
      </c>
      <c r="U241">
        <v>1</v>
      </c>
      <c r="V241" t="b">
        <v>0</v>
      </c>
      <c r="W241" t="s">
        <v>298</v>
      </c>
      <c r="AS241">
        <f t="shared" si="124"/>
        <v>5</v>
      </c>
      <c r="AT241">
        <v>1</v>
      </c>
      <c r="AU241" t="str">
        <f t="shared" si="126"/>
        <v>LSA_SOC_HRY_E_BEGIN_TITO_SAQ_NOM_LFM_0600_MEMSS1_BHRY_MMM_BP2</v>
      </c>
      <c r="AV241" t="str">
        <f>$D242</f>
        <v>LSA_SOC_HRY_E_BEGIN_TITO_SAQ_NOM_LFM_0600_MEMSS1_BHRY_MMM_BP2</v>
      </c>
      <c r="AW241" t="str">
        <f>$D242</f>
        <v>LSA_SOC_HRY_E_BEGIN_TITO_SAQ_NOM_LFM_0600_MEMSS1_BHRY_MMM_BP2</v>
      </c>
      <c r="AX241" t="str">
        <f>$D242</f>
        <v>LSA_SOC_HRY_E_BEGIN_TITO_SAQ_NOM_LFM_0600_MEMSS1_BHRY_MMM_BP2</v>
      </c>
      <c r="AY241" t="str">
        <f>$D242</f>
        <v>LSA_SOC_HRY_E_BEGIN_TITO_SAQ_NOM_LFM_0600_MEMSS1_BHRY_MMM_BP2</v>
      </c>
    </row>
    <row r="242" spans="1:56" x14ac:dyDescent="0.35">
      <c r="A242" s="28" t="s">
        <v>12</v>
      </c>
      <c r="B242" s="28" t="s">
        <v>54</v>
      </c>
      <c r="C242" s="28" t="str">
        <f>VLOOKUP(B242,templateLookup!A:B,2,0)</f>
        <v>PrimeMbistVminSearchTestMethod</v>
      </c>
      <c r="D242" t="str">
        <f t="shared" si="125"/>
        <v>LSA_SOC_HRY_E_BEGIN_TITO_SAQ_NOM_LFM_0600_MEMSS1_BHRY_MMM_BP2</v>
      </c>
      <c r="E242" t="s">
        <v>5</v>
      </c>
      <c r="F242" t="s">
        <v>27</v>
      </c>
      <c r="G242" t="s">
        <v>271</v>
      </c>
      <c r="H242" t="s">
        <v>207</v>
      </c>
      <c r="I242" t="s">
        <v>260</v>
      </c>
      <c r="J242" t="s">
        <v>558</v>
      </c>
      <c r="K242" t="s">
        <v>284</v>
      </c>
      <c r="L242" t="s">
        <v>285</v>
      </c>
      <c r="M242" t="s">
        <v>559</v>
      </c>
      <c r="N242" t="s">
        <v>565</v>
      </c>
      <c r="O242" t="s">
        <v>267</v>
      </c>
      <c r="P242" t="s">
        <v>268</v>
      </c>
      <c r="Q242" t="s">
        <v>572</v>
      </c>
      <c r="R242">
        <v>21</v>
      </c>
      <c r="S242">
        <v>50</v>
      </c>
      <c r="T242">
        <v>9</v>
      </c>
      <c r="U242">
        <v>-1</v>
      </c>
      <c r="V242" t="b">
        <v>0</v>
      </c>
      <c r="W242" t="s">
        <v>298</v>
      </c>
      <c r="X242" t="s">
        <v>271</v>
      </c>
      <c r="Y242" t="s">
        <v>272</v>
      </c>
      <c r="Z242">
        <v>0.85</v>
      </c>
      <c r="AA242">
        <v>0.85</v>
      </c>
      <c r="AS242">
        <f t="shared" si="124"/>
        <v>10</v>
      </c>
      <c r="AT242" t="s">
        <v>273</v>
      </c>
      <c r="AU242" t="str">
        <f t="shared" si="126"/>
        <v>LSA_SOC_HRY_E_BEGIN_TITO_SAQ_NOM_LFM_0600_MEMSS1_BISR_MMM_BP2</v>
      </c>
      <c r="AV242" t="str">
        <f>$D245</f>
        <v>LSA_SOC_HRY_E_BEGIN_TITO_SAQ_NOM_LFM_0600_MEMSS2_BHRY_MMM_BP3</v>
      </c>
      <c r="AW242" t="str">
        <f t="shared" ref="AW242:BB242" si="133">$D243</f>
        <v>LSA_SOC_HRY_E_BEGIN_TITO_SAQ_NOM_LFM_0600_MEMSS1_BISR_MMM_BP2</v>
      </c>
      <c r="AX242" t="str">
        <f t="shared" si="133"/>
        <v>LSA_SOC_HRY_E_BEGIN_TITO_SAQ_NOM_LFM_0600_MEMSS1_BISR_MMM_BP2</v>
      </c>
      <c r="AY242" t="str">
        <f t="shared" si="133"/>
        <v>LSA_SOC_HRY_E_BEGIN_TITO_SAQ_NOM_LFM_0600_MEMSS1_BISR_MMM_BP2</v>
      </c>
      <c r="AZ242" t="str">
        <f t="shared" si="133"/>
        <v>LSA_SOC_HRY_E_BEGIN_TITO_SAQ_NOM_LFM_0600_MEMSS1_BISR_MMM_BP2</v>
      </c>
      <c r="BA242" t="str">
        <f t="shared" si="133"/>
        <v>LSA_SOC_HRY_E_BEGIN_TITO_SAQ_NOM_LFM_0600_MEMSS1_BISR_MMM_BP2</v>
      </c>
      <c r="BB242" t="str">
        <f t="shared" si="133"/>
        <v>LSA_SOC_HRY_E_BEGIN_TITO_SAQ_NOM_LFM_0600_MEMSS1_BISR_MMM_BP2</v>
      </c>
      <c r="BC242" t="str">
        <f>$D245</f>
        <v>LSA_SOC_HRY_E_BEGIN_TITO_SAQ_NOM_LFM_0600_MEMSS2_BHRY_MMM_BP3</v>
      </c>
      <c r="BD242" t="str">
        <f>$D243</f>
        <v>LSA_SOC_HRY_E_BEGIN_TITO_SAQ_NOM_LFM_0600_MEMSS1_BISR_MMM_BP2</v>
      </c>
    </row>
    <row r="243" spans="1:56" x14ac:dyDescent="0.35">
      <c r="A243" s="28" t="s">
        <v>12</v>
      </c>
      <c r="B243" s="28" t="s">
        <v>54</v>
      </c>
      <c r="C243" s="28" t="str">
        <f>VLOOKUP(B243,templateLookup!A:B,2,0)</f>
        <v>PrimeMbistVminSearchTestMethod</v>
      </c>
      <c r="D243" t="str">
        <f t="shared" si="125"/>
        <v>LSA_SOC_HRY_E_BEGIN_TITO_SAQ_NOM_LFM_0600_MEMSS1_BISR_MMM_BP2</v>
      </c>
      <c r="E243" t="s">
        <v>5</v>
      </c>
      <c r="F243" t="s">
        <v>27</v>
      </c>
      <c r="G243" t="s">
        <v>271</v>
      </c>
      <c r="H243" t="s">
        <v>207</v>
      </c>
      <c r="I243" t="s">
        <v>260</v>
      </c>
      <c r="J243" t="s">
        <v>558</v>
      </c>
      <c r="K243" t="s">
        <v>284</v>
      </c>
      <c r="L243" t="s">
        <v>285</v>
      </c>
      <c r="M243" t="s">
        <v>559</v>
      </c>
      <c r="N243" t="s">
        <v>567</v>
      </c>
      <c r="O243" t="s">
        <v>267</v>
      </c>
      <c r="P243" t="s">
        <v>268</v>
      </c>
      <c r="Q243" t="s">
        <v>573</v>
      </c>
      <c r="R243">
        <v>21</v>
      </c>
      <c r="S243">
        <v>50</v>
      </c>
      <c r="T243">
        <v>10</v>
      </c>
      <c r="U243">
        <v>-1</v>
      </c>
      <c r="V243" t="b">
        <v>0</v>
      </c>
      <c r="W243" t="s">
        <v>298</v>
      </c>
      <c r="X243" t="s">
        <v>401</v>
      </c>
      <c r="Y243" t="s">
        <v>272</v>
      </c>
      <c r="Z243">
        <v>0.85</v>
      </c>
      <c r="AA243">
        <v>0.85</v>
      </c>
      <c r="AS243">
        <f t="shared" si="124"/>
        <v>10</v>
      </c>
      <c r="AT243" t="s">
        <v>273</v>
      </c>
      <c r="AU243" t="str">
        <f t="shared" si="126"/>
        <v>LSA_SOC_RASTER_E_BEGIN_TITO_SAQ_NOM_LFM_0600_MEMSS1_RASTER_MMM_BP2</v>
      </c>
      <c r="AV243" t="str">
        <f t="shared" ref="AV243:BD243" si="134">$D245</f>
        <v>LSA_SOC_HRY_E_BEGIN_TITO_SAQ_NOM_LFM_0600_MEMSS2_BHRY_MMM_BP3</v>
      </c>
      <c r="AW243" t="str">
        <f t="shared" si="134"/>
        <v>LSA_SOC_HRY_E_BEGIN_TITO_SAQ_NOM_LFM_0600_MEMSS2_BHRY_MMM_BP3</v>
      </c>
      <c r="AX243" t="str">
        <f t="shared" si="134"/>
        <v>LSA_SOC_HRY_E_BEGIN_TITO_SAQ_NOM_LFM_0600_MEMSS2_BHRY_MMM_BP3</v>
      </c>
      <c r="AY243" t="str">
        <f t="shared" si="134"/>
        <v>LSA_SOC_HRY_E_BEGIN_TITO_SAQ_NOM_LFM_0600_MEMSS2_BHRY_MMM_BP3</v>
      </c>
      <c r="AZ243" t="str">
        <f t="shared" si="134"/>
        <v>LSA_SOC_HRY_E_BEGIN_TITO_SAQ_NOM_LFM_0600_MEMSS2_BHRY_MMM_BP3</v>
      </c>
      <c r="BA243" t="str">
        <f t="shared" si="134"/>
        <v>LSA_SOC_HRY_E_BEGIN_TITO_SAQ_NOM_LFM_0600_MEMSS2_BHRY_MMM_BP3</v>
      </c>
      <c r="BB243" t="str">
        <f t="shared" si="134"/>
        <v>LSA_SOC_HRY_E_BEGIN_TITO_SAQ_NOM_LFM_0600_MEMSS2_BHRY_MMM_BP3</v>
      </c>
      <c r="BC243" t="str">
        <f t="shared" si="134"/>
        <v>LSA_SOC_HRY_E_BEGIN_TITO_SAQ_NOM_LFM_0600_MEMSS2_BHRY_MMM_BP3</v>
      </c>
      <c r="BD243" t="str">
        <f t="shared" si="134"/>
        <v>LSA_SOC_HRY_E_BEGIN_TITO_SAQ_NOM_LFM_0600_MEMSS2_BHRY_MMM_BP3</v>
      </c>
    </row>
    <row r="244" spans="1:56" x14ac:dyDescent="0.35">
      <c r="A244" s="28" t="s">
        <v>12</v>
      </c>
      <c r="B244" s="28" t="s">
        <v>56</v>
      </c>
      <c r="C244" s="28" t="str">
        <f>VLOOKUP(B244,templateLookup!A:B,2,0)</f>
        <v>MbistRasterTC</v>
      </c>
      <c r="D244" t="str">
        <f t="shared" si="125"/>
        <v>LSA_SOC_RASTER_E_BEGIN_TITO_SAQ_NOM_LFM_0600_MEMSS1_RASTER_MMM_BP2</v>
      </c>
      <c r="E244" t="s">
        <v>5</v>
      </c>
      <c r="F244" t="s">
        <v>27</v>
      </c>
      <c r="G244" t="s">
        <v>289</v>
      </c>
      <c r="H244" t="s">
        <v>207</v>
      </c>
      <c r="I244" t="s">
        <v>260</v>
      </c>
      <c r="J244" t="s">
        <v>558</v>
      </c>
      <c r="K244" t="s">
        <v>284</v>
      </c>
      <c r="L244" t="s">
        <v>285</v>
      </c>
      <c r="M244" t="s">
        <v>559</v>
      </c>
      <c r="N244" t="s">
        <v>569</v>
      </c>
      <c r="O244" t="s">
        <v>267</v>
      </c>
      <c r="P244" t="s">
        <v>268</v>
      </c>
      <c r="Q244" t="s">
        <v>291</v>
      </c>
      <c r="R244">
        <v>21</v>
      </c>
      <c r="S244">
        <v>50</v>
      </c>
      <c r="T244">
        <v>11</v>
      </c>
      <c r="U244">
        <v>1</v>
      </c>
      <c r="V244" t="b">
        <v>0</v>
      </c>
      <c r="W244" t="s">
        <v>298</v>
      </c>
      <c r="AS244">
        <f t="shared" si="124"/>
        <v>5</v>
      </c>
      <c r="AT244">
        <v>1</v>
      </c>
      <c r="AU244" t="str">
        <f t="shared" si="126"/>
        <v>LSA_SOC_HRY_E_BEGIN_TITO_SAQ_NOM_LFM_0600_MEMSS2_BHRY_MMM_BP3</v>
      </c>
      <c r="AV244" t="str">
        <f>$D245</f>
        <v>LSA_SOC_HRY_E_BEGIN_TITO_SAQ_NOM_LFM_0600_MEMSS2_BHRY_MMM_BP3</v>
      </c>
      <c r="AW244" t="str">
        <f>$D245</f>
        <v>LSA_SOC_HRY_E_BEGIN_TITO_SAQ_NOM_LFM_0600_MEMSS2_BHRY_MMM_BP3</v>
      </c>
      <c r="AX244" t="str">
        <f>$D245</f>
        <v>LSA_SOC_HRY_E_BEGIN_TITO_SAQ_NOM_LFM_0600_MEMSS2_BHRY_MMM_BP3</v>
      </c>
      <c r="AY244" t="str">
        <f>$D245</f>
        <v>LSA_SOC_HRY_E_BEGIN_TITO_SAQ_NOM_LFM_0600_MEMSS2_BHRY_MMM_BP3</v>
      </c>
    </row>
    <row r="245" spans="1:56" x14ac:dyDescent="0.35">
      <c r="A245" s="28" t="s">
        <v>12</v>
      </c>
      <c r="B245" s="28" t="s">
        <v>54</v>
      </c>
      <c r="C245" s="28" t="str">
        <f>VLOOKUP(B245,templateLookup!A:B,2,0)</f>
        <v>PrimeMbistVminSearchTestMethod</v>
      </c>
      <c r="D245" t="str">
        <f t="shared" si="125"/>
        <v>LSA_SOC_HRY_E_BEGIN_TITO_SAQ_NOM_LFM_0600_MEMSS2_BHRY_MMM_BP3</v>
      </c>
      <c r="E245" t="s">
        <v>5</v>
      </c>
      <c r="F245" t="s">
        <v>27</v>
      </c>
      <c r="G245" t="s">
        <v>271</v>
      </c>
      <c r="H245" t="s">
        <v>207</v>
      </c>
      <c r="I245" t="s">
        <v>260</v>
      </c>
      <c r="J245" t="s">
        <v>558</v>
      </c>
      <c r="K245" t="s">
        <v>284</v>
      </c>
      <c r="L245" t="s">
        <v>285</v>
      </c>
      <c r="M245" t="s">
        <v>559</v>
      </c>
      <c r="N245" t="s">
        <v>574</v>
      </c>
      <c r="O245" t="s">
        <v>267</v>
      </c>
      <c r="P245" t="s">
        <v>268</v>
      </c>
      <c r="Q245" t="s">
        <v>575</v>
      </c>
      <c r="R245">
        <v>21</v>
      </c>
      <c r="S245">
        <v>50</v>
      </c>
      <c r="T245">
        <v>12</v>
      </c>
      <c r="U245">
        <v>-1</v>
      </c>
      <c r="V245" t="b">
        <v>0</v>
      </c>
      <c r="W245" t="s">
        <v>298</v>
      </c>
      <c r="X245" t="s">
        <v>271</v>
      </c>
      <c r="Y245" t="s">
        <v>272</v>
      </c>
      <c r="Z245">
        <v>0.85</v>
      </c>
      <c r="AA245">
        <v>0.85</v>
      </c>
      <c r="AS245">
        <f t="shared" si="124"/>
        <v>10</v>
      </c>
      <c r="AT245" t="s">
        <v>273</v>
      </c>
      <c r="AU245" t="str">
        <f t="shared" si="126"/>
        <v>LSA_SOC_HRY_E_BEGIN_TITO_SAQ_NOM_LFM_0600_MEMSS2_BISR_MMM_BP3</v>
      </c>
      <c r="AV245" t="str">
        <f>$D248</f>
        <v>LSA_SOC_HRY_E_BEGIN_TITO_SAQ_NOM_LFM_0600_MEMSS3_BHRY_MMM_BP4</v>
      </c>
      <c r="AW245" t="str">
        <f t="shared" ref="AW245:BB245" si="135">$D246</f>
        <v>LSA_SOC_HRY_E_BEGIN_TITO_SAQ_NOM_LFM_0600_MEMSS2_BISR_MMM_BP3</v>
      </c>
      <c r="AX245" t="str">
        <f t="shared" si="135"/>
        <v>LSA_SOC_HRY_E_BEGIN_TITO_SAQ_NOM_LFM_0600_MEMSS2_BISR_MMM_BP3</v>
      </c>
      <c r="AY245" t="str">
        <f t="shared" si="135"/>
        <v>LSA_SOC_HRY_E_BEGIN_TITO_SAQ_NOM_LFM_0600_MEMSS2_BISR_MMM_BP3</v>
      </c>
      <c r="AZ245" t="str">
        <f t="shared" si="135"/>
        <v>LSA_SOC_HRY_E_BEGIN_TITO_SAQ_NOM_LFM_0600_MEMSS2_BISR_MMM_BP3</v>
      </c>
      <c r="BA245" t="str">
        <f t="shared" si="135"/>
        <v>LSA_SOC_HRY_E_BEGIN_TITO_SAQ_NOM_LFM_0600_MEMSS2_BISR_MMM_BP3</v>
      </c>
      <c r="BB245" t="str">
        <f t="shared" si="135"/>
        <v>LSA_SOC_HRY_E_BEGIN_TITO_SAQ_NOM_LFM_0600_MEMSS2_BISR_MMM_BP3</v>
      </c>
      <c r="BC245" t="str">
        <f>$D248</f>
        <v>LSA_SOC_HRY_E_BEGIN_TITO_SAQ_NOM_LFM_0600_MEMSS3_BHRY_MMM_BP4</v>
      </c>
      <c r="BD245" t="str">
        <f>$D246</f>
        <v>LSA_SOC_HRY_E_BEGIN_TITO_SAQ_NOM_LFM_0600_MEMSS2_BISR_MMM_BP3</v>
      </c>
    </row>
    <row r="246" spans="1:56" x14ac:dyDescent="0.35">
      <c r="A246" s="28" t="s">
        <v>12</v>
      </c>
      <c r="B246" s="28" t="s">
        <v>54</v>
      </c>
      <c r="C246" s="28" t="str">
        <f>VLOOKUP(B246,templateLookup!A:B,2,0)</f>
        <v>PrimeMbistVminSearchTestMethod</v>
      </c>
      <c r="D246" t="str">
        <f t="shared" si="125"/>
        <v>LSA_SOC_HRY_E_BEGIN_TITO_SAQ_NOM_LFM_0600_MEMSS2_BISR_MMM_BP3</v>
      </c>
      <c r="E246" t="s">
        <v>5</v>
      </c>
      <c r="F246" t="s">
        <v>27</v>
      </c>
      <c r="G246" t="s">
        <v>271</v>
      </c>
      <c r="H246" t="s">
        <v>207</v>
      </c>
      <c r="I246" t="s">
        <v>260</v>
      </c>
      <c r="J246" t="s">
        <v>558</v>
      </c>
      <c r="K246" t="s">
        <v>284</v>
      </c>
      <c r="L246" t="s">
        <v>285</v>
      </c>
      <c r="M246" t="s">
        <v>559</v>
      </c>
      <c r="N246" t="s">
        <v>576</v>
      </c>
      <c r="O246" t="s">
        <v>267</v>
      </c>
      <c r="P246" t="s">
        <v>268</v>
      </c>
      <c r="Q246" t="s">
        <v>577</v>
      </c>
      <c r="R246">
        <v>21</v>
      </c>
      <c r="S246">
        <v>50</v>
      </c>
      <c r="T246">
        <v>13</v>
      </c>
      <c r="U246">
        <v>-1</v>
      </c>
      <c r="V246" t="b">
        <v>0</v>
      </c>
      <c r="W246" t="s">
        <v>298</v>
      </c>
      <c r="X246" t="s">
        <v>401</v>
      </c>
      <c r="Y246" t="s">
        <v>272</v>
      </c>
      <c r="Z246">
        <v>0.85</v>
      </c>
      <c r="AA246">
        <v>0.85</v>
      </c>
      <c r="AS246">
        <f t="shared" si="124"/>
        <v>10</v>
      </c>
      <c r="AT246" t="s">
        <v>273</v>
      </c>
      <c r="AU246" t="str">
        <f t="shared" si="126"/>
        <v>LSA_SOC_RASTER_E_BEGIN_TITO_SAQ_NOM_LFM_0600_MEMSS2_RASTER_MMM_BP3</v>
      </c>
      <c r="AV246" t="str">
        <f t="shared" ref="AV246:BD246" si="136">$D248</f>
        <v>LSA_SOC_HRY_E_BEGIN_TITO_SAQ_NOM_LFM_0600_MEMSS3_BHRY_MMM_BP4</v>
      </c>
      <c r="AW246" t="str">
        <f t="shared" si="136"/>
        <v>LSA_SOC_HRY_E_BEGIN_TITO_SAQ_NOM_LFM_0600_MEMSS3_BHRY_MMM_BP4</v>
      </c>
      <c r="AX246" t="str">
        <f t="shared" si="136"/>
        <v>LSA_SOC_HRY_E_BEGIN_TITO_SAQ_NOM_LFM_0600_MEMSS3_BHRY_MMM_BP4</v>
      </c>
      <c r="AY246" t="str">
        <f t="shared" si="136"/>
        <v>LSA_SOC_HRY_E_BEGIN_TITO_SAQ_NOM_LFM_0600_MEMSS3_BHRY_MMM_BP4</v>
      </c>
      <c r="AZ246" t="str">
        <f t="shared" si="136"/>
        <v>LSA_SOC_HRY_E_BEGIN_TITO_SAQ_NOM_LFM_0600_MEMSS3_BHRY_MMM_BP4</v>
      </c>
      <c r="BA246" t="str">
        <f t="shared" si="136"/>
        <v>LSA_SOC_HRY_E_BEGIN_TITO_SAQ_NOM_LFM_0600_MEMSS3_BHRY_MMM_BP4</v>
      </c>
      <c r="BB246" t="str">
        <f t="shared" si="136"/>
        <v>LSA_SOC_HRY_E_BEGIN_TITO_SAQ_NOM_LFM_0600_MEMSS3_BHRY_MMM_BP4</v>
      </c>
      <c r="BC246" t="str">
        <f t="shared" si="136"/>
        <v>LSA_SOC_HRY_E_BEGIN_TITO_SAQ_NOM_LFM_0600_MEMSS3_BHRY_MMM_BP4</v>
      </c>
      <c r="BD246" t="str">
        <f t="shared" si="136"/>
        <v>LSA_SOC_HRY_E_BEGIN_TITO_SAQ_NOM_LFM_0600_MEMSS3_BHRY_MMM_BP4</v>
      </c>
    </row>
    <row r="247" spans="1:56" x14ac:dyDescent="0.35">
      <c r="A247" s="28" t="s">
        <v>12</v>
      </c>
      <c r="B247" s="28" t="s">
        <v>56</v>
      </c>
      <c r="C247" s="28" t="str">
        <f>VLOOKUP(B247,templateLookup!A:B,2,0)</f>
        <v>MbistRasterTC</v>
      </c>
      <c r="D247" t="str">
        <f t="shared" si="125"/>
        <v>LSA_SOC_RASTER_E_BEGIN_TITO_SAQ_NOM_LFM_0600_MEMSS2_RASTER_MMM_BP3</v>
      </c>
      <c r="E247" t="s">
        <v>5</v>
      </c>
      <c r="F247" t="s">
        <v>27</v>
      </c>
      <c r="G247" t="s">
        <v>289</v>
      </c>
      <c r="H247" t="s">
        <v>207</v>
      </c>
      <c r="I247" t="s">
        <v>260</v>
      </c>
      <c r="J247" t="s">
        <v>558</v>
      </c>
      <c r="K247" t="s">
        <v>284</v>
      </c>
      <c r="L247" t="s">
        <v>285</v>
      </c>
      <c r="M247" t="s">
        <v>559</v>
      </c>
      <c r="N247" t="s">
        <v>578</v>
      </c>
      <c r="O247" t="s">
        <v>267</v>
      </c>
      <c r="P247" t="s">
        <v>268</v>
      </c>
      <c r="Q247" t="s">
        <v>291</v>
      </c>
      <c r="R247">
        <v>21</v>
      </c>
      <c r="S247">
        <v>50</v>
      </c>
      <c r="T247">
        <v>14</v>
      </c>
      <c r="U247">
        <v>1</v>
      </c>
      <c r="V247" t="b">
        <v>0</v>
      </c>
      <c r="W247" t="s">
        <v>298</v>
      </c>
      <c r="AS247">
        <f t="shared" si="124"/>
        <v>5</v>
      </c>
      <c r="AT247">
        <v>1</v>
      </c>
      <c r="AU247" t="str">
        <f t="shared" si="126"/>
        <v>LSA_SOC_HRY_E_BEGIN_TITO_SAQ_NOM_LFM_0600_MEMSS3_BHRY_MMM_BP4</v>
      </c>
      <c r="AV247" t="str">
        <f>$D248</f>
        <v>LSA_SOC_HRY_E_BEGIN_TITO_SAQ_NOM_LFM_0600_MEMSS3_BHRY_MMM_BP4</v>
      </c>
      <c r="AW247" t="str">
        <f>$D248</f>
        <v>LSA_SOC_HRY_E_BEGIN_TITO_SAQ_NOM_LFM_0600_MEMSS3_BHRY_MMM_BP4</v>
      </c>
      <c r="AX247" t="str">
        <f>$D248</f>
        <v>LSA_SOC_HRY_E_BEGIN_TITO_SAQ_NOM_LFM_0600_MEMSS3_BHRY_MMM_BP4</v>
      </c>
      <c r="AY247" t="str">
        <f>$D248</f>
        <v>LSA_SOC_HRY_E_BEGIN_TITO_SAQ_NOM_LFM_0600_MEMSS3_BHRY_MMM_BP4</v>
      </c>
    </row>
    <row r="248" spans="1:56" x14ac:dyDescent="0.35">
      <c r="A248" s="28" t="s">
        <v>12</v>
      </c>
      <c r="B248" s="28" t="s">
        <v>54</v>
      </c>
      <c r="C248" s="28" t="str">
        <f>VLOOKUP(B248,templateLookup!A:B,2,0)</f>
        <v>PrimeMbistVminSearchTestMethod</v>
      </c>
      <c r="D248" t="str">
        <f t="shared" si="125"/>
        <v>LSA_SOC_HRY_E_BEGIN_TITO_SAQ_NOM_LFM_0600_MEMSS3_BHRY_MMM_BP4</v>
      </c>
      <c r="E248" t="s">
        <v>5</v>
      </c>
      <c r="F248" t="s">
        <v>27</v>
      </c>
      <c r="G248" t="s">
        <v>271</v>
      </c>
      <c r="H248" t="s">
        <v>207</v>
      </c>
      <c r="I248" t="s">
        <v>260</v>
      </c>
      <c r="J248" t="s">
        <v>558</v>
      </c>
      <c r="K248" t="s">
        <v>284</v>
      </c>
      <c r="L248" t="s">
        <v>285</v>
      </c>
      <c r="M248" t="s">
        <v>559</v>
      </c>
      <c r="N248" t="s">
        <v>579</v>
      </c>
      <c r="O248" t="s">
        <v>267</v>
      </c>
      <c r="P248" t="s">
        <v>268</v>
      </c>
      <c r="Q248" t="s">
        <v>580</v>
      </c>
      <c r="R248">
        <v>21</v>
      </c>
      <c r="S248">
        <v>50</v>
      </c>
      <c r="T248">
        <v>15</v>
      </c>
      <c r="U248">
        <v>-1</v>
      </c>
      <c r="V248" t="b">
        <v>0</v>
      </c>
      <c r="W248" t="s">
        <v>298</v>
      </c>
      <c r="X248" t="s">
        <v>271</v>
      </c>
      <c r="Y248" t="s">
        <v>272</v>
      </c>
      <c r="Z248">
        <v>0.85</v>
      </c>
      <c r="AA248">
        <v>0.85</v>
      </c>
      <c r="AS248">
        <f t="shared" si="124"/>
        <v>10</v>
      </c>
      <c r="AT248" t="s">
        <v>273</v>
      </c>
      <c r="AU248" t="str">
        <f t="shared" si="126"/>
        <v>LSA_SOC_HRY_E_BEGIN_TITO_SAQ_NOM_LFM_0600_MEMSS3_BISR_MMM_BP4</v>
      </c>
      <c r="AV248">
        <v>1</v>
      </c>
      <c r="AW248" t="str">
        <f t="shared" ref="AW248:BB248" si="137">$D249</f>
        <v>LSA_SOC_HRY_E_BEGIN_TITO_SAQ_NOM_LFM_0600_MEMSS3_BISR_MMM_BP4</v>
      </c>
      <c r="AX248" t="str">
        <f t="shared" si="137"/>
        <v>LSA_SOC_HRY_E_BEGIN_TITO_SAQ_NOM_LFM_0600_MEMSS3_BISR_MMM_BP4</v>
      </c>
      <c r="AY248" t="str">
        <f t="shared" si="137"/>
        <v>LSA_SOC_HRY_E_BEGIN_TITO_SAQ_NOM_LFM_0600_MEMSS3_BISR_MMM_BP4</v>
      </c>
      <c r="AZ248" t="str">
        <f t="shared" si="137"/>
        <v>LSA_SOC_HRY_E_BEGIN_TITO_SAQ_NOM_LFM_0600_MEMSS3_BISR_MMM_BP4</v>
      </c>
      <c r="BA248" t="str">
        <f t="shared" si="137"/>
        <v>LSA_SOC_HRY_E_BEGIN_TITO_SAQ_NOM_LFM_0600_MEMSS3_BISR_MMM_BP4</v>
      </c>
      <c r="BB248" t="str">
        <f t="shared" si="137"/>
        <v>LSA_SOC_HRY_E_BEGIN_TITO_SAQ_NOM_LFM_0600_MEMSS3_BISR_MMM_BP4</v>
      </c>
      <c r="BC248">
        <v>1</v>
      </c>
      <c r="BD248" t="str">
        <f>$D249</f>
        <v>LSA_SOC_HRY_E_BEGIN_TITO_SAQ_NOM_LFM_0600_MEMSS3_BISR_MMM_BP4</v>
      </c>
    </row>
    <row r="249" spans="1:56" x14ac:dyDescent="0.35">
      <c r="A249" s="28" t="s">
        <v>12</v>
      </c>
      <c r="B249" s="28" t="s">
        <v>54</v>
      </c>
      <c r="C249" s="28" t="str">
        <f>VLOOKUP(B249,templateLookup!A:B,2,0)</f>
        <v>PrimeMbistVminSearchTestMethod</v>
      </c>
      <c r="D249" t="str">
        <f t="shared" si="125"/>
        <v>LSA_SOC_HRY_E_BEGIN_TITO_SAQ_NOM_LFM_0600_MEMSS3_BISR_MMM_BP4</v>
      </c>
      <c r="E249" t="s">
        <v>5</v>
      </c>
      <c r="F249" t="s">
        <v>27</v>
      </c>
      <c r="G249" t="s">
        <v>271</v>
      </c>
      <c r="H249" t="s">
        <v>207</v>
      </c>
      <c r="I249" t="s">
        <v>260</v>
      </c>
      <c r="J249" t="s">
        <v>558</v>
      </c>
      <c r="K249" t="s">
        <v>284</v>
      </c>
      <c r="L249" t="s">
        <v>285</v>
      </c>
      <c r="M249" t="s">
        <v>559</v>
      </c>
      <c r="N249" t="s">
        <v>581</v>
      </c>
      <c r="O249" t="s">
        <v>267</v>
      </c>
      <c r="P249" t="s">
        <v>268</v>
      </c>
      <c r="Q249" t="s">
        <v>582</v>
      </c>
      <c r="R249">
        <v>21</v>
      </c>
      <c r="S249">
        <v>50</v>
      </c>
      <c r="T249">
        <v>16</v>
      </c>
      <c r="U249">
        <v>-1</v>
      </c>
      <c r="V249" t="b">
        <v>0</v>
      </c>
      <c r="W249" t="s">
        <v>298</v>
      </c>
      <c r="X249" t="s">
        <v>401</v>
      </c>
      <c r="Y249" t="s">
        <v>272</v>
      </c>
      <c r="Z249">
        <v>0.85</v>
      </c>
      <c r="AA249">
        <v>0.85</v>
      </c>
      <c r="AS249">
        <f t="shared" si="124"/>
        <v>10</v>
      </c>
      <c r="AT249" t="s">
        <v>273</v>
      </c>
      <c r="AU249" t="str">
        <f t="shared" si="126"/>
        <v>LSA_SOC_RASTER_E_BEGIN_TITO_SAQ_NOM_LFM_0600_MEMSS3_RASTER_MMM_BP4</v>
      </c>
      <c r="AV249">
        <v>1</v>
      </c>
      <c r="AW249">
        <v>1</v>
      </c>
      <c r="AX249">
        <v>1</v>
      </c>
      <c r="AY249">
        <v>1</v>
      </c>
      <c r="AZ249">
        <v>1</v>
      </c>
      <c r="BA249">
        <v>1</v>
      </c>
      <c r="BB249">
        <v>1</v>
      </c>
      <c r="BC249">
        <v>1</v>
      </c>
      <c r="BD249">
        <v>1</v>
      </c>
    </row>
    <row r="250" spans="1:56" x14ac:dyDescent="0.35">
      <c r="A250" s="28" t="s">
        <v>12</v>
      </c>
      <c r="B250" s="28" t="s">
        <v>56</v>
      </c>
      <c r="C250" s="28" t="str">
        <f>VLOOKUP(B250,templateLookup!A:B,2,0)</f>
        <v>MbistRasterTC</v>
      </c>
      <c r="D250" t="str">
        <f t="shared" si="125"/>
        <v>LSA_SOC_RASTER_E_BEGIN_TITO_SAQ_NOM_LFM_0600_MEMSS3_RASTER_MMM_BP4</v>
      </c>
      <c r="E250" t="s">
        <v>5</v>
      </c>
      <c r="F250" t="s">
        <v>27</v>
      </c>
      <c r="G250" t="s">
        <v>289</v>
      </c>
      <c r="H250" t="s">
        <v>207</v>
      </c>
      <c r="I250" t="s">
        <v>260</v>
      </c>
      <c r="J250" t="s">
        <v>558</v>
      </c>
      <c r="K250" t="s">
        <v>284</v>
      </c>
      <c r="L250" t="s">
        <v>285</v>
      </c>
      <c r="M250" t="s">
        <v>559</v>
      </c>
      <c r="N250" t="s">
        <v>583</v>
      </c>
      <c r="O250" t="s">
        <v>267</v>
      </c>
      <c r="P250" t="s">
        <v>268</v>
      </c>
      <c r="Q250" t="s">
        <v>291</v>
      </c>
      <c r="R250">
        <v>21</v>
      </c>
      <c r="S250">
        <v>50</v>
      </c>
      <c r="T250">
        <v>17</v>
      </c>
      <c r="U250">
        <v>1</v>
      </c>
      <c r="V250" t="b">
        <v>0</v>
      </c>
      <c r="W250" t="s">
        <v>298</v>
      </c>
      <c r="AS250">
        <f t="shared" si="124"/>
        <v>5</v>
      </c>
      <c r="AT250">
        <v>1</v>
      </c>
      <c r="AU250">
        <v>1</v>
      </c>
      <c r="AV250">
        <v>1</v>
      </c>
      <c r="AW250">
        <v>1</v>
      </c>
      <c r="AX250">
        <v>1</v>
      </c>
      <c r="AY250">
        <v>1</v>
      </c>
    </row>
    <row r="251" spans="1:56" x14ac:dyDescent="0.35">
      <c r="A251" s="27" t="s">
        <v>12</v>
      </c>
      <c r="B251" s="27" t="s">
        <v>50</v>
      </c>
      <c r="C251" s="27" t="str">
        <f>VLOOKUP(B251,templateLookup!A:B,2,0)</f>
        <v>COMPOSITE</v>
      </c>
      <c r="D251" s="10" t="s">
        <v>584</v>
      </c>
      <c r="V251" s="12"/>
    </row>
    <row r="252" spans="1:56" x14ac:dyDescent="0.35">
      <c r="A252" s="27" t="s">
        <v>12</v>
      </c>
      <c r="B252" s="27" t="s">
        <v>49</v>
      </c>
      <c r="C252" s="27" t="str">
        <f>VLOOKUP(B252,templateLookup!A:B,2,0)</f>
        <v>COMPOSITE</v>
      </c>
      <c r="D252" s="10" t="s">
        <v>585</v>
      </c>
      <c r="F252" t="s">
        <v>30</v>
      </c>
      <c r="V252" s="12"/>
      <c r="AS252">
        <f t="shared" ref="AS252:AS263" si="138">COUNTA(AU252:BD252)</f>
        <v>2</v>
      </c>
      <c r="AT252">
        <v>1</v>
      </c>
      <c r="AU252" t="str">
        <f>$D265</f>
        <v>PRE_REPAIR_HBO_ALL</v>
      </c>
      <c r="AV252" t="str">
        <f>$D265</f>
        <v>PRE_REPAIR_HBO_ALL</v>
      </c>
    </row>
    <row r="253" spans="1:56" x14ac:dyDescent="0.35">
      <c r="A253" s="28" t="s">
        <v>12</v>
      </c>
      <c r="B253" s="28" t="s">
        <v>54</v>
      </c>
      <c r="C253" s="28" t="str">
        <f>VLOOKUP(B253,templateLookup!A:B,2,0)</f>
        <v>PrimeMbistVminSearchTestMethod</v>
      </c>
      <c r="D253" t="str">
        <f t="shared" ref="D253:D263" si="139">E253&amp;"_"&amp;F253&amp;"_"&amp;G253&amp;"_"&amp;H253&amp;"_"&amp;A253&amp;"_"&amp;I253&amp;"_"&amp;J253&amp;"_"&amp;K253&amp;"_"&amp;L253&amp;"_"&amp;M253&amp;"_"&amp;N253</f>
        <v>SSA_SOC_HRY_E_BEGIN_TITO_SAQ_NOM_LFM_0600_DDRPHY0_BISR_MMM_BP5</v>
      </c>
      <c r="E253" t="s">
        <v>4</v>
      </c>
      <c r="F253" t="s">
        <v>27</v>
      </c>
      <c r="G253" t="s">
        <v>271</v>
      </c>
      <c r="H253" t="s">
        <v>207</v>
      </c>
      <c r="I253" t="s">
        <v>260</v>
      </c>
      <c r="J253" t="s">
        <v>558</v>
      </c>
      <c r="K253" t="s">
        <v>284</v>
      </c>
      <c r="L253" t="s">
        <v>285</v>
      </c>
      <c r="M253" t="s">
        <v>559</v>
      </c>
      <c r="N253" t="s">
        <v>587</v>
      </c>
      <c r="O253" t="s">
        <v>267</v>
      </c>
      <c r="P253" t="s">
        <v>268</v>
      </c>
      <c r="Q253" t="s">
        <v>586</v>
      </c>
      <c r="R253">
        <v>61</v>
      </c>
      <c r="S253">
        <v>50</v>
      </c>
      <c r="T253">
        <v>19</v>
      </c>
      <c r="U253">
        <v>-1</v>
      </c>
      <c r="V253" t="b">
        <v>0</v>
      </c>
      <c r="W253" t="s">
        <v>298</v>
      </c>
      <c r="X253" t="s">
        <v>271</v>
      </c>
      <c r="Y253" t="s">
        <v>272</v>
      </c>
      <c r="Z253">
        <v>0.85</v>
      </c>
      <c r="AA253">
        <v>0.85</v>
      </c>
      <c r="AS253">
        <f t="shared" si="138"/>
        <v>10</v>
      </c>
      <c r="AT253" t="s">
        <v>273</v>
      </c>
      <c r="AU253" t="str">
        <f>$D254</f>
        <v>SSA_SOC_RASTER_E_BEGIN_TITO_SAQ_NOM_LFM_0600_DDRPHY0_RASTER_MMM_BP5</v>
      </c>
      <c r="AV253" t="str">
        <f>$D255</f>
        <v>SSA_SOC_HRY_E_BEGIN_TITO_SAQ_NOM_LFM_0600_DDRPHY_1_2_BISR_MMM_BP6</v>
      </c>
      <c r="AW253" t="str">
        <f t="shared" ref="AW253:BD253" si="140">$D255</f>
        <v>SSA_SOC_HRY_E_BEGIN_TITO_SAQ_NOM_LFM_0600_DDRPHY_1_2_BISR_MMM_BP6</v>
      </c>
      <c r="AX253" t="str">
        <f t="shared" si="140"/>
        <v>SSA_SOC_HRY_E_BEGIN_TITO_SAQ_NOM_LFM_0600_DDRPHY_1_2_BISR_MMM_BP6</v>
      </c>
      <c r="AY253" t="str">
        <f t="shared" si="140"/>
        <v>SSA_SOC_HRY_E_BEGIN_TITO_SAQ_NOM_LFM_0600_DDRPHY_1_2_BISR_MMM_BP6</v>
      </c>
      <c r="AZ253" t="str">
        <f t="shared" si="140"/>
        <v>SSA_SOC_HRY_E_BEGIN_TITO_SAQ_NOM_LFM_0600_DDRPHY_1_2_BISR_MMM_BP6</v>
      </c>
      <c r="BA253" t="str">
        <f t="shared" si="140"/>
        <v>SSA_SOC_HRY_E_BEGIN_TITO_SAQ_NOM_LFM_0600_DDRPHY_1_2_BISR_MMM_BP6</v>
      </c>
      <c r="BB253" t="str">
        <f t="shared" si="140"/>
        <v>SSA_SOC_HRY_E_BEGIN_TITO_SAQ_NOM_LFM_0600_DDRPHY_1_2_BISR_MMM_BP6</v>
      </c>
      <c r="BC253" t="str">
        <f t="shared" si="140"/>
        <v>SSA_SOC_HRY_E_BEGIN_TITO_SAQ_NOM_LFM_0600_DDRPHY_1_2_BISR_MMM_BP6</v>
      </c>
      <c r="BD253" t="str">
        <f t="shared" si="140"/>
        <v>SSA_SOC_HRY_E_BEGIN_TITO_SAQ_NOM_LFM_0600_DDRPHY_1_2_BISR_MMM_BP6</v>
      </c>
    </row>
    <row r="254" spans="1:56" x14ac:dyDescent="0.35">
      <c r="A254" s="28" t="s">
        <v>12</v>
      </c>
      <c r="B254" s="28" t="s">
        <v>56</v>
      </c>
      <c r="C254" s="28" t="str">
        <f>VLOOKUP(B254,templateLookup!A:B,2,0)</f>
        <v>MbistRasterTC</v>
      </c>
      <c r="D254" t="str">
        <f t="shared" si="139"/>
        <v>SSA_SOC_RASTER_E_BEGIN_TITO_SAQ_NOM_LFM_0600_DDRPHY0_RASTER_MMM_BP5</v>
      </c>
      <c r="E254" t="s">
        <v>4</v>
      </c>
      <c r="F254" t="s">
        <v>27</v>
      </c>
      <c r="G254" t="s">
        <v>289</v>
      </c>
      <c r="H254" t="s">
        <v>207</v>
      </c>
      <c r="I254" t="s">
        <v>260</v>
      </c>
      <c r="J254" t="s">
        <v>558</v>
      </c>
      <c r="K254" t="s">
        <v>284</v>
      </c>
      <c r="L254" t="s">
        <v>285</v>
      </c>
      <c r="M254" t="s">
        <v>559</v>
      </c>
      <c r="N254" t="s">
        <v>588</v>
      </c>
      <c r="O254" t="s">
        <v>267</v>
      </c>
      <c r="P254" t="s">
        <v>268</v>
      </c>
      <c r="Q254" t="s">
        <v>291</v>
      </c>
      <c r="R254">
        <v>61</v>
      </c>
      <c r="S254">
        <v>50</v>
      </c>
      <c r="T254">
        <v>20</v>
      </c>
      <c r="U254">
        <v>1</v>
      </c>
      <c r="V254" t="b">
        <v>0</v>
      </c>
      <c r="W254" t="s">
        <v>298</v>
      </c>
      <c r="AS254">
        <f t="shared" si="138"/>
        <v>5</v>
      </c>
      <c r="AT254">
        <v>1</v>
      </c>
      <c r="AU254" t="str">
        <f>$D255</f>
        <v>SSA_SOC_HRY_E_BEGIN_TITO_SAQ_NOM_LFM_0600_DDRPHY_1_2_BISR_MMM_BP6</v>
      </c>
      <c r="AV254" t="str">
        <f t="shared" ref="AV254:AY254" si="141">$D255</f>
        <v>SSA_SOC_HRY_E_BEGIN_TITO_SAQ_NOM_LFM_0600_DDRPHY_1_2_BISR_MMM_BP6</v>
      </c>
      <c r="AW254" t="str">
        <f t="shared" si="141"/>
        <v>SSA_SOC_HRY_E_BEGIN_TITO_SAQ_NOM_LFM_0600_DDRPHY_1_2_BISR_MMM_BP6</v>
      </c>
      <c r="AX254" t="str">
        <f t="shared" si="141"/>
        <v>SSA_SOC_HRY_E_BEGIN_TITO_SAQ_NOM_LFM_0600_DDRPHY_1_2_BISR_MMM_BP6</v>
      </c>
      <c r="AY254" t="str">
        <f t="shared" si="141"/>
        <v>SSA_SOC_HRY_E_BEGIN_TITO_SAQ_NOM_LFM_0600_DDRPHY_1_2_BISR_MMM_BP6</v>
      </c>
    </row>
    <row r="255" spans="1:56" x14ac:dyDescent="0.35">
      <c r="A255" s="28" t="s">
        <v>12</v>
      </c>
      <c r="B255" s="28" t="s">
        <v>54</v>
      </c>
      <c r="C255" s="28" t="str">
        <f>VLOOKUP(B255,templateLookup!A:B,2,0)</f>
        <v>PrimeMbistVminSearchTestMethod</v>
      </c>
      <c r="D255" t="str">
        <f t="shared" si="139"/>
        <v>SSA_SOC_HRY_E_BEGIN_TITO_SAQ_NOM_LFM_0600_DDRPHY_1_2_BISR_MMM_BP6</v>
      </c>
      <c r="E255" t="s">
        <v>4</v>
      </c>
      <c r="F255" t="s">
        <v>27</v>
      </c>
      <c r="G255" t="s">
        <v>271</v>
      </c>
      <c r="H255" t="s">
        <v>207</v>
      </c>
      <c r="I255" t="s">
        <v>260</v>
      </c>
      <c r="J255" t="s">
        <v>558</v>
      </c>
      <c r="K255" t="s">
        <v>284</v>
      </c>
      <c r="L255" t="s">
        <v>285</v>
      </c>
      <c r="M255" t="s">
        <v>559</v>
      </c>
      <c r="N255" t="s">
        <v>590</v>
      </c>
      <c r="O255" t="s">
        <v>267</v>
      </c>
      <c r="P255" t="s">
        <v>268</v>
      </c>
      <c r="Q255" t="s">
        <v>589</v>
      </c>
      <c r="R255">
        <v>61</v>
      </c>
      <c r="S255">
        <v>50</v>
      </c>
      <c r="T255">
        <v>22</v>
      </c>
      <c r="U255">
        <v>-1</v>
      </c>
      <c r="V255" t="b">
        <v>0</v>
      </c>
      <c r="W255" t="s">
        <v>298</v>
      </c>
      <c r="X255" t="s">
        <v>271</v>
      </c>
      <c r="Y255" t="s">
        <v>272</v>
      </c>
      <c r="Z255">
        <v>0.85</v>
      </c>
      <c r="AA255">
        <v>0.85</v>
      </c>
      <c r="AS255">
        <f t="shared" si="138"/>
        <v>10</v>
      </c>
      <c r="AT255" t="s">
        <v>273</v>
      </c>
      <c r="AU255" t="str">
        <f>$D256</f>
        <v>SSA_SOC_RASTER_E_BEGIN_TITO_SAQ_NOM_LFM_0600_DDRPHY_1_2_RASTER_MMM_BP6</v>
      </c>
      <c r="AV255" t="str">
        <f>$D257</f>
        <v>SSA_SOC_HRY_E_BEGIN_TITO_SAQ_NOM_LFM_0600_DDRPHY3_BISR_MMM_BP7</v>
      </c>
      <c r="AW255" t="str">
        <f t="shared" ref="AW255:BD255" si="142">$D257</f>
        <v>SSA_SOC_HRY_E_BEGIN_TITO_SAQ_NOM_LFM_0600_DDRPHY3_BISR_MMM_BP7</v>
      </c>
      <c r="AX255" t="str">
        <f t="shared" si="142"/>
        <v>SSA_SOC_HRY_E_BEGIN_TITO_SAQ_NOM_LFM_0600_DDRPHY3_BISR_MMM_BP7</v>
      </c>
      <c r="AY255" t="str">
        <f t="shared" si="142"/>
        <v>SSA_SOC_HRY_E_BEGIN_TITO_SAQ_NOM_LFM_0600_DDRPHY3_BISR_MMM_BP7</v>
      </c>
      <c r="AZ255" t="str">
        <f t="shared" si="142"/>
        <v>SSA_SOC_HRY_E_BEGIN_TITO_SAQ_NOM_LFM_0600_DDRPHY3_BISR_MMM_BP7</v>
      </c>
      <c r="BA255" t="str">
        <f t="shared" si="142"/>
        <v>SSA_SOC_HRY_E_BEGIN_TITO_SAQ_NOM_LFM_0600_DDRPHY3_BISR_MMM_BP7</v>
      </c>
      <c r="BB255" t="str">
        <f t="shared" si="142"/>
        <v>SSA_SOC_HRY_E_BEGIN_TITO_SAQ_NOM_LFM_0600_DDRPHY3_BISR_MMM_BP7</v>
      </c>
      <c r="BC255" t="str">
        <f t="shared" si="142"/>
        <v>SSA_SOC_HRY_E_BEGIN_TITO_SAQ_NOM_LFM_0600_DDRPHY3_BISR_MMM_BP7</v>
      </c>
      <c r="BD255" t="str">
        <f t="shared" si="142"/>
        <v>SSA_SOC_HRY_E_BEGIN_TITO_SAQ_NOM_LFM_0600_DDRPHY3_BISR_MMM_BP7</v>
      </c>
    </row>
    <row r="256" spans="1:56" x14ac:dyDescent="0.35">
      <c r="A256" s="28" t="s">
        <v>12</v>
      </c>
      <c r="B256" s="28" t="s">
        <v>56</v>
      </c>
      <c r="C256" s="28" t="str">
        <f>VLOOKUP(B256,templateLookup!A:B,2,0)</f>
        <v>MbistRasterTC</v>
      </c>
      <c r="D256" t="str">
        <f t="shared" si="139"/>
        <v>SSA_SOC_RASTER_E_BEGIN_TITO_SAQ_NOM_LFM_0600_DDRPHY_1_2_RASTER_MMM_BP6</v>
      </c>
      <c r="E256" t="s">
        <v>4</v>
      </c>
      <c r="F256" t="s">
        <v>27</v>
      </c>
      <c r="G256" t="s">
        <v>289</v>
      </c>
      <c r="H256" t="s">
        <v>207</v>
      </c>
      <c r="I256" t="s">
        <v>260</v>
      </c>
      <c r="J256" t="s">
        <v>558</v>
      </c>
      <c r="K256" t="s">
        <v>284</v>
      </c>
      <c r="L256" t="s">
        <v>285</v>
      </c>
      <c r="M256" t="s">
        <v>559</v>
      </c>
      <c r="N256" t="s">
        <v>591</v>
      </c>
      <c r="O256" t="s">
        <v>267</v>
      </c>
      <c r="P256" t="s">
        <v>268</v>
      </c>
      <c r="Q256" t="s">
        <v>291</v>
      </c>
      <c r="R256">
        <v>61</v>
      </c>
      <c r="S256">
        <v>50</v>
      </c>
      <c r="T256">
        <v>23</v>
      </c>
      <c r="U256">
        <v>1</v>
      </c>
      <c r="V256" t="b">
        <v>0</v>
      </c>
      <c r="W256" t="s">
        <v>298</v>
      </c>
      <c r="AS256">
        <f t="shared" si="138"/>
        <v>5</v>
      </c>
      <c r="AT256">
        <v>1</v>
      </c>
      <c r="AU256" t="str">
        <f>$D257</f>
        <v>SSA_SOC_HRY_E_BEGIN_TITO_SAQ_NOM_LFM_0600_DDRPHY3_BISR_MMM_BP7</v>
      </c>
      <c r="AV256" t="str">
        <f t="shared" ref="AV256" si="143">$D257</f>
        <v>SSA_SOC_HRY_E_BEGIN_TITO_SAQ_NOM_LFM_0600_DDRPHY3_BISR_MMM_BP7</v>
      </c>
      <c r="AW256" t="str">
        <f t="shared" ref="AW256" si="144">$D257</f>
        <v>SSA_SOC_HRY_E_BEGIN_TITO_SAQ_NOM_LFM_0600_DDRPHY3_BISR_MMM_BP7</v>
      </c>
      <c r="AX256" t="str">
        <f t="shared" ref="AX256" si="145">$D257</f>
        <v>SSA_SOC_HRY_E_BEGIN_TITO_SAQ_NOM_LFM_0600_DDRPHY3_BISR_MMM_BP7</v>
      </c>
      <c r="AY256" t="str">
        <f t="shared" ref="AY256" si="146">$D257</f>
        <v>SSA_SOC_HRY_E_BEGIN_TITO_SAQ_NOM_LFM_0600_DDRPHY3_BISR_MMM_BP7</v>
      </c>
    </row>
    <row r="257" spans="1:56" x14ac:dyDescent="0.35">
      <c r="A257" s="28" t="s">
        <v>12</v>
      </c>
      <c r="B257" s="28" t="s">
        <v>54</v>
      </c>
      <c r="C257" s="28" t="str">
        <f>VLOOKUP(B257,templateLookup!A:B,2,0)</f>
        <v>PrimeMbistVminSearchTestMethod</v>
      </c>
      <c r="D257" t="str">
        <f t="shared" si="139"/>
        <v>SSA_SOC_HRY_E_BEGIN_TITO_SAQ_NOM_LFM_0600_DDRPHY3_BISR_MMM_BP7</v>
      </c>
      <c r="E257" t="s">
        <v>4</v>
      </c>
      <c r="F257" t="s">
        <v>27</v>
      </c>
      <c r="G257" t="s">
        <v>271</v>
      </c>
      <c r="H257" t="s">
        <v>207</v>
      </c>
      <c r="I257" t="s">
        <v>260</v>
      </c>
      <c r="J257" t="s">
        <v>558</v>
      </c>
      <c r="K257" t="s">
        <v>284</v>
      </c>
      <c r="L257" t="s">
        <v>285</v>
      </c>
      <c r="M257" t="s">
        <v>559</v>
      </c>
      <c r="N257" t="s">
        <v>593</v>
      </c>
      <c r="O257" t="s">
        <v>267</v>
      </c>
      <c r="P257" t="s">
        <v>268</v>
      </c>
      <c r="Q257" t="s">
        <v>592</v>
      </c>
      <c r="R257">
        <v>61</v>
      </c>
      <c r="S257">
        <v>50</v>
      </c>
      <c r="T257">
        <v>25</v>
      </c>
      <c r="U257">
        <v>-1</v>
      </c>
      <c r="V257" t="b">
        <v>0</v>
      </c>
      <c r="W257" t="s">
        <v>298</v>
      </c>
      <c r="X257" t="s">
        <v>271</v>
      </c>
      <c r="Y257" t="s">
        <v>272</v>
      </c>
      <c r="Z257">
        <v>0.85</v>
      </c>
      <c r="AA257">
        <v>0.85</v>
      </c>
      <c r="AS257">
        <f t="shared" si="138"/>
        <v>10</v>
      </c>
      <c r="AT257" t="s">
        <v>273</v>
      </c>
      <c r="AU257" t="str">
        <f>$D258</f>
        <v>SSA_SOC_RASTER_E_BEGIN_TITO_SAQ_NOM_LFM_0600_DDRPHY3_RASTER_MMM_BP7</v>
      </c>
      <c r="AV257" t="str">
        <f>$D259</f>
        <v>SSA_SOC_HRY_E_BEGIN_TITO_SAQ_NOM_LFM_0600_DDRPHY3_BHRY_MMM_BP8</v>
      </c>
      <c r="AW257" t="str">
        <f t="shared" ref="AW257:BD257" si="147">$D259</f>
        <v>SSA_SOC_HRY_E_BEGIN_TITO_SAQ_NOM_LFM_0600_DDRPHY3_BHRY_MMM_BP8</v>
      </c>
      <c r="AX257" t="str">
        <f t="shared" si="147"/>
        <v>SSA_SOC_HRY_E_BEGIN_TITO_SAQ_NOM_LFM_0600_DDRPHY3_BHRY_MMM_BP8</v>
      </c>
      <c r="AY257" t="str">
        <f t="shared" si="147"/>
        <v>SSA_SOC_HRY_E_BEGIN_TITO_SAQ_NOM_LFM_0600_DDRPHY3_BHRY_MMM_BP8</v>
      </c>
      <c r="AZ257" t="str">
        <f t="shared" si="147"/>
        <v>SSA_SOC_HRY_E_BEGIN_TITO_SAQ_NOM_LFM_0600_DDRPHY3_BHRY_MMM_BP8</v>
      </c>
      <c r="BA257" t="str">
        <f t="shared" si="147"/>
        <v>SSA_SOC_HRY_E_BEGIN_TITO_SAQ_NOM_LFM_0600_DDRPHY3_BHRY_MMM_BP8</v>
      </c>
      <c r="BB257" t="str">
        <f t="shared" si="147"/>
        <v>SSA_SOC_HRY_E_BEGIN_TITO_SAQ_NOM_LFM_0600_DDRPHY3_BHRY_MMM_BP8</v>
      </c>
      <c r="BC257" t="str">
        <f t="shared" si="147"/>
        <v>SSA_SOC_HRY_E_BEGIN_TITO_SAQ_NOM_LFM_0600_DDRPHY3_BHRY_MMM_BP8</v>
      </c>
      <c r="BD257" t="str">
        <f t="shared" si="147"/>
        <v>SSA_SOC_HRY_E_BEGIN_TITO_SAQ_NOM_LFM_0600_DDRPHY3_BHRY_MMM_BP8</v>
      </c>
    </row>
    <row r="258" spans="1:56" x14ac:dyDescent="0.35">
      <c r="A258" s="28" t="s">
        <v>12</v>
      </c>
      <c r="B258" s="28" t="s">
        <v>56</v>
      </c>
      <c r="C258" s="28" t="str">
        <f>VLOOKUP(B258,templateLookup!A:B,2,0)</f>
        <v>MbistRasterTC</v>
      </c>
      <c r="D258" t="str">
        <f t="shared" si="139"/>
        <v>SSA_SOC_RASTER_E_BEGIN_TITO_SAQ_NOM_LFM_0600_DDRPHY3_RASTER_MMM_BP7</v>
      </c>
      <c r="E258" t="s">
        <v>4</v>
      </c>
      <c r="F258" t="s">
        <v>27</v>
      </c>
      <c r="G258" t="s">
        <v>289</v>
      </c>
      <c r="H258" t="s">
        <v>207</v>
      </c>
      <c r="I258" t="s">
        <v>260</v>
      </c>
      <c r="J258" t="s">
        <v>558</v>
      </c>
      <c r="K258" t="s">
        <v>284</v>
      </c>
      <c r="L258" t="s">
        <v>285</v>
      </c>
      <c r="M258" t="s">
        <v>559</v>
      </c>
      <c r="N258" t="s">
        <v>594</v>
      </c>
      <c r="O258" t="s">
        <v>267</v>
      </c>
      <c r="P258" t="s">
        <v>268</v>
      </c>
      <c r="Q258" t="s">
        <v>291</v>
      </c>
      <c r="R258">
        <v>61</v>
      </c>
      <c r="S258">
        <v>50</v>
      </c>
      <c r="T258">
        <v>26</v>
      </c>
      <c r="U258">
        <v>1</v>
      </c>
      <c r="V258" t="b">
        <v>0</v>
      </c>
      <c r="W258" t="s">
        <v>298</v>
      </c>
      <c r="AS258">
        <f t="shared" si="138"/>
        <v>5</v>
      </c>
      <c r="AT258">
        <v>1</v>
      </c>
      <c r="AU258" t="str">
        <f>$D259</f>
        <v>SSA_SOC_HRY_E_BEGIN_TITO_SAQ_NOM_LFM_0600_DDRPHY3_BHRY_MMM_BP8</v>
      </c>
      <c r="AV258" t="str">
        <f t="shared" ref="AV258" si="148">$D259</f>
        <v>SSA_SOC_HRY_E_BEGIN_TITO_SAQ_NOM_LFM_0600_DDRPHY3_BHRY_MMM_BP8</v>
      </c>
      <c r="AW258" t="str">
        <f t="shared" ref="AW258" si="149">$D259</f>
        <v>SSA_SOC_HRY_E_BEGIN_TITO_SAQ_NOM_LFM_0600_DDRPHY3_BHRY_MMM_BP8</v>
      </c>
      <c r="AX258" t="str">
        <f t="shared" ref="AX258" si="150">$D259</f>
        <v>SSA_SOC_HRY_E_BEGIN_TITO_SAQ_NOM_LFM_0600_DDRPHY3_BHRY_MMM_BP8</v>
      </c>
      <c r="AY258" t="str">
        <f t="shared" ref="AY258" si="151">$D259</f>
        <v>SSA_SOC_HRY_E_BEGIN_TITO_SAQ_NOM_LFM_0600_DDRPHY3_BHRY_MMM_BP8</v>
      </c>
    </row>
    <row r="259" spans="1:56" x14ac:dyDescent="0.35">
      <c r="A259" s="28" t="s">
        <v>12</v>
      </c>
      <c r="B259" s="28" t="s">
        <v>54</v>
      </c>
      <c r="C259" s="28" t="str">
        <f>VLOOKUP(B259,templateLookup!A:B,2,0)</f>
        <v>PrimeMbistVminSearchTestMethod</v>
      </c>
      <c r="D259" t="str">
        <f t="shared" si="139"/>
        <v>SSA_SOC_HRY_E_BEGIN_TITO_SAQ_NOM_LFM_0600_DDRPHY3_BHRY_MMM_BP8</v>
      </c>
      <c r="E259" t="s">
        <v>4</v>
      </c>
      <c r="F259" t="s">
        <v>27</v>
      </c>
      <c r="G259" t="s">
        <v>271</v>
      </c>
      <c r="H259" t="s">
        <v>207</v>
      </c>
      <c r="I259" t="s">
        <v>260</v>
      </c>
      <c r="J259" t="s">
        <v>558</v>
      </c>
      <c r="K259" t="s">
        <v>284</v>
      </c>
      <c r="L259" t="s">
        <v>285</v>
      </c>
      <c r="M259" t="s">
        <v>559</v>
      </c>
      <c r="N259" t="s">
        <v>595</v>
      </c>
      <c r="O259" t="s">
        <v>267</v>
      </c>
      <c r="P259" t="s">
        <v>268</v>
      </c>
      <c r="Q259" t="s">
        <v>596</v>
      </c>
      <c r="R259">
        <v>61</v>
      </c>
      <c r="S259">
        <v>50</v>
      </c>
      <c r="T259">
        <v>27</v>
      </c>
      <c r="U259">
        <v>-1</v>
      </c>
      <c r="V259" t="b">
        <v>0</v>
      </c>
      <c r="W259" t="s">
        <v>298</v>
      </c>
      <c r="X259" t="s">
        <v>271</v>
      </c>
      <c r="Y259" t="s">
        <v>272</v>
      </c>
      <c r="Z259">
        <v>0.85</v>
      </c>
      <c r="AA259">
        <v>0.85</v>
      </c>
      <c r="AS259">
        <f t="shared" si="138"/>
        <v>10</v>
      </c>
      <c r="AT259" t="s">
        <v>273</v>
      </c>
      <c r="AU259" t="str">
        <f>$D260</f>
        <v>SSA_SOC_HRY_E_BEGIN_TITO_SAQ_NOM_LFM_0600_DDRPHY3_BISR_MMM_BP8</v>
      </c>
      <c r="AV259" t="str">
        <f>$D262</f>
        <v>LSA_SOC_HRY_E_BEGIN_TITO_SAQ_NOM_LFM_0600_DDRPHY_1_2_BISR_MMM_BP6</v>
      </c>
      <c r="AW259" t="str">
        <f t="shared" ref="AW259:BB259" si="152">$D260</f>
        <v>SSA_SOC_HRY_E_BEGIN_TITO_SAQ_NOM_LFM_0600_DDRPHY3_BISR_MMM_BP8</v>
      </c>
      <c r="AX259" t="str">
        <f t="shared" si="152"/>
        <v>SSA_SOC_HRY_E_BEGIN_TITO_SAQ_NOM_LFM_0600_DDRPHY3_BISR_MMM_BP8</v>
      </c>
      <c r="AY259" t="str">
        <f t="shared" si="152"/>
        <v>SSA_SOC_HRY_E_BEGIN_TITO_SAQ_NOM_LFM_0600_DDRPHY3_BISR_MMM_BP8</v>
      </c>
      <c r="AZ259" t="str">
        <f t="shared" si="152"/>
        <v>SSA_SOC_HRY_E_BEGIN_TITO_SAQ_NOM_LFM_0600_DDRPHY3_BISR_MMM_BP8</v>
      </c>
      <c r="BA259" t="str">
        <f t="shared" si="152"/>
        <v>SSA_SOC_HRY_E_BEGIN_TITO_SAQ_NOM_LFM_0600_DDRPHY3_BISR_MMM_BP8</v>
      </c>
      <c r="BB259" t="str">
        <f t="shared" si="152"/>
        <v>SSA_SOC_HRY_E_BEGIN_TITO_SAQ_NOM_LFM_0600_DDRPHY3_BISR_MMM_BP8</v>
      </c>
      <c r="BC259" t="str">
        <f>$D262</f>
        <v>LSA_SOC_HRY_E_BEGIN_TITO_SAQ_NOM_LFM_0600_DDRPHY_1_2_BISR_MMM_BP6</v>
      </c>
      <c r="BD259" t="str">
        <f>$D260</f>
        <v>SSA_SOC_HRY_E_BEGIN_TITO_SAQ_NOM_LFM_0600_DDRPHY3_BISR_MMM_BP8</v>
      </c>
    </row>
    <row r="260" spans="1:56" x14ac:dyDescent="0.35">
      <c r="A260" s="28" t="s">
        <v>12</v>
      </c>
      <c r="B260" s="28" t="s">
        <v>54</v>
      </c>
      <c r="C260" s="28" t="str">
        <f>VLOOKUP(B260,templateLookup!A:B,2,0)</f>
        <v>PrimeMbistVminSearchTestMethod</v>
      </c>
      <c r="D260" t="str">
        <f t="shared" si="139"/>
        <v>SSA_SOC_HRY_E_BEGIN_TITO_SAQ_NOM_LFM_0600_DDRPHY3_BISR_MMM_BP8</v>
      </c>
      <c r="E260" t="s">
        <v>4</v>
      </c>
      <c r="F260" t="s">
        <v>27</v>
      </c>
      <c r="G260" t="s">
        <v>271</v>
      </c>
      <c r="H260" t="s">
        <v>207</v>
      </c>
      <c r="I260" t="s">
        <v>260</v>
      </c>
      <c r="J260" t="s">
        <v>558</v>
      </c>
      <c r="K260" t="s">
        <v>284</v>
      </c>
      <c r="L260" t="s">
        <v>285</v>
      </c>
      <c r="M260" t="s">
        <v>559</v>
      </c>
      <c r="N260" t="s">
        <v>597</v>
      </c>
      <c r="O260" t="s">
        <v>267</v>
      </c>
      <c r="P260" t="s">
        <v>268</v>
      </c>
      <c r="Q260" t="s">
        <v>598</v>
      </c>
      <c r="R260">
        <v>61</v>
      </c>
      <c r="S260">
        <v>50</v>
      </c>
      <c r="T260">
        <v>28</v>
      </c>
      <c r="U260">
        <v>-1</v>
      </c>
      <c r="V260" t="b">
        <v>0</v>
      </c>
      <c r="W260" t="s">
        <v>298</v>
      </c>
      <c r="X260" t="s">
        <v>401</v>
      </c>
      <c r="Y260" t="s">
        <v>272</v>
      </c>
      <c r="Z260">
        <v>0.85</v>
      </c>
      <c r="AA260">
        <v>0.85</v>
      </c>
      <c r="AS260">
        <f t="shared" si="138"/>
        <v>10</v>
      </c>
      <c r="AT260" t="s">
        <v>273</v>
      </c>
      <c r="AU260" t="str">
        <f>$D261</f>
        <v>SSA_SOC_RASTER_E_BEGIN_TITO_SAQ_NOM_LFM_0600_DDRPHY3_RASTER_MMM_BP8</v>
      </c>
      <c r="AV260" t="str">
        <f>$D262</f>
        <v>LSA_SOC_HRY_E_BEGIN_TITO_SAQ_NOM_LFM_0600_DDRPHY_1_2_BISR_MMM_BP6</v>
      </c>
      <c r="AW260" t="str">
        <f t="shared" ref="AW260:BD260" si="153">$D262</f>
        <v>LSA_SOC_HRY_E_BEGIN_TITO_SAQ_NOM_LFM_0600_DDRPHY_1_2_BISR_MMM_BP6</v>
      </c>
      <c r="AX260" t="str">
        <f t="shared" si="153"/>
        <v>LSA_SOC_HRY_E_BEGIN_TITO_SAQ_NOM_LFM_0600_DDRPHY_1_2_BISR_MMM_BP6</v>
      </c>
      <c r="AY260" t="str">
        <f t="shared" si="153"/>
        <v>LSA_SOC_HRY_E_BEGIN_TITO_SAQ_NOM_LFM_0600_DDRPHY_1_2_BISR_MMM_BP6</v>
      </c>
      <c r="AZ260" t="str">
        <f t="shared" si="153"/>
        <v>LSA_SOC_HRY_E_BEGIN_TITO_SAQ_NOM_LFM_0600_DDRPHY_1_2_BISR_MMM_BP6</v>
      </c>
      <c r="BA260" t="str">
        <f t="shared" si="153"/>
        <v>LSA_SOC_HRY_E_BEGIN_TITO_SAQ_NOM_LFM_0600_DDRPHY_1_2_BISR_MMM_BP6</v>
      </c>
      <c r="BB260" t="str">
        <f t="shared" si="153"/>
        <v>LSA_SOC_HRY_E_BEGIN_TITO_SAQ_NOM_LFM_0600_DDRPHY_1_2_BISR_MMM_BP6</v>
      </c>
      <c r="BC260" t="str">
        <f t="shared" si="153"/>
        <v>LSA_SOC_HRY_E_BEGIN_TITO_SAQ_NOM_LFM_0600_DDRPHY_1_2_BISR_MMM_BP6</v>
      </c>
      <c r="BD260" t="str">
        <f t="shared" si="153"/>
        <v>LSA_SOC_HRY_E_BEGIN_TITO_SAQ_NOM_LFM_0600_DDRPHY_1_2_BISR_MMM_BP6</v>
      </c>
    </row>
    <row r="261" spans="1:56" x14ac:dyDescent="0.35">
      <c r="A261" s="28" t="s">
        <v>12</v>
      </c>
      <c r="B261" s="28" t="s">
        <v>56</v>
      </c>
      <c r="C261" s="28" t="str">
        <f>VLOOKUP(B261,templateLookup!A:B,2,0)</f>
        <v>MbistRasterTC</v>
      </c>
      <c r="D261" t="str">
        <f t="shared" si="139"/>
        <v>SSA_SOC_RASTER_E_BEGIN_TITO_SAQ_NOM_LFM_0600_DDRPHY3_RASTER_MMM_BP8</v>
      </c>
      <c r="E261" t="s">
        <v>4</v>
      </c>
      <c r="F261" t="s">
        <v>27</v>
      </c>
      <c r="G261" t="s">
        <v>289</v>
      </c>
      <c r="H261" t="s">
        <v>207</v>
      </c>
      <c r="I261" t="s">
        <v>260</v>
      </c>
      <c r="J261" t="s">
        <v>558</v>
      </c>
      <c r="K261" t="s">
        <v>284</v>
      </c>
      <c r="L261" t="s">
        <v>285</v>
      </c>
      <c r="M261" t="s">
        <v>559</v>
      </c>
      <c r="N261" t="s">
        <v>599</v>
      </c>
      <c r="O261" t="s">
        <v>267</v>
      </c>
      <c r="P261" t="s">
        <v>268</v>
      </c>
      <c r="Q261" t="s">
        <v>291</v>
      </c>
      <c r="R261">
        <v>61</v>
      </c>
      <c r="S261">
        <v>50</v>
      </c>
      <c r="T261">
        <v>29</v>
      </c>
      <c r="U261">
        <v>1</v>
      </c>
      <c r="V261" t="b">
        <v>0</v>
      </c>
      <c r="W261" t="s">
        <v>298</v>
      </c>
      <c r="AS261">
        <f t="shared" si="138"/>
        <v>5</v>
      </c>
      <c r="AT261">
        <v>1</v>
      </c>
      <c r="AU261" t="str">
        <f>$D262</f>
        <v>LSA_SOC_HRY_E_BEGIN_TITO_SAQ_NOM_LFM_0600_DDRPHY_1_2_BISR_MMM_BP6</v>
      </c>
      <c r="AV261" t="str">
        <f t="shared" ref="AV261:AY261" si="154">$D262</f>
        <v>LSA_SOC_HRY_E_BEGIN_TITO_SAQ_NOM_LFM_0600_DDRPHY_1_2_BISR_MMM_BP6</v>
      </c>
      <c r="AW261" t="str">
        <f t="shared" si="154"/>
        <v>LSA_SOC_HRY_E_BEGIN_TITO_SAQ_NOM_LFM_0600_DDRPHY_1_2_BISR_MMM_BP6</v>
      </c>
      <c r="AX261" t="str">
        <f t="shared" si="154"/>
        <v>LSA_SOC_HRY_E_BEGIN_TITO_SAQ_NOM_LFM_0600_DDRPHY_1_2_BISR_MMM_BP6</v>
      </c>
      <c r="AY261" t="str">
        <f t="shared" si="154"/>
        <v>LSA_SOC_HRY_E_BEGIN_TITO_SAQ_NOM_LFM_0600_DDRPHY_1_2_BISR_MMM_BP6</v>
      </c>
    </row>
    <row r="262" spans="1:56" x14ac:dyDescent="0.35">
      <c r="A262" s="28" t="s">
        <v>12</v>
      </c>
      <c r="B262" s="28" t="s">
        <v>54</v>
      </c>
      <c r="C262" s="28" t="str">
        <f>VLOOKUP(B262,templateLookup!A:B,2,0)</f>
        <v>PrimeMbistVminSearchTestMethod</v>
      </c>
      <c r="D262" t="str">
        <f t="shared" si="139"/>
        <v>LSA_SOC_HRY_E_BEGIN_TITO_SAQ_NOM_LFM_0600_DDRPHY_1_2_BISR_MMM_BP6</v>
      </c>
      <c r="E262" t="s">
        <v>5</v>
      </c>
      <c r="F262" t="s">
        <v>27</v>
      </c>
      <c r="G262" t="s">
        <v>271</v>
      </c>
      <c r="H262" t="s">
        <v>207</v>
      </c>
      <c r="I262" t="s">
        <v>260</v>
      </c>
      <c r="J262" t="s">
        <v>558</v>
      </c>
      <c r="K262" t="s">
        <v>284</v>
      </c>
      <c r="L262" t="s">
        <v>285</v>
      </c>
      <c r="M262" t="s">
        <v>559</v>
      </c>
      <c r="N262" t="s">
        <v>590</v>
      </c>
      <c r="O262" t="s">
        <v>267</v>
      </c>
      <c r="P262" t="s">
        <v>268</v>
      </c>
      <c r="Q262" t="s">
        <v>600</v>
      </c>
      <c r="R262">
        <v>21</v>
      </c>
      <c r="S262">
        <v>50</v>
      </c>
      <c r="T262">
        <v>31</v>
      </c>
      <c r="U262">
        <v>-1</v>
      </c>
      <c r="V262" t="b">
        <v>0</v>
      </c>
      <c r="W262" t="s">
        <v>298</v>
      </c>
      <c r="X262" t="s">
        <v>271</v>
      </c>
      <c r="Y262" t="s">
        <v>272</v>
      </c>
      <c r="Z262">
        <v>0.85</v>
      </c>
      <c r="AA262">
        <v>0.85</v>
      </c>
      <c r="AS262">
        <f t="shared" si="138"/>
        <v>10</v>
      </c>
      <c r="AT262" t="s">
        <v>273</v>
      </c>
      <c r="AU262" t="str">
        <f>$D263</f>
        <v>LSA_SOC_RASTER_E_BEGIN_TITO_SAQ_NOM_LFM_0600_DDRPHY_1_2_RASTER_MMM_BP6</v>
      </c>
      <c r="AV262">
        <v>1</v>
      </c>
      <c r="AW262">
        <v>1</v>
      </c>
      <c r="AX262">
        <v>1</v>
      </c>
      <c r="AY262">
        <v>1</v>
      </c>
      <c r="AZ262">
        <v>1</v>
      </c>
      <c r="BA262">
        <v>1</v>
      </c>
      <c r="BB262">
        <v>1</v>
      </c>
      <c r="BC262">
        <v>1</v>
      </c>
      <c r="BD262">
        <v>1</v>
      </c>
    </row>
    <row r="263" spans="1:56" x14ac:dyDescent="0.35">
      <c r="A263" s="28" t="s">
        <v>12</v>
      </c>
      <c r="B263" s="28" t="s">
        <v>56</v>
      </c>
      <c r="C263" s="28" t="str">
        <f>VLOOKUP(B263,templateLookup!A:B,2,0)</f>
        <v>MbistRasterTC</v>
      </c>
      <c r="D263" t="str">
        <f t="shared" si="139"/>
        <v>LSA_SOC_RASTER_E_BEGIN_TITO_SAQ_NOM_LFM_0600_DDRPHY_1_2_RASTER_MMM_BP6</v>
      </c>
      <c r="E263" t="s">
        <v>5</v>
      </c>
      <c r="F263" t="s">
        <v>27</v>
      </c>
      <c r="G263" t="s">
        <v>289</v>
      </c>
      <c r="H263" t="s">
        <v>207</v>
      </c>
      <c r="I263" t="s">
        <v>260</v>
      </c>
      <c r="J263" t="s">
        <v>558</v>
      </c>
      <c r="K263" t="s">
        <v>284</v>
      </c>
      <c r="L263" t="s">
        <v>285</v>
      </c>
      <c r="M263" t="s">
        <v>559</v>
      </c>
      <c r="N263" t="s">
        <v>591</v>
      </c>
      <c r="O263" t="s">
        <v>267</v>
      </c>
      <c r="P263" t="s">
        <v>268</v>
      </c>
      <c r="Q263" t="s">
        <v>291</v>
      </c>
      <c r="R263">
        <v>21</v>
      </c>
      <c r="S263">
        <v>50</v>
      </c>
      <c r="T263">
        <v>32</v>
      </c>
      <c r="U263">
        <v>1</v>
      </c>
      <c r="V263" t="b">
        <v>0</v>
      </c>
      <c r="W263" t="s">
        <v>298</v>
      </c>
      <c r="AS263">
        <f t="shared" si="138"/>
        <v>5</v>
      </c>
      <c r="AT263">
        <v>1</v>
      </c>
      <c r="AU263">
        <v>1</v>
      </c>
      <c r="AV263">
        <v>1</v>
      </c>
      <c r="AW263">
        <v>1</v>
      </c>
      <c r="AX263">
        <v>1</v>
      </c>
      <c r="AY263">
        <v>1</v>
      </c>
    </row>
    <row r="264" spans="1:56" x14ac:dyDescent="0.35">
      <c r="A264" s="27" t="s">
        <v>12</v>
      </c>
      <c r="B264" s="27" t="s">
        <v>50</v>
      </c>
      <c r="C264" s="27" t="str">
        <f>VLOOKUP(B264,templateLookup!A:B,2,0)</f>
        <v>COMPOSITE</v>
      </c>
      <c r="D264" s="10" t="s">
        <v>601</v>
      </c>
      <c r="V264" s="12"/>
    </row>
    <row r="265" spans="1:56" x14ac:dyDescent="0.35">
      <c r="A265" s="27" t="s">
        <v>12</v>
      </c>
      <c r="B265" s="27" t="s">
        <v>49</v>
      </c>
      <c r="C265" s="27" t="str">
        <f>VLOOKUP(B265,templateLookup!A:B,2,0)</f>
        <v>COMPOSITE</v>
      </c>
      <c r="D265" s="10" t="s">
        <v>602</v>
      </c>
      <c r="F265" t="s">
        <v>30</v>
      </c>
      <c r="V265" s="12"/>
      <c r="AS265">
        <f t="shared" ref="AS265:AS285" si="155">COUNTA(AU265:BD265)</f>
        <v>2</v>
      </c>
      <c r="AT265">
        <v>1</v>
      </c>
      <c r="AU265" t="str">
        <f>$D287</f>
        <v>PRE_REPAIR_IAX</v>
      </c>
      <c r="AV265" t="str">
        <f>$D287</f>
        <v>PRE_REPAIR_IAX</v>
      </c>
    </row>
    <row r="266" spans="1:56" x14ac:dyDescent="0.35">
      <c r="A266" s="28" t="s">
        <v>12</v>
      </c>
      <c r="B266" s="28" t="s">
        <v>54</v>
      </c>
      <c r="C266" s="28" t="str">
        <f>VLOOKUP(B266,templateLookup!A:B,2,0)</f>
        <v>PrimeMbistVminSearchTestMethod</v>
      </c>
      <c r="D266" t="str">
        <f t="shared" ref="D266:D285" si="156">E266&amp;"_"&amp;F266&amp;"_"&amp;G266&amp;"_"&amp;H266&amp;"_"&amp;A266&amp;"_"&amp;I266&amp;"_"&amp;J266&amp;"_"&amp;K266&amp;"_"&amp;L266&amp;"_"&amp;M266&amp;"_"&amp;N266</f>
        <v>SSA_SOC_HRY_E_BEGIN_TITO_SAQ_NOM_LFM_0600_HBO0_HBO_BHRY_HBO0_BP4</v>
      </c>
      <c r="E266" t="s">
        <v>4</v>
      </c>
      <c r="F266" t="s">
        <v>27</v>
      </c>
      <c r="G266" t="s">
        <v>271</v>
      </c>
      <c r="H266" t="s">
        <v>207</v>
      </c>
      <c r="I266" t="s">
        <v>260</v>
      </c>
      <c r="J266" t="s">
        <v>558</v>
      </c>
      <c r="K266" t="s">
        <v>284</v>
      </c>
      <c r="L266" t="s">
        <v>285</v>
      </c>
      <c r="M266" t="s">
        <v>559</v>
      </c>
      <c r="N266" t="s">
        <v>603</v>
      </c>
      <c r="O266" t="s">
        <v>267</v>
      </c>
      <c r="P266" t="s">
        <v>268</v>
      </c>
      <c r="Q266" t="s">
        <v>604</v>
      </c>
      <c r="R266">
        <v>61</v>
      </c>
      <c r="S266">
        <v>50</v>
      </c>
      <c r="T266">
        <v>33</v>
      </c>
      <c r="U266">
        <v>-1</v>
      </c>
      <c r="V266" t="b">
        <v>0</v>
      </c>
      <c r="W266" t="s">
        <v>298</v>
      </c>
      <c r="X266" t="s">
        <v>271</v>
      </c>
      <c r="Y266" t="s">
        <v>272</v>
      </c>
      <c r="Z266">
        <v>0.85</v>
      </c>
      <c r="AA266">
        <v>0.85</v>
      </c>
      <c r="AS266">
        <f t="shared" si="155"/>
        <v>10</v>
      </c>
      <c r="AT266" t="s">
        <v>273</v>
      </c>
      <c r="AU266" t="str">
        <f>$D267</f>
        <v>SSA_SOC_HRY_E_BEGIN_TITO_SAQ_NOM_LFM_0600_HBO0_HBO_BISR_HBO0_BP4</v>
      </c>
      <c r="AV266" t="str">
        <f>$D269</f>
        <v>SSA_SOC_HRY_E_BEGIN_TITO_SAQ_NOM_LFM_0600_HBO0_MUFASA0_BISR_HBO0_BP2</v>
      </c>
      <c r="AW266" t="str">
        <f t="shared" ref="AW266:BB266" si="157">$D267</f>
        <v>SSA_SOC_HRY_E_BEGIN_TITO_SAQ_NOM_LFM_0600_HBO0_HBO_BISR_HBO0_BP4</v>
      </c>
      <c r="AX266" t="str">
        <f t="shared" si="157"/>
        <v>SSA_SOC_HRY_E_BEGIN_TITO_SAQ_NOM_LFM_0600_HBO0_HBO_BISR_HBO0_BP4</v>
      </c>
      <c r="AY266" t="str">
        <f t="shared" si="157"/>
        <v>SSA_SOC_HRY_E_BEGIN_TITO_SAQ_NOM_LFM_0600_HBO0_HBO_BISR_HBO0_BP4</v>
      </c>
      <c r="AZ266" t="str">
        <f t="shared" si="157"/>
        <v>SSA_SOC_HRY_E_BEGIN_TITO_SAQ_NOM_LFM_0600_HBO0_HBO_BISR_HBO0_BP4</v>
      </c>
      <c r="BA266" t="str">
        <f t="shared" si="157"/>
        <v>SSA_SOC_HRY_E_BEGIN_TITO_SAQ_NOM_LFM_0600_HBO0_HBO_BISR_HBO0_BP4</v>
      </c>
      <c r="BB266" t="str">
        <f t="shared" si="157"/>
        <v>SSA_SOC_HRY_E_BEGIN_TITO_SAQ_NOM_LFM_0600_HBO0_HBO_BISR_HBO0_BP4</v>
      </c>
      <c r="BC266" t="str">
        <f>$D269</f>
        <v>SSA_SOC_HRY_E_BEGIN_TITO_SAQ_NOM_LFM_0600_HBO0_MUFASA0_BISR_HBO0_BP2</v>
      </c>
      <c r="BD266" t="str">
        <f>$D267</f>
        <v>SSA_SOC_HRY_E_BEGIN_TITO_SAQ_NOM_LFM_0600_HBO0_HBO_BISR_HBO0_BP4</v>
      </c>
    </row>
    <row r="267" spans="1:56" x14ac:dyDescent="0.35">
      <c r="A267" s="28" t="s">
        <v>12</v>
      </c>
      <c r="B267" s="28" t="s">
        <v>54</v>
      </c>
      <c r="C267" s="28" t="str">
        <f>VLOOKUP(B267,templateLookup!A:B,2,0)</f>
        <v>PrimeMbistVminSearchTestMethod</v>
      </c>
      <c r="D267" t="str">
        <f t="shared" si="156"/>
        <v>SSA_SOC_HRY_E_BEGIN_TITO_SAQ_NOM_LFM_0600_HBO0_HBO_BISR_HBO0_BP4</v>
      </c>
      <c r="E267" t="s">
        <v>4</v>
      </c>
      <c r="F267" t="s">
        <v>27</v>
      </c>
      <c r="G267" t="s">
        <v>271</v>
      </c>
      <c r="H267" t="s">
        <v>207</v>
      </c>
      <c r="I267" t="s">
        <v>260</v>
      </c>
      <c r="J267" t="s">
        <v>558</v>
      </c>
      <c r="K267" t="s">
        <v>284</v>
      </c>
      <c r="L267" t="s">
        <v>285</v>
      </c>
      <c r="M267" t="s">
        <v>559</v>
      </c>
      <c r="N267" t="s">
        <v>605</v>
      </c>
      <c r="O267" t="s">
        <v>267</v>
      </c>
      <c r="P267" t="s">
        <v>268</v>
      </c>
      <c r="Q267" t="s">
        <v>606</v>
      </c>
      <c r="R267">
        <v>61</v>
      </c>
      <c r="S267">
        <v>50</v>
      </c>
      <c r="T267">
        <v>34</v>
      </c>
      <c r="U267">
        <v>-1</v>
      </c>
      <c r="V267" t="b">
        <v>0</v>
      </c>
      <c r="W267" t="s">
        <v>298</v>
      </c>
      <c r="X267" t="s">
        <v>401</v>
      </c>
      <c r="Y267" t="s">
        <v>272</v>
      </c>
      <c r="Z267">
        <v>0.85</v>
      </c>
      <c r="AA267">
        <v>0.85</v>
      </c>
      <c r="AS267">
        <f t="shared" si="155"/>
        <v>10</v>
      </c>
      <c r="AT267" t="s">
        <v>273</v>
      </c>
      <c r="AU267" t="str">
        <f>$D268</f>
        <v>SSA_SOC_RASTER_E_BEGIN_TITO_SAQ_NOM_LFM_0600_HBO0_HBO_RASTER_HBO0_BP4</v>
      </c>
      <c r="AV267" t="str">
        <f>$D269</f>
        <v>SSA_SOC_HRY_E_BEGIN_TITO_SAQ_NOM_LFM_0600_HBO0_MUFASA0_BISR_HBO0_BP2</v>
      </c>
      <c r="AW267" t="str">
        <f t="shared" ref="AW267:BD267" si="158">$D269</f>
        <v>SSA_SOC_HRY_E_BEGIN_TITO_SAQ_NOM_LFM_0600_HBO0_MUFASA0_BISR_HBO0_BP2</v>
      </c>
      <c r="AX267" t="str">
        <f t="shared" si="158"/>
        <v>SSA_SOC_HRY_E_BEGIN_TITO_SAQ_NOM_LFM_0600_HBO0_MUFASA0_BISR_HBO0_BP2</v>
      </c>
      <c r="AY267" t="str">
        <f t="shared" si="158"/>
        <v>SSA_SOC_HRY_E_BEGIN_TITO_SAQ_NOM_LFM_0600_HBO0_MUFASA0_BISR_HBO0_BP2</v>
      </c>
      <c r="AZ267" t="str">
        <f t="shared" si="158"/>
        <v>SSA_SOC_HRY_E_BEGIN_TITO_SAQ_NOM_LFM_0600_HBO0_MUFASA0_BISR_HBO0_BP2</v>
      </c>
      <c r="BA267" t="str">
        <f t="shared" si="158"/>
        <v>SSA_SOC_HRY_E_BEGIN_TITO_SAQ_NOM_LFM_0600_HBO0_MUFASA0_BISR_HBO0_BP2</v>
      </c>
      <c r="BB267" t="str">
        <f t="shared" si="158"/>
        <v>SSA_SOC_HRY_E_BEGIN_TITO_SAQ_NOM_LFM_0600_HBO0_MUFASA0_BISR_HBO0_BP2</v>
      </c>
      <c r="BC267" t="str">
        <f t="shared" si="158"/>
        <v>SSA_SOC_HRY_E_BEGIN_TITO_SAQ_NOM_LFM_0600_HBO0_MUFASA0_BISR_HBO0_BP2</v>
      </c>
      <c r="BD267" t="str">
        <f t="shared" si="158"/>
        <v>SSA_SOC_HRY_E_BEGIN_TITO_SAQ_NOM_LFM_0600_HBO0_MUFASA0_BISR_HBO0_BP2</v>
      </c>
    </row>
    <row r="268" spans="1:56" x14ac:dyDescent="0.35">
      <c r="A268" s="28" t="s">
        <v>12</v>
      </c>
      <c r="B268" s="28" t="s">
        <v>56</v>
      </c>
      <c r="C268" s="28" t="str">
        <f>VLOOKUP(B268,templateLookup!A:B,2,0)</f>
        <v>MbistRasterTC</v>
      </c>
      <c r="D268" t="str">
        <f t="shared" si="156"/>
        <v>SSA_SOC_RASTER_E_BEGIN_TITO_SAQ_NOM_LFM_0600_HBO0_HBO_RASTER_HBO0_BP4</v>
      </c>
      <c r="E268" t="s">
        <v>4</v>
      </c>
      <c r="F268" t="s">
        <v>27</v>
      </c>
      <c r="G268" t="s">
        <v>289</v>
      </c>
      <c r="H268" t="s">
        <v>207</v>
      </c>
      <c r="I268" t="s">
        <v>260</v>
      </c>
      <c r="J268" t="s">
        <v>558</v>
      </c>
      <c r="K268" t="s">
        <v>284</v>
      </c>
      <c r="L268" t="s">
        <v>285</v>
      </c>
      <c r="M268" t="s">
        <v>559</v>
      </c>
      <c r="N268" t="s">
        <v>607</v>
      </c>
      <c r="O268" t="s">
        <v>267</v>
      </c>
      <c r="P268" t="s">
        <v>268</v>
      </c>
      <c r="Q268" t="s">
        <v>291</v>
      </c>
      <c r="R268">
        <v>61</v>
      </c>
      <c r="S268">
        <v>50</v>
      </c>
      <c r="T268">
        <v>35</v>
      </c>
      <c r="U268">
        <v>1</v>
      </c>
      <c r="V268" t="b">
        <v>0</v>
      </c>
      <c r="W268" t="s">
        <v>298</v>
      </c>
      <c r="AS268">
        <f t="shared" si="155"/>
        <v>5</v>
      </c>
      <c r="AT268">
        <v>1</v>
      </c>
      <c r="AU268" t="str">
        <f>$D269</f>
        <v>SSA_SOC_HRY_E_BEGIN_TITO_SAQ_NOM_LFM_0600_HBO0_MUFASA0_BISR_HBO0_BP2</v>
      </c>
      <c r="AV268" t="str">
        <f t="shared" ref="AV268" si="159">$D269</f>
        <v>SSA_SOC_HRY_E_BEGIN_TITO_SAQ_NOM_LFM_0600_HBO0_MUFASA0_BISR_HBO0_BP2</v>
      </c>
      <c r="AW268" t="str">
        <f t="shared" ref="AW268" si="160">$D269</f>
        <v>SSA_SOC_HRY_E_BEGIN_TITO_SAQ_NOM_LFM_0600_HBO0_MUFASA0_BISR_HBO0_BP2</v>
      </c>
      <c r="AX268" t="str">
        <f t="shared" ref="AX268" si="161">$D269</f>
        <v>SSA_SOC_HRY_E_BEGIN_TITO_SAQ_NOM_LFM_0600_HBO0_MUFASA0_BISR_HBO0_BP2</v>
      </c>
      <c r="AY268" t="str">
        <f t="shared" ref="AY268" si="162">$D269</f>
        <v>SSA_SOC_HRY_E_BEGIN_TITO_SAQ_NOM_LFM_0600_HBO0_MUFASA0_BISR_HBO0_BP2</v>
      </c>
    </row>
    <row r="269" spans="1:56" x14ac:dyDescent="0.35">
      <c r="A269" s="28" t="s">
        <v>12</v>
      </c>
      <c r="B269" s="28" t="s">
        <v>54</v>
      </c>
      <c r="C269" s="28" t="str">
        <f>VLOOKUP(B269,templateLookup!A:B,2,0)</f>
        <v>PrimeMbistVminSearchTestMethod</v>
      </c>
      <c r="D269" t="str">
        <f t="shared" si="156"/>
        <v>SSA_SOC_HRY_E_BEGIN_TITO_SAQ_NOM_LFM_0600_HBO0_MUFASA0_BISR_HBO0_BP2</v>
      </c>
      <c r="E269" t="s">
        <v>4</v>
      </c>
      <c r="F269" t="s">
        <v>27</v>
      </c>
      <c r="G269" t="s">
        <v>271</v>
      </c>
      <c r="H269" t="s">
        <v>207</v>
      </c>
      <c r="I269" t="s">
        <v>260</v>
      </c>
      <c r="J269" t="s">
        <v>558</v>
      </c>
      <c r="K269" t="s">
        <v>284</v>
      </c>
      <c r="L269" t="s">
        <v>285</v>
      </c>
      <c r="M269" t="s">
        <v>559</v>
      </c>
      <c r="N269" t="s">
        <v>609</v>
      </c>
      <c r="O269" t="s">
        <v>267</v>
      </c>
      <c r="P269" t="s">
        <v>268</v>
      </c>
      <c r="Q269" t="s">
        <v>608</v>
      </c>
      <c r="R269">
        <v>61</v>
      </c>
      <c r="S269">
        <v>50</v>
      </c>
      <c r="T269">
        <v>37</v>
      </c>
      <c r="U269">
        <v>-1</v>
      </c>
      <c r="V269" t="b">
        <v>0</v>
      </c>
      <c r="W269" t="s">
        <v>298</v>
      </c>
      <c r="X269" t="s">
        <v>271</v>
      </c>
      <c r="Y269" t="s">
        <v>272</v>
      </c>
      <c r="Z269">
        <v>0.85</v>
      </c>
      <c r="AA269">
        <v>0.85</v>
      </c>
      <c r="AS269">
        <f t="shared" si="155"/>
        <v>10</v>
      </c>
      <c r="AT269" t="s">
        <v>273</v>
      </c>
      <c r="AU269" t="str">
        <f>$D270</f>
        <v>SSA_SOC_RASTER_E_BEGIN_TITO_SAQ_NOM_LFM_0600_HBO0_MUFASA0_RASTER_HBO0_BP2</v>
      </c>
      <c r="AV269" t="str">
        <f>$D271</f>
        <v>SSA_SOC_HRY_E_BEGIN_TITO_SAQ_NOM_LFM_0600_HBO0_MUFASA1_BISR_HBO0_BP3</v>
      </c>
      <c r="AW269" t="str">
        <f t="shared" ref="AW269:BD269" si="163">$D271</f>
        <v>SSA_SOC_HRY_E_BEGIN_TITO_SAQ_NOM_LFM_0600_HBO0_MUFASA1_BISR_HBO0_BP3</v>
      </c>
      <c r="AX269" t="str">
        <f t="shared" si="163"/>
        <v>SSA_SOC_HRY_E_BEGIN_TITO_SAQ_NOM_LFM_0600_HBO0_MUFASA1_BISR_HBO0_BP3</v>
      </c>
      <c r="AY269" t="str">
        <f t="shared" si="163"/>
        <v>SSA_SOC_HRY_E_BEGIN_TITO_SAQ_NOM_LFM_0600_HBO0_MUFASA1_BISR_HBO0_BP3</v>
      </c>
      <c r="AZ269" t="str">
        <f t="shared" si="163"/>
        <v>SSA_SOC_HRY_E_BEGIN_TITO_SAQ_NOM_LFM_0600_HBO0_MUFASA1_BISR_HBO0_BP3</v>
      </c>
      <c r="BA269" t="str">
        <f t="shared" si="163"/>
        <v>SSA_SOC_HRY_E_BEGIN_TITO_SAQ_NOM_LFM_0600_HBO0_MUFASA1_BISR_HBO0_BP3</v>
      </c>
      <c r="BB269" t="str">
        <f t="shared" si="163"/>
        <v>SSA_SOC_HRY_E_BEGIN_TITO_SAQ_NOM_LFM_0600_HBO0_MUFASA1_BISR_HBO0_BP3</v>
      </c>
      <c r="BC269" t="str">
        <f t="shared" si="163"/>
        <v>SSA_SOC_HRY_E_BEGIN_TITO_SAQ_NOM_LFM_0600_HBO0_MUFASA1_BISR_HBO0_BP3</v>
      </c>
      <c r="BD269" t="str">
        <f t="shared" si="163"/>
        <v>SSA_SOC_HRY_E_BEGIN_TITO_SAQ_NOM_LFM_0600_HBO0_MUFASA1_BISR_HBO0_BP3</v>
      </c>
    </row>
    <row r="270" spans="1:56" x14ac:dyDescent="0.35">
      <c r="A270" s="28" t="s">
        <v>12</v>
      </c>
      <c r="B270" s="28" t="s">
        <v>56</v>
      </c>
      <c r="C270" s="28" t="str">
        <f>VLOOKUP(B270,templateLookup!A:B,2,0)</f>
        <v>MbistRasterTC</v>
      </c>
      <c r="D270" t="str">
        <f t="shared" si="156"/>
        <v>SSA_SOC_RASTER_E_BEGIN_TITO_SAQ_NOM_LFM_0600_HBO0_MUFASA0_RASTER_HBO0_BP2</v>
      </c>
      <c r="E270" t="s">
        <v>4</v>
      </c>
      <c r="F270" t="s">
        <v>27</v>
      </c>
      <c r="G270" t="s">
        <v>289</v>
      </c>
      <c r="H270" t="s">
        <v>207</v>
      </c>
      <c r="I270" t="s">
        <v>260</v>
      </c>
      <c r="J270" t="s">
        <v>558</v>
      </c>
      <c r="K270" t="s">
        <v>284</v>
      </c>
      <c r="L270" t="s">
        <v>285</v>
      </c>
      <c r="M270" t="s">
        <v>559</v>
      </c>
      <c r="N270" t="s">
        <v>610</v>
      </c>
      <c r="O270" t="s">
        <v>267</v>
      </c>
      <c r="P270" t="s">
        <v>268</v>
      </c>
      <c r="Q270" t="s">
        <v>291</v>
      </c>
      <c r="R270">
        <v>61</v>
      </c>
      <c r="S270">
        <v>50</v>
      </c>
      <c r="T270">
        <v>38</v>
      </c>
      <c r="U270">
        <v>1</v>
      </c>
      <c r="V270" t="b">
        <v>0</v>
      </c>
      <c r="W270" t="s">
        <v>298</v>
      </c>
      <c r="AS270">
        <f t="shared" si="155"/>
        <v>5</v>
      </c>
      <c r="AT270">
        <v>1</v>
      </c>
      <c r="AU270" t="str">
        <f>$D271</f>
        <v>SSA_SOC_HRY_E_BEGIN_TITO_SAQ_NOM_LFM_0600_HBO0_MUFASA1_BISR_HBO0_BP3</v>
      </c>
      <c r="AV270" t="str">
        <f t="shared" ref="AV270" si="164">$D271</f>
        <v>SSA_SOC_HRY_E_BEGIN_TITO_SAQ_NOM_LFM_0600_HBO0_MUFASA1_BISR_HBO0_BP3</v>
      </c>
      <c r="AW270" t="str">
        <f t="shared" ref="AW270" si="165">$D271</f>
        <v>SSA_SOC_HRY_E_BEGIN_TITO_SAQ_NOM_LFM_0600_HBO0_MUFASA1_BISR_HBO0_BP3</v>
      </c>
      <c r="AX270" t="str">
        <f t="shared" ref="AX270" si="166">$D271</f>
        <v>SSA_SOC_HRY_E_BEGIN_TITO_SAQ_NOM_LFM_0600_HBO0_MUFASA1_BISR_HBO0_BP3</v>
      </c>
      <c r="AY270" t="str">
        <f t="shared" ref="AY270" si="167">$D271</f>
        <v>SSA_SOC_HRY_E_BEGIN_TITO_SAQ_NOM_LFM_0600_HBO0_MUFASA1_BISR_HBO0_BP3</v>
      </c>
    </row>
    <row r="271" spans="1:56" x14ac:dyDescent="0.35">
      <c r="A271" s="28" t="s">
        <v>12</v>
      </c>
      <c r="B271" s="28" t="s">
        <v>54</v>
      </c>
      <c r="C271" s="28" t="str">
        <f>VLOOKUP(B271,templateLookup!A:B,2,0)</f>
        <v>PrimeMbistVminSearchTestMethod</v>
      </c>
      <c r="D271" t="str">
        <f t="shared" si="156"/>
        <v>SSA_SOC_HRY_E_BEGIN_TITO_SAQ_NOM_LFM_0600_HBO0_MUFASA1_BISR_HBO0_BP3</v>
      </c>
      <c r="E271" t="s">
        <v>4</v>
      </c>
      <c r="F271" t="s">
        <v>27</v>
      </c>
      <c r="G271" t="s">
        <v>271</v>
      </c>
      <c r="H271" t="s">
        <v>207</v>
      </c>
      <c r="I271" t="s">
        <v>260</v>
      </c>
      <c r="J271" t="s">
        <v>558</v>
      </c>
      <c r="K271" t="s">
        <v>284</v>
      </c>
      <c r="L271" t="s">
        <v>285</v>
      </c>
      <c r="M271" t="s">
        <v>559</v>
      </c>
      <c r="N271" t="s">
        <v>612</v>
      </c>
      <c r="O271" t="s">
        <v>267</v>
      </c>
      <c r="P271" t="s">
        <v>268</v>
      </c>
      <c r="Q271" t="s">
        <v>611</v>
      </c>
      <c r="R271">
        <v>61</v>
      </c>
      <c r="S271">
        <v>50</v>
      </c>
      <c r="T271">
        <v>40</v>
      </c>
      <c r="U271">
        <v>-1</v>
      </c>
      <c r="V271" t="b">
        <v>0</v>
      </c>
      <c r="W271" t="s">
        <v>298</v>
      </c>
      <c r="X271" t="s">
        <v>271</v>
      </c>
      <c r="Y271" t="s">
        <v>272</v>
      </c>
      <c r="Z271">
        <v>0.85</v>
      </c>
      <c r="AA271">
        <v>0.85</v>
      </c>
      <c r="AS271">
        <f t="shared" si="155"/>
        <v>10</v>
      </c>
      <c r="AT271" t="s">
        <v>273</v>
      </c>
      <c r="AU271" t="str">
        <f>$D272</f>
        <v>SSA_SOC_RASTER_E_BEGIN_TITO_SAQ_NOM_LFM_0600_HBO0_MUFASA1_RASTER_HBO0_BP3</v>
      </c>
      <c r="AV271" t="str">
        <f>$D273</f>
        <v>SSA_SOC_HRY_E_BEGIN_TITO_SAQ_NOM_LFM_0600_HBO1_HBO_BHRY_HBO1_BP4</v>
      </c>
      <c r="AW271" t="str">
        <f t="shared" ref="AW271:BD271" si="168">$D273</f>
        <v>SSA_SOC_HRY_E_BEGIN_TITO_SAQ_NOM_LFM_0600_HBO1_HBO_BHRY_HBO1_BP4</v>
      </c>
      <c r="AX271" t="str">
        <f t="shared" si="168"/>
        <v>SSA_SOC_HRY_E_BEGIN_TITO_SAQ_NOM_LFM_0600_HBO1_HBO_BHRY_HBO1_BP4</v>
      </c>
      <c r="AY271" t="str">
        <f t="shared" si="168"/>
        <v>SSA_SOC_HRY_E_BEGIN_TITO_SAQ_NOM_LFM_0600_HBO1_HBO_BHRY_HBO1_BP4</v>
      </c>
      <c r="AZ271" t="str">
        <f t="shared" si="168"/>
        <v>SSA_SOC_HRY_E_BEGIN_TITO_SAQ_NOM_LFM_0600_HBO1_HBO_BHRY_HBO1_BP4</v>
      </c>
      <c r="BA271" t="str">
        <f t="shared" si="168"/>
        <v>SSA_SOC_HRY_E_BEGIN_TITO_SAQ_NOM_LFM_0600_HBO1_HBO_BHRY_HBO1_BP4</v>
      </c>
      <c r="BB271" t="str">
        <f t="shared" si="168"/>
        <v>SSA_SOC_HRY_E_BEGIN_TITO_SAQ_NOM_LFM_0600_HBO1_HBO_BHRY_HBO1_BP4</v>
      </c>
      <c r="BC271" t="str">
        <f t="shared" si="168"/>
        <v>SSA_SOC_HRY_E_BEGIN_TITO_SAQ_NOM_LFM_0600_HBO1_HBO_BHRY_HBO1_BP4</v>
      </c>
      <c r="BD271" t="str">
        <f t="shared" si="168"/>
        <v>SSA_SOC_HRY_E_BEGIN_TITO_SAQ_NOM_LFM_0600_HBO1_HBO_BHRY_HBO1_BP4</v>
      </c>
    </row>
    <row r="272" spans="1:56" x14ac:dyDescent="0.35">
      <c r="A272" s="28" t="s">
        <v>12</v>
      </c>
      <c r="B272" s="28" t="s">
        <v>56</v>
      </c>
      <c r="C272" s="28" t="str">
        <f>VLOOKUP(B272,templateLookup!A:B,2,0)</f>
        <v>MbistRasterTC</v>
      </c>
      <c r="D272" t="str">
        <f t="shared" si="156"/>
        <v>SSA_SOC_RASTER_E_BEGIN_TITO_SAQ_NOM_LFM_0600_HBO0_MUFASA1_RASTER_HBO0_BP3</v>
      </c>
      <c r="E272" t="s">
        <v>4</v>
      </c>
      <c r="F272" t="s">
        <v>27</v>
      </c>
      <c r="G272" t="s">
        <v>289</v>
      </c>
      <c r="H272" t="s">
        <v>207</v>
      </c>
      <c r="I272" t="s">
        <v>260</v>
      </c>
      <c r="J272" t="s">
        <v>558</v>
      </c>
      <c r="K272" t="s">
        <v>284</v>
      </c>
      <c r="L272" t="s">
        <v>285</v>
      </c>
      <c r="M272" t="s">
        <v>559</v>
      </c>
      <c r="N272" t="s">
        <v>613</v>
      </c>
      <c r="O272" t="s">
        <v>267</v>
      </c>
      <c r="P272" t="s">
        <v>268</v>
      </c>
      <c r="Q272" t="s">
        <v>291</v>
      </c>
      <c r="R272">
        <v>61</v>
      </c>
      <c r="S272">
        <v>50</v>
      </c>
      <c r="T272">
        <v>41</v>
      </c>
      <c r="U272">
        <v>1</v>
      </c>
      <c r="V272" t="b">
        <v>0</v>
      </c>
      <c r="W272" t="s">
        <v>298</v>
      </c>
      <c r="AS272">
        <f t="shared" si="155"/>
        <v>5</v>
      </c>
      <c r="AT272">
        <v>1</v>
      </c>
      <c r="AU272" t="str">
        <f>$D273</f>
        <v>SSA_SOC_HRY_E_BEGIN_TITO_SAQ_NOM_LFM_0600_HBO1_HBO_BHRY_HBO1_BP4</v>
      </c>
      <c r="AV272" t="str">
        <f t="shared" ref="AV272" si="169">$D273</f>
        <v>SSA_SOC_HRY_E_BEGIN_TITO_SAQ_NOM_LFM_0600_HBO1_HBO_BHRY_HBO1_BP4</v>
      </c>
      <c r="AW272" t="str">
        <f t="shared" ref="AW272:BB273" si="170">$D273</f>
        <v>SSA_SOC_HRY_E_BEGIN_TITO_SAQ_NOM_LFM_0600_HBO1_HBO_BHRY_HBO1_BP4</v>
      </c>
      <c r="AX272" t="str">
        <f t="shared" ref="AX272" si="171">$D273</f>
        <v>SSA_SOC_HRY_E_BEGIN_TITO_SAQ_NOM_LFM_0600_HBO1_HBO_BHRY_HBO1_BP4</v>
      </c>
      <c r="AY272" t="str">
        <f t="shared" ref="AY272" si="172">$D273</f>
        <v>SSA_SOC_HRY_E_BEGIN_TITO_SAQ_NOM_LFM_0600_HBO1_HBO_BHRY_HBO1_BP4</v>
      </c>
    </row>
    <row r="273" spans="1:56" x14ac:dyDescent="0.35">
      <c r="A273" s="28" t="s">
        <v>12</v>
      </c>
      <c r="B273" s="28" t="s">
        <v>54</v>
      </c>
      <c r="C273" s="28" t="str">
        <f>VLOOKUP(B273,templateLookup!A:B,2,0)</f>
        <v>PrimeMbistVminSearchTestMethod</v>
      </c>
      <c r="D273" t="str">
        <f t="shared" si="156"/>
        <v>SSA_SOC_HRY_E_BEGIN_TITO_SAQ_NOM_LFM_0600_HBO1_HBO_BHRY_HBO1_BP4</v>
      </c>
      <c r="E273" t="s">
        <v>4</v>
      </c>
      <c r="F273" t="s">
        <v>27</v>
      </c>
      <c r="G273" t="s">
        <v>271</v>
      </c>
      <c r="H273" t="s">
        <v>207</v>
      </c>
      <c r="I273" t="s">
        <v>260</v>
      </c>
      <c r="J273" t="s">
        <v>558</v>
      </c>
      <c r="K273" t="s">
        <v>284</v>
      </c>
      <c r="L273" t="s">
        <v>285</v>
      </c>
      <c r="M273" t="s">
        <v>559</v>
      </c>
      <c r="N273" t="s">
        <v>614</v>
      </c>
      <c r="O273" t="s">
        <v>267</v>
      </c>
      <c r="P273" t="s">
        <v>268</v>
      </c>
      <c r="Q273" t="s">
        <v>615</v>
      </c>
      <c r="R273">
        <v>61</v>
      </c>
      <c r="S273">
        <v>50</v>
      </c>
      <c r="T273">
        <v>42</v>
      </c>
      <c r="U273">
        <v>-1</v>
      </c>
      <c r="V273" t="b">
        <v>0</v>
      </c>
      <c r="W273" t="s">
        <v>298</v>
      </c>
      <c r="X273" t="s">
        <v>271</v>
      </c>
      <c r="Y273" t="s">
        <v>272</v>
      </c>
      <c r="Z273">
        <v>0.85</v>
      </c>
      <c r="AA273">
        <v>0.85</v>
      </c>
      <c r="AS273">
        <f t="shared" si="155"/>
        <v>10</v>
      </c>
      <c r="AT273" t="s">
        <v>273</v>
      </c>
      <c r="AU273" t="str">
        <f>$D274</f>
        <v>SSA_SOC_HRY_E_BEGIN_TITO_SAQ_NOM_LFM_0600_HBO1_HBO_BISR_HBO1_BP4</v>
      </c>
      <c r="AV273" t="str">
        <f>$D276</f>
        <v>SSA_SOC_HRY_E_BEGIN_TITO_SAQ_NOM_LFM_0600_HBO1_MUFASA0_BISR_HBO1_BP2</v>
      </c>
      <c r="AW273" t="str">
        <f t="shared" si="170"/>
        <v>SSA_SOC_HRY_E_BEGIN_TITO_SAQ_NOM_LFM_0600_HBO1_HBO_BISR_HBO1_BP4</v>
      </c>
      <c r="AX273" t="str">
        <f t="shared" si="170"/>
        <v>SSA_SOC_HRY_E_BEGIN_TITO_SAQ_NOM_LFM_0600_HBO1_HBO_BISR_HBO1_BP4</v>
      </c>
      <c r="AY273" t="str">
        <f t="shared" si="170"/>
        <v>SSA_SOC_HRY_E_BEGIN_TITO_SAQ_NOM_LFM_0600_HBO1_HBO_BISR_HBO1_BP4</v>
      </c>
      <c r="AZ273" t="str">
        <f t="shared" si="170"/>
        <v>SSA_SOC_HRY_E_BEGIN_TITO_SAQ_NOM_LFM_0600_HBO1_HBO_BISR_HBO1_BP4</v>
      </c>
      <c r="BA273" t="str">
        <f t="shared" si="170"/>
        <v>SSA_SOC_HRY_E_BEGIN_TITO_SAQ_NOM_LFM_0600_HBO1_HBO_BISR_HBO1_BP4</v>
      </c>
      <c r="BB273" t="str">
        <f t="shared" si="170"/>
        <v>SSA_SOC_HRY_E_BEGIN_TITO_SAQ_NOM_LFM_0600_HBO1_HBO_BISR_HBO1_BP4</v>
      </c>
      <c r="BC273" t="str">
        <f>$D276</f>
        <v>SSA_SOC_HRY_E_BEGIN_TITO_SAQ_NOM_LFM_0600_HBO1_MUFASA0_BISR_HBO1_BP2</v>
      </c>
      <c r="BD273" t="str">
        <f>$D274</f>
        <v>SSA_SOC_HRY_E_BEGIN_TITO_SAQ_NOM_LFM_0600_HBO1_HBO_BISR_HBO1_BP4</v>
      </c>
    </row>
    <row r="274" spans="1:56" x14ac:dyDescent="0.35">
      <c r="A274" s="28" t="s">
        <v>12</v>
      </c>
      <c r="B274" s="28" t="s">
        <v>54</v>
      </c>
      <c r="C274" s="28" t="str">
        <f>VLOOKUP(B274,templateLookup!A:B,2,0)</f>
        <v>PrimeMbistVminSearchTestMethod</v>
      </c>
      <c r="D274" t="str">
        <f t="shared" si="156"/>
        <v>SSA_SOC_HRY_E_BEGIN_TITO_SAQ_NOM_LFM_0600_HBO1_HBO_BISR_HBO1_BP4</v>
      </c>
      <c r="E274" t="s">
        <v>4</v>
      </c>
      <c r="F274" t="s">
        <v>27</v>
      </c>
      <c r="G274" t="s">
        <v>271</v>
      </c>
      <c r="H274" t="s">
        <v>207</v>
      </c>
      <c r="I274" t="s">
        <v>260</v>
      </c>
      <c r="J274" t="s">
        <v>558</v>
      </c>
      <c r="K274" t="s">
        <v>284</v>
      </c>
      <c r="L274" t="s">
        <v>285</v>
      </c>
      <c r="M274" t="s">
        <v>559</v>
      </c>
      <c r="N274" t="s">
        <v>616</v>
      </c>
      <c r="O274" t="s">
        <v>267</v>
      </c>
      <c r="P274" t="s">
        <v>268</v>
      </c>
      <c r="Q274" t="s">
        <v>617</v>
      </c>
      <c r="R274">
        <v>61</v>
      </c>
      <c r="S274">
        <v>50</v>
      </c>
      <c r="T274">
        <v>43</v>
      </c>
      <c r="U274">
        <v>-1</v>
      </c>
      <c r="V274" t="b">
        <v>0</v>
      </c>
      <c r="W274" t="s">
        <v>298</v>
      </c>
      <c r="X274" t="s">
        <v>401</v>
      </c>
      <c r="Y274" t="s">
        <v>272</v>
      </c>
      <c r="Z274">
        <v>0.85</v>
      </c>
      <c r="AA274">
        <v>0.85</v>
      </c>
      <c r="AS274">
        <f t="shared" si="155"/>
        <v>10</v>
      </c>
      <c r="AT274" t="s">
        <v>273</v>
      </c>
      <c r="AU274" t="str">
        <f>$D275</f>
        <v>SSA_SOC_RASTER_E_BEGIN_TITO_SAQ_NOM_LFM_0600_HBO1_HBO_RASTER_HBO1_BP4</v>
      </c>
      <c r="AV274" t="str">
        <f>$D276</f>
        <v>SSA_SOC_HRY_E_BEGIN_TITO_SAQ_NOM_LFM_0600_HBO1_MUFASA0_BISR_HBO1_BP2</v>
      </c>
      <c r="AW274" t="str">
        <f t="shared" ref="AW274:BD274" si="173">$D276</f>
        <v>SSA_SOC_HRY_E_BEGIN_TITO_SAQ_NOM_LFM_0600_HBO1_MUFASA0_BISR_HBO1_BP2</v>
      </c>
      <c r="AX274" t="str">
        <f t="shared" si="173"/>
        <v>SSA_SOC_HRY_E_BEGIN_TITO_SAQ_NOM_LFM_0600_HBO1_MUFASA0_BISR_HBO1_BP2</v>
      </c>
      <c r="AY274" t="str">
        <f t="shared" si="173"/>
        <v>SSA_SOC_HRY_E_BEGIN_TITO_SAQ_NOM_LFM_0600_HBO1_MUFASA0_BISR_HBO1_BP2</v>
      </c>
      <c r="AZ274" t="str">
        <f t="shared" si="173"/>
        <v>SSA_SOC_HRY_E_BEGIN_TITO_SAQ_NOM_LFM_0600_HBO1_MUFASA0_BISR_HBO1_BP2</v>
      </c>
      <c r="BA274" t="str">
        <f t="shared" si="173"/>
        <v>SSA_SOC_HRY_E_BEGIN_TITO_SAQ_NOM_LFM_0600_HBO1_MUFASA0_BISR_HBO1_BP2</v>
      </c>
      <c r="BB274" t="str">
        <f t="shared" si="173"/>
        <v>SSA_SOC_HRY_E_BEGIN_TITO_SAQ_NOM_LFM_0600_HBO1_MUFASA0_BISR_HBO1_BP2</v>
      </c>
      <c r="BC274" t="str">
        <f t="shared" si="173"/>
        <v>SSA_SOC_HRY_E_BEGIN_TITO_SAQ_NOM_LFM_0600_HBO1_MUFASA0_BISR_HBO1_BP2</v>
      </c>
      <c r="BD274" t="str">
        <f t="shared" si="173"/>
        <v>SSA_SOC_HRY_E_BEGIN_TITO_SAQ_NOM_LFM_0600_HBO1_MUFASA0_BISR_HBO1_BP2</v>
      </c>
    </row>
    <row r="275" spans="1:56" x14ac:dyDescent="0.35">
      <c r="A275" s="28" t="s">
        <v>12</v>
      </c>
      <c r="B275" s="28" t="s">
        <v>56</v>
      </c>
      <c r="C275" s="28" t="str">
        <f>VLOOKUP(B275,templateLookup!A:B,2,0)</f>
        <v>MbistRasterTC</v>
      </c>
      <c r="D275" t="str">
        <f t="shared" si="156"/>
        <v>SSA_SOC_RASTER_E_BEGIN_TITO_SAQ_NOM_LFM_0600_HBO1_HBO_RASTER_HBO1_BP4</v>
      </c>
      <c r="E275" t="s">
        <v>4</v>
      </c>
      <c r="F275" t="s">
        <v>27</v>
      </c>
      <c r="G275" t="s">
        <v>289</v>
      </c>
      <c r="H275" t="s">
        <v>207</v>
      </c>
      <c r="I275" t="s">
        <v>260</v>
      </c>
      <c r="J275" t="s">
        <v>558</v>
      </c>
      <c r="K275" t="s">
        <v>284</v>
      </c>
      <c r="L275" t="s">
        <v>285</v>
      </c>
      <c r="M275" t="s">
        <v>559</v>
      </c>
      <c r="N275" t="s">
        <v>618</v>
      </c>
      <c r="O275" t="s">
        <v>267</v>
      </c>
      <c r="P275" t="s">
        <v>268</v>
      </c>
      <c r="Q275" t="s">
        <v>291</v>
      </c>
      <c r="R275">
        <v>61</v>
      </c>
      <c r="S275">
        <v>50</v>
      </c>
      <c r="T275">
        <v>44</v>
      </c>
      <c r="U275">
        <v>1</v>
      </c>
      <c r="V275" t="b">
        <v>0</v>
      </c>
      <c r="W275" t="s">
        <v>298</v>
      </c>
      <c r="AS275">
        <f t="shared" si="155"/>
        <v>5</v>
      </c>
      <c r="AT275">
        <v>1</v>
      </c>
      <c r="AU275" t="str">
        <f>$D276</f>
        <v>SSA_SOC_HRY_E_BEGIN_TITO_SAQ_NOM_LFM_0600_HBO1_MUFASA0_BISR_HBO1_BP2</v>
      </c>
      <c r="AV275" t="str">
        <f t="shared" ref="AV275" si="174">$D276</f>
        <v>SSA_SOC_HRY_E_BEGIN_TITO_SAQ_NOM_LFM_0600_HBO1_MUFASA0_BISR_HBO1_BP2</v>
      </c>
      <c r="AW275" t="str">
        <f t="shared" ref="AW275" si="175">$D276</f>
        <v>SSA_SOC_HRY_E_BEGIN_TITO_SAQ_NOM_LFM_0600_HBO1_MUFASA0_BISR_HBO1_BP2</v>
      </c>
      <c r="AX275" t="str">
        <f t="shared" ref="AX275" si="176">$D276</f>
        <v>SSA_SOC_HRY_E_BEGIN_TITO_SAQ_NOM_LFM_0600_HBO1_MUFASA0_BISR_HBO1_BP2</v>
      </c>
      <c r="AY275" t="str">
        <f t="shared" ref="AY275" si="177">$D276</f>
        <v>SSA_SOC_HRY_E_BEGIN_TITO_SAQ_NOM_LFM_0600_HBO1_MUFASA0_BISR_HBO1_BP2</v>
      </c>
    </row>
    <row r="276" spans="1:56" x14ac:dyDescent="0.35">
      <c r="A276" s="28" t="s">
        <v>12</v>
      </c>
      <c r="B276" s="28" t="s">
        <v>54</v>
      </c>
      <c r="C276" s="28" t="str">
        <f>VLOOKUP(B276,templateLookup!A:B,2,0)</f>
        <v>PrimeMbistVminSearchTestMethod</v>
      </c>
      <c r="D276" t="str">
        <f t="shared" si="156"/>
        <v>SSA_SOC_HRY_E_BEGIN_TITO_SAQ_NOM_LFM_0600_HBO1_MUFASA0_BISR_HBO1_BP2</v>
      </c>
      <c r="E276" t="s">
        <v>4</v>
      </c>
      <c r="F276" t="s">
        <v>27</v>
      </c>
      <c r="G276" t="s">
        <v>271</v>
      </c>
      <c r="H276" t="s">
        <v>207</v>
      </c>
      <c r="I276" t="s">
        <v>260</v>
      </c>
      <c r="J276" t="s">
        <v>558</v>
      </c>
      <c r="K276" t="s">
        <v>284</v>
      </c>
      <c r="L276" t="s">
        <v>285</v>
      </c>
      <c r="M276" t="s">
        <v>559</v>
      </c>
      <c r="N276" t="s">
        <v>620</v>
      </c>
      <c r="O276" t="s">
        <v>267</v>
      </c>
      <c r="P276" t="s">
        <v>268</v>
      </c>
      <c r="Q276" t="s">
        <v>619</v>
      </c>
      <c r="R276">
        <v>61</v>
      </c>
      <c r="S276">
        <v>50</v>
      </c>
      <c r="T276">
        <v>46</v>
      </c>
      <c r="U276">
        <v>-1</v>
      </c>
      <c r="V276" t="b">
        <v>0</v>
      </c>
      <c r="W276" t="s">
        <v>298</v>
      </c>
      <c r="X276" t="s">
        <v>271</v>
      </c>
      <c r="Y276" t="s">
        <v>272</v>
      </c>
      <c r="Z276">
        <v>0.85</v>
      </c>
      <c r="AA276">
        <v>0.85</v>
      </c>
      <c r="AS276">
        <f t="shared" si="155"/>
        <v>10</v>
      </c>
      <c r="AT276" t="s">
        <v>273</v>
      </c>
      <c r="AU276" t="str">
        <f>$D277</f>
        <v>SSA_SOC_RASTER_E_BEGIN_TITO_SAQ_NOM_LFM_0600_HBO1_MUFASA0_RASTER_HBO1_BP2</v>
      </c>
      <c r="AV276" t="str">
        <f>$D278</f>
        <v>SSA_SOC_HRY_E_BEGIN_TITO_SAQ_NOM_LFM_0600_HBO1_MUFASA1_BISR_HBO1_BP3</v>
      </c>
      <c r="AW276" t="str">
        <f t="shared" ref="AW276:BD276" si="178">$D278</f>
        <v>SSA_SOC_HRY_E_BEGIN_TITO_SAQ_NOM_LFM_0600_HBO1_MUFASA1_BISR_HBO1_BP3</v>
      </c>
      <c r="AX276" t="str">
        <f t="shared" si="178"/>
        <v>SSA_SOC_HRY_E_BEGIN_TITO_SAQ_NOM_LFM_0600_HBO1_MUFASA1_BISR_HBO1_BP3</v>
      </c>
      <c r="AY276" t="str">
        <f t="shared" si="178"/>
        <v>SSA_SOC_HRY_E_BEGIN_TITO_SAQ_NOM_LFM_0600_HBO1_MUFASA1_BISR_HBO1_BP3</v>
      </c>
      <c r="AZ276" t="str">
        <f t="shared" si="178"/>
        <v>SSA_SOC_HRY_E_BEGIN_TITO_SAQ_NOM_LFM_0600_HBO1_MUFASA1_BISR_HBO1_BP3</v>
      </c>
      <c r="BA276" t="str">
        <f t="shared" si="178"/>
        <v>SSA_SOC_HRY_E_BEGIN_TITO_SAQ_NOM_LFM_0600_HBO1_MUFASA1_BISR_HBO1_BP3</v>
      </c>
      <c r="BB276" t="str">
        <f t="shared" si="178"/>
        <v>SSA_SOC_HRY_E_BEGIN_TITO_SAQ_NOM_LFM_0600_HBO1_MUFASA1_BISR_HBO1_BP3</v>
      </c>
      <c r="BC276" t="str">
        <f t="shared" si="178"/>
        <v>SSA_SOC_HRY_E_BEGIN_TITO_SAQ_NOM_LFM_0600_HBO1_MUFASA1_BISR_HBO1_BP3</v>
      </c>
      <c r="BD276" t="str">
        <f t="shared" si="178"/>
        <v>SSA_SOC_HRY_E_BEGIN_TITO_SAQ_NOM_LFM_0600_HBO1_MUFASA1_BISR_HBO1_BP3</v>
      </c>
    </row>
    <row r="277" spans="1:56" x14ac:dyDescent="0.35">
      <c r="A277" s="28" t="s">
        <v>12</v>
      </c>
      <c r="B277" s="28" t="s">
        <v>56</v>
      </c>
      <c r="C277" s="28" t="str">
        <f>VLOOKUP(B277,templateLookup!A:B,2,0)</f>
        <v>MbistRasterTC</v>
      </c>
      <c r="D277" t="str">
        <f t="shared" si="156"/>
        <v>SSA_SOC_RASTER_E_BEGIN_TITO_SAQ_NOM_LFM_0600_HBO1_MUFASA0_RASTER_HBO1_BP2</v>
      </c>
      <c r="E277" t="s">
        <v>4</v>
      </c>
      <c r="F277" t="s">
        <v>27</v>
      </c>
      <c r="G277" t="s">
        <v>289</v>
      </c>
      <c r="H277" t="s">
        <v>207</v>
      </c>
      <c r="I277" t="s">
        <v>260</v>
      </c>
      <c r="J277" t="s">
        <v>558</v>
      </c>
      <c r="K277" t="s">
        <v>284</v>
      </c>
      <c r="L277" t="s">
        <v>285</v>
      </c>
      <c r="M277" t="s">
        <v>559</v>
      </c>
      <c r="N277" t="s">
        <v>621</v>
      </c>
      <c r="O277" t="s">
        <v>267</v>
      </c>
      <c r="P277" t="s">
        <v>268</v>
      </c>
      <c r="Q277" t="s">
        <v>291</v>
      </c>
      <c r="R277">
        <v>61</v>
      </c>
      <c r="S277">
        <v>50</v>
      </c>
      <c r="T277">
        <v>47</v>
      </c>
      <c r="U277">
        <v>1</v>
      </c>
      <c r="V277" t="b">
        <v>0</v>
      </c>
      <c r="W277" t="s">
        <v>298</v>
      </c>
      <c r="AS277">
        <f t="shared" si="155"/>
        <v>5</v>
      </c>
      <c r="AT277">
        <v>1</v>
      </c>
      <c r="AU277" t="str">
        <f>$D278</f>
        <v>SSA_SOC_HRY_E_BEGIN_TITO_SAQ_NOM_LFM_0600_HBO1_MUFASA1_BISR_HBO1_BP3</v>
      </c>
      <c r="AV277" t="str">
        <f t="shared" ref="AV277" si="179">$D278</f>
        <v>SSA_SOC_HRY_E_BEGIN_TITO_SAQ_NOM_LFM_0600_HBO1_MUFASA1_BISR_HBO1_BP3</v>
      </c>
      <c r="AW277" t="str">
        <f t="shared" ref="AW277" si="180">$D278</f>
        <v>SSA_SOC_HRY_E_BEGIN_TITO_SAQ_NOM_LFM_0600_HBO1_MUFASA1_BISR_HBO1_BP3</v>
      </c>
      <c r="AX277" t="str">
        <f t="shared" ref="AX277" si="181">$D278</f>
        <v>SSA_SOC_HRY_E_BEGIN_TITO_SAQ_NOM_LFM_0600_HBO1_MUFASA1_BISR_HBO1_BP3</v>
      </c>
      <c r="AY277" t="str">
        <f t="shared" ref="AY277" si="182">$D278</f>
        <v>SSA_SOC_HRY_E_BEGIN_TITO_SAQ_NOM_LFM_0600_HBO1_MUFASA1_BISR_HBO1_BP3</v>
      </c>
    </row>
    <row r="278" spans="1:56" x14ac:dyDescent="0.35">
      <c r="A278" s="28" t="s">
        <v>12</v>
      </c>
      <c r="B278" s="28" t="s">
        <v>54</v>
      </c>
      <c r="C278" s="28" t="str">
        <f>VLOOKUP(B278,templateLookup!A:B,2,0)</f>
        <v>PrimeMbistVminSearchTestMethod</v>
      </c>
      <c r="D278" t="str">
        <f t="shared" si="156"/>
        <v>SSA_SOC_HRY_E_BEGIN_TITO_SAQ_NOM_LFM_0600_HBO1_MUFASA1_BISR_HBO1_BP3</v>
      </c>
      <c r="E278" t="s">
        <v>4</v>
      </c>
      <c r="F278" t="s">
        <v>27</v>
      </c>
      <c r="G278" t="s">
        <v>271</v>
      </c>
      <c r="H278" t="s">
        <v>207</v>
      </c>
      <c r="I278" t="s">
        <v>260</v>
      </c>
      <c r="J278" t="s">
        <v>558</v>
      </c>
      <c r="K278" t="s">
        <v>284</v>
      </c>
      <c r="L278" t="s">
        <v>285</v>
      </c>
      <c r="M278" t="s">
        <v>559</v>
      </c>
      <c r="N278" t="s">
        <v>623</v>
      </c>
      <c r="O278" t="s">
        <v>267</v>
      </c>
      <c r="P278" t="s">
        <v>268</v>
      </c>
      <c r="Q278" t="s">
        <v>622</v>
      </c>
      <c r="R278">
        <v>61</v>
      </c>
      <c r="S278">
        <v>50</v>
      </c>
      <c r="T278">
        <v>49</v>
      </c>
      <c r="U278">
        <v>-1</v>
      </c>
      <c r="V278" t="b">
        <v>0</v>
      </c>
      <c r="W278" t="s">
        <v>298</v>
      </c>
      <c r="X278" t="s">
        <v>271</v>
      </c>
      <c r="Y278" t="s">
        <v>272</v>
      </c>
      <c r="Z278">
        <v>0.85</v>
      </c>
      <c r="AA278">
        <v>0.85</v>
      </c>
      <c r="AS278">
        <f t="shared" si="155"/>
        <v>10</v>
      </c>
      <c r="AT278" t="s">
        <v>273</v>
      </c>
      <c r="AU278" t="str">
        <f t="shared" ref="AU278:AU284" si="183">$D279</f>
        <v>SSA_SOC_RASTER_E_BEGIN_TITO_SAQ_NOM_LFM_0600_HBO1_MUFASA1_RASTER_HBO1_BP3</v>
      </c>
      <c r="AV278" t="str">
        <f>$D280</f>
        <v>LSA_SOC_HRY_E_BEGIN_TITO_SAQ_NOM_LFM_0600_HBO0_HBO_BHRY_HBO0_BP4</v>
      </c>
      <c r="AW278" t="str">
        <f t="shared" ref="AW278:BB278" si="184">$D280</f>
        <v>LSA_SOC_HRY_E_BEGIN_TITO_SAQ_NOM_LFM_0600_HBO0_HBO_BHRY_HBO0_BP4</v>
      </c>
      <c r="AX278" t="str">
        <f t="shared" si="184"/>
        <v>LSA_SOC_HRY_E_BEGIN_TITO_SAQ_NOM_LFM_0600_HBO0_HBO_BHRY_HBO0_BP4</v>
      </c>
      <c r="AY278" t="str">
        <f t="shared" si="184"/>
        <v>LSA_SOC_HRY_E_BEGIN_TITO_SAQ_NOM_LFM_0600_HBO0_HBO_BHRY_HBO0_BP4</v>
      </c>
      <c r="AZ278" t="str">
        <f t="shared" si="184"/>
        <v>LSA_SOC_HRY_E_BEGIN_TITO_SAQ_NOM_LFM_0600_HBO0_HBO_BHRY_HBO0_BP4</v>
      </c>
      <c r="BA278" t="str">
        <f t="shared" si="184"/>
        <v>LSA_SOC_HRY_E_BEGIN_TITO_SAQ_NOM_LFM_0600_HBO0_HBO_BHRY_HBO0_BP4</v>
      </c>
      <c r="BB278" t="str">
        <f t="shared" si="184"/>
        <v>LSA_SOC_HRY_E_BEGIN_TITO_SAQ_NOM_LFM_0600_HBO0_HBO_BHRY_HBO0_BP4</v>
      </c>
      <c r="BC278" t="str">
        <f>$D280</f>
        <v>LSA_SOC_HRY_E_BEGIN_TITO_SAQ_NOM_LFM_0600_HBO0_HBO_BHRY_HBO0_BP4</v>
      </c>
      <c r="BD278" t="str">
        <f>$D280</f>
        <v>LSA_SOC_HRY_E_BEGIN_TITO_SAQ_NOM_LFM_0600_HBO0_HBO_BHRY_HBO0_BP4</v>
      </c>
    </row>
    <row r="279" spans="1:56" x14ac:dyDescent="0.35">
      <c r="A279" s="28" t="s">
        <v>12</v>
      </c>
      <c r="B279" s="28" t="s">
        <v>56</v>
      </c>
      <c r="C279" s="28" t="str">
        <f>VLOOKUP(B279,templateLookup!A:B,2,0)</f>
        <v>MbistRasterTC</v>
      </c>
      <c r="D279" t="str">
        <f t="shared" si="156"/>
        <v>SSA_SOC_RASTER_E_BEGIN_TITO_SAQ_NOM_LFM_0600_HBO1_MUFASA1_RASTER_HBO1_BP3</v>
      </c>
      <c r="E279" t="s">
        <v>4</v>
      </c>
      <c r="F279" t="s">
        <v>27</v>
      </c>
      <c r="G279" t="s">
        <v>289</v>
      </c>
      <c r="H279" t="s">
        <v>207</v>
      </c>
      <c r="I279" t="s">
        <v>260</v>
      </c>
      <c r="J279" t="s">
        <v>558</v>
      </c>
      <c r="K279" t="s">
        <v>284</v>
      </c>
      <c r="L279" t="s">
        <v>285</v>
      </c>
      <c r="M279" t="s">
        <v>559</v>
      </c>
      <c r="N279" t="s">
        <v>624</v>
      </c>
      <c r="O279" t="s">
        <v>267</v>
      </c>
      <c r="P279" t="s">
        <v>268</v>
      </c>
      <c r="Q279" t="s">
        <v>291</v>
      </c>
      <c r="R279">
        <v>61</v>
      </c>
      <c r="S279">
        <v>50</v>
      </c>
      <c r="T279">
        <v>50</v>
      </c>
      <c r="U279">
        <v>1</v>
      </c>
      <c r="V279" t="b">
        <v>0</v>
      </c>
      <c r="W279" t="s">
        <v>298</v>
      </c>
      <c r="AS279">
        <f t="shared" si="155"/>
        <v>5</v>
      </c>
      <c r="AT279">
        <v>1</v>
      </c>
      <c r="AU279" t="str">
        <f t="shared" si="183"/>
        <v>LSA_SOC_HRY_E_BEGIN_TITO_SAQ_NOM_LFM_0600_HBO0_HBO_BHRY_HBO0_BP4</v>
      </c>
      <c r="AV279" t="str">
        <f>$D280</f>
        <v>LSA_SOC_HRY_E_BEGIN_TITO_SAQ_NOM_LFM_0600_HBO0_HBO_BHRY_HBO0_BP4</v>
      </c>
      <c r="AW279" t="str">
        <f>$D280</f>
        <v>LSA_SOC_HRY_E_BEGIN_TITO_SAQ_NOM_LFM_0600_HBO0_HBO_BHRY_HBO0_BP4</v>
      </c>
      <c r="AX279" t="str">
        <f>$D280</f>
        <v>LSA_SOC_HRY_E_BEGIN_TITO_SAQ_NOM_LFM_0600_HBO0_HBO_BHRY_HBO0_BP4</v>
      </c>
      <c r="AY279" t="str">
        <f>$D280</f>
        <v>LSA_SOC_HRY_E_BEGIN_TITO_SAQ_NOM_LFM_0600_HBO0_HBO_BHRY_HBO0_BP4</v>
      </c>
    </row>
    <row r="280" spans="1:56" x14ac:dyDescent="0.35">
      <c r="A280" s="28" t="s">
        <v>12</v>
      </c>
      <c r="B280" s="28" t="s">
        <v>54</v>
      </c>
      <c r="C280" s="28" t="str">
        <f>VLOOKUP(B280,templateLookup!A:B,2,0)</f>
        <v>PrimeMbistVminSearchTestMethod</v>
      </c>
      <c r="D280" t="str">
        <f t="shared" si="156"/>
        <v>LSA_SOC_HRY_E_BEGIN_TITO_SAQ_NOM_LFM_0600_HBO0_HBO_BHRY_HBO0_BP4</v>
      </c>
      <c r="E280" t="s">
        <v>5</v>
      </c>
      <c r="F280" t="s">
        <v>27</v>
      </c>
      <c r="G280" t="s">
        <v>271</v>
      </c>
      <c r="H280" t="s">
        <v>207</v>
      </c>
      <c r="I280" t="s">
        <v>260</v>
      </c>
      <c r="J280" t="s">
        <v>558</v>
      </c>
      <c r="K280" t="s">
        <v>284</v>
      </c>
      <c r="L280" t="s">
        <v>285</v>
      </c>
      <c r="M280" t="s">
        <v>559</v>
      </c>
      <c r="N280" t="s">
        <v>603</v>
      </c>
      <c r="O280" t="s">
        <v>267</v>
      </c>
      <c r="P280" t="s">
        <v>268</v>
      </c>
      <c r="Q280" t="s">
        <v>625</v>
      </c>
      <c r="R280">
        <v>21</v>
      </c>
      <c r="S280">
        <v>50</v>
      </c>
      <c r="T280">
        <v>51</v>
      </c>
      <c r="U280">
        <v>-1</v>
      </c>
      <c r="V280" t="b">
        <v>0</v>
      </c>
      <c r="W280" t="s">
        <v>298</v>
      </c>
      <c r="X280" t="s">
        <v>271</v>
      </c>
      <c r="Y280" t="s">
        <v>272</v>
      </c>
      <c r="Z280">
        <v>0.85</v>
      </c>
      <c r="AA280">
        <v>0.85</v>
      </c>
      <c r="AS280">
        <f t="shared" si="155"/>
        <v>10</v>
      </c>
      <c r="AT280" t="s">
        <v>273</v>
      </c>
      <c r="AU280" t="str">
        <f t="shared" si="183"/>
        <v>LSA_SOC_HRY_E_BEGIN_TITO_SAQ_NOM_LFM_0600_HBO0_HBO_BISR_HBO0_BP4</v>
      </c>
      <c r="AV280" t="str">
        <f>$D283</f>
        <v>LSA_SOC_HRY_E_BEGIN_TITO_SAQ_NOM_LFM_0600_HBO1_HBO_BHRY_HBO1_BP4</v>
      </c>
      <c r="AW280" t="str">
        <f t="shared" ref="AW280:BB280" si="185">$D281</f>
        <v>LSA_SOC_HRY_E_BEGIN_TITO_SAQ_NOM_LFM_0600_HBO0_HBO_BISR_HBO0_BP4</v>
      </c>
      <c r="AX280" t="str">
        <f t="shared" si="185"/>
        <v>LSA_SOC_HRY_E_BEGIN_TITO_SAQ_NOM_LFM_0600_HBO0_HBO_BISR_HBO0_BP4</v>
      </c>
      <c r="AY280" t="str">
        <f t="shared" si="185"/>
        <v>LSA_SOC_HRY_E_BEGIN_TITO_SAQ_NOM_LFM_0600_HBO0_HBO_BISR_HBO0_BP4</v>
      </c>
      <c r="AZ280" t="str">
        <f t="shared" si="185"/>
        <v>LSA_SOC_HRY_E_BEGIN_TITO_SAQ_NOM_LFM_0600_HBO0_HBO_BISR_HBO0_BP4</v>
      </c>
      <c r="BA280" t="str">
        <f t="shared" si="185"/>
        <v>LSA_SOC_HRY_E_BEGIN_TITO_SAQ_NOM_LFM_0600_HBO0_HBO_BISR_HBO0_BP4</v>
      </c>
      <c r="BB280" t="str">
        <f t="shared" si="185"/>
        <v>LSA_SOC_HRY_E_BEGIN_TITO_SAQ_NOM_LFM_0600_HBO0_HBO_BISR_HBO0_BP4</v>
      </c>
      <c r="BC280" t="str">
        <f>$D283</f>
        <v>LSA_SOC_HRY_E_BEGIN_TITO_SAQ_NOM_LFM_0600_HBO1_HBO_BHRY_HBO1_BP4</v>
      </c>
      <c r="BD280" t="str">
        <f>$D281</f>
        <v>LSA_SOC_HRY_E_BEGIN_TITO_SAQ_NOM_LFM_0600_HBO0_HBO_BISR_HBO0_BP4</v>
      </c>
    </row>
    <row r="281" spans="1:56" x14ac:dyDescent="0.35">
      <c r="A281" s="28" t="s">
        <v>12</v>
      </c>
      <c r="B281" s="28" t="s">
        <v>54</v>
      </c>
      <c r="C281" s="28" t="str">
        <f>VLOOKUP(B281,templateLookup!A:B,2,0)</f>
        <v>PrimeMbistVminSearchTestMethod</v>
      </c>
      <c r="D281" t="str">
        <f t="shared" si="156"/>
        <v>LSA_SOC_HRY_E_BEGIN_TITO_SAQ_NOM_LFM_0600_HBO0_HBO_BISR_HBO0_BP4</v>
      </c>
      <c r="E281" t="s">
        <v>5</v>
      </c>
      <c r="F281" t="s">
        <v>27</v>
      </c>
      <c r="G281" t="s">
        <v>271</v>
      </c>
      <c r="H281" t="s">
        <v>207</v>
      </c>
      <c r="I281" t="s">
        <v>260</v>
      </c>
      <c r="J281" t="s">
        <v>558</v>
      </c>
      <c r="K281" t="s">
        <v>284</v>
      </c>
      <c r="L281" t="s">
        <v>285</v>
      </c>
      <c r="M281" t="s">
        <v>559</v>
      </c>
      <c r="N281" t="s">
        <v>605</v>
      </c>
      <c r="O281" t="s">
        <v>267</v>
      </c>
      <c r="P281" t="s">
        <v>268</v>
      </c>
      <c r="Q281" t="s">
        <v>626</v>
      </c>
      <c r="R281">
        <v>21</v>
      </c>
      <c r="S281">
        <v>50</v>
      </c>
      <c r="T281">
        <v>52</v>
      </c>
      <c r="U281">
        <v>-1</v>
      </c>
      <c r="V281" t="b">
        <v>0</v>
      </c>
      <c r="W281" t="s">
        <v>298</v>
      </c>
      <c r="X281" t="s">
        <v>401</v>
      </c>
      <c r="Y281" t="s">
        <v>272</v>
      </c>
      <c r="Z281">
        <v>0.85</v>
      </c>
      <c r="AA281">
        <v>0.85</v>
      </c>
      <c r="AS281">
        <f t="shared" si="155"/>
        <v>10</v>
      </c>
      <c r="AT281" t="s">
        <v>273</v>
      </c>
      <c r="AU281" t="str">
        <f t="shared" si="183"/>
        <v>LSA_SOC_RASTER_E_BEGIN_TITO_SAQ_NOM_LFM_0600_HBO0_HBO_RASTER_HBO0_BP4</v>
      </c>
      <c r="AV281" t="str">
        <f t="shared" ref="AV281:BD281" si="186">$D283</f>
        <v>LSA_SOC_HRY_E_BEGIN_TITO_SAQ_NOM_LFM_0600_HBO1_HBO_BHRY_HBO1_BP4</v>
      </c>
      <c r="AW281" t="str">
        <f t="shared" si="186"/>
        <v>LSA_SOC_HRY_E_BEGIN_TITO_SAQ_NOM_LFM_0600_HBO1_HBO_BHRY_HBO1_BP4</v>
      </c>
      <c r="AX281" t="str">
        <f t="shared" si="186"/>
        <v>LSA_SOC_HRY_E_BEGIN_TITO_SAQ_NOM_LFM_0600_HBO1_HBO_BHRY_HBO1_BP4</v>
      </c>
      <c r="AY281" t="str">
        <f t="shared" si="186"/>
        <v>LSA_SOC_HRY_E_BEGIN_TITO_SAQ_NOM_LFM_0600_HBO1_HBO_BHRY_HBO1_BP4</v>
      </c>
      <c r="AZ281" t="str">
        <f t="shared" si="186"/>
        <v>LSA_SOC_HRY_E_BEGIN_TITO_SAQ_NOM_LFM_0600_HBO1_HBO_BHRY_HBO1_BP4</v>
      </c>
      <c r="BA281" t="str">
        <f t="shared" si="186"/>
        <v>LSA_SOC_HRY_E_BEGIN_TITO_SAQ_NOM_LFM_0600_HBO1_HBO_BHRY_HBO1_BP4</v>
      </c>
      <c r="BB281" t="str">
        <f t="shared" si="186"/>
        <v>LSA_SOC_HRY_E_BEGIN_TITO_SAQ_NOM_LFM_0600_HBO1_HBO_BHRY_HBO1_BP4</v>
      </c>
      <c r="BC281" t="str">
        <f t="shared" si="186"/>
        <v>LSA_SOC_HRY_E_BEGIN_TITO_SAQ_NOM_LFM_0600_HBO1_HBO_BHRY_HBO1_BP4</v>
      </c>
      <c r="BD281" t="str">
        <f t="shared" si="186"/>
        <v>LSA_SOC_HRY_E_BEGIN_TITO_SAQ_NOM_LFM_0600_HBO1_HBO_BHRY_HBO1_BP4</v>
      </c>
    </row>
    <row r="282" spans="1:56" x14ac:dyDescent="0.35">
      <c r="A282" s="28" t="s">
        <v>12</v>
      </c>
      <c r="B282" s="28" t="s">
        <v>56</v>
      </c>
      <c r="C282" s="28" t="str">
        <f>VLOOKUP(B282,templateLookup!A:B,2,0)</f>
        <v>MbistRasterTC</v>
      </c>
      <c r="D282" t="str">
        <f t="shared" si="156"/>
        <v>LSA_SOC_RASTER_E_BEGIN_TITO_SAQ_NOM_LFM_0600_HBO0_HBO_RASTER_HBO0_BP4</v>
      </c>
      <c r="E282" t="s">
        <v>5</v>
      </c>
      <c r="F282" t="s">
        <v>27</v>
      </c>
      <c r="G282" t="s">
        <v>289</v>
      </c>
      <c r="H282" t="s">
        <v>207</v>
      </c>
      <c r="I282" t="s">
        <v>260</v>
      </c>
      <c r="J282" t="s">
        <v>558</v>
      </c>
      <c r="K282" t="s">
        <v>284</v>
      </c>
      <c r="L282" t="s">
        <v>285</v>
      </c>
      <c r="M282" t="s">
        <v>559</v>
      </c>
      <c r="N282" t="s">
        <v>607</v>
      </c>
      <c r="O282" t="s">
        <v>267</v>
      </c>
      <c r="P282" t="s">
        <v>268</v>
      </c>
      <c r="Q282" t="s">
        <v>291</v>
      </c>
      <c r="R282">
        <v>21</v>
      </c>
      <c r="S282">
        <v>50</v>
      </c>
      <c r="T282">
        <v>53</v>
      </c>
      <c r="U282">
        <v>1</v>
      </c>
      <c r="V282" t="b">
        <v>0</v>
      </c>
      <c r="W282" t="s">
        <v>298</v>
      </c>
      <c r="AS282">
        <f t="shared" si="155"/>
        <v>5</v>
      </c>
      <c r="AT282">
        <v>1</v>
      </c>
      <c r="AU282" t="str">
        <f t="shared" si="183"/>
        <v>LSA_SOC_HRY_E_BEGIN_TITO_SAQ_NOM_LFM_0600_HBO1_HBO_BHRY_HBO1_BP4</v>
      </c>
      <c r="AV282" t="str">
        <f>$D283</f>
        <v>LSA_SOC_HRY_E_BEGIN_TITO_SAQ_NOM_LFM_0600_HBO1_HBO_BHRY_HBO1_BP4</v>
      </c>
      <c r="AW282" t="str">
        <f>$D283</f>
        <v>LSA_SOC_HRY_E_BEGIN_TITO_SAQ_NOM_LFM_0600_HBO1_HBO_BHRY_HBO1_BP4</v>
      </c>
      <c r="AX282" t="str">
        <f>$D283</f>
        <v>LSA_SOC_HRY_E_BEGIN_TITO_SAQ_NOM_LFM_0600_HBO1_HBO_BHRY_HBO1_BP4</v>
      </c>
      <c r="AY282" t="str">
        <f>$D283</f>
        <v>LSA_SOC_HRY_E_BEGIN_TITO_SAQ_NOM_LFM_0600_HBO1_HBO_BHRY_HBO1_BP4</v>
      </c>
    </row>
    <row r="283" spans="1:56" x14ac:dyDescent="0.35">
      <c r="A283" s="28" t="s">
        <v>12</v>
      </c>
      <c r="B283" s="28" t="s">
        <v>54</v>
      </c>
      <c r="C283" s="28" t="str">
        <f>VLOOKUP(B283,templateLookup!A:B,2,0)</f>
        <v>PrimeMbistVminSearchTestMethod</v>
      </c>
      <c r="D283" t="str">
        <f t="shared" si="156"/>
        <v>LSA_SOC_HRY_E_BEGIN_TITO_SAQ_NOM_LFM_0600_HBO1_HBO_BHRY_HBO1_BP4</v>
      </c>
      <c r="E283" t="s">
        <v>5</v>
      </c>
      <c r="F283" t="s">
        <v>27</v>
      </c>
      <c r="G283" t="s">
        <v>271</v>
      </c>
      <c r="H283" t="s">
        <v>207</v>
      </c>
      <c r="I283" t="s">
        <v>260</v>
      </c>
      <c r="J283" t="s">
        <v>558</v>
      </c>
      <c r="K283" t="s">
        <v>284</v>
      </c>
      <c r="L283" t="s">
        <v>285</v>
      </c>
      <c r="M283" t="s">
        <v>559</v>
      </c>
      <c r="N283" t="s">
        <v>614</v>
      </c>
      <c r="O283" t="s">
        <v>267</v>
      </c>
      <c r="P283" t="s">
        <v>268</v>
      </c>
      <c r="Q283" t="s">
        <v>627</v>
      </c>
      <c r="R283">
        <v>21</v>
      </c>
      <c r="S283">
        <v>50</v>
      </c>
      <c r="T283">
        <v>54</v>
      </c>
      <c r="U283">
        <v>-1</v>
      </c>
      <c r="V283" t="b">
        <v>0</v>
      </c>
      <c r="W283" t="s">
        <v>298</v>
      </c>
      <c r="X283" t="s">
        <v>271</v>
      </c>
      <c r="Y283" t="s">
        <v>272</v>
      </c>
      <c r="Z283">
        <v>0.85</v>
      </c>
      <c r="AA283">
        <v>0.85</v>
      </c>
      <c r="AS283">
        <f t="shared" si="155"/>
        <v>10</v>
      </c>
      <c r="AT283" t="s">
        <v>273</v>
      </c>
      <c r="AU283" t="str">
        <f t="shared" si="183"/>
        <v>LSA_SOC_HRY_E_BEGIN_TITO_SAQ_NOM_LFM_0600_HBO1_HBO_BISR_HBO1_BP4</v>
      </c>
      <c r="AV283">
        <v>1</v>
      </c>
      <c r="AW283" t="str">
        <f t="shared" ref="AW283:BB283" si="187">$D284</f>
        <v>LSA_SOC_HRY_E_BEGIN_TITO_SAQ_NOM_LFM_0600_HBO1_HBO_BISR_HBO1_BP4</v>
      </c>
      <c r="AX283" t="str">
        <f t="shared" si="187"/>
        <v>LSA_SOC_HRY_E_BEGIN_TITO_SAQ_NOM_LFM_0600_HBO1_HBO_BISR_HBO1_BP4</v>
      </c>
      <c r="AY283" t="str">
        <f t="shared" si="187"/>
        <v>LSA_SOC_HRY_E_BEGIN_TITO_SAQ_NOM_LFM_0600_HBO1_HBO_BISR_HBO1_BP4</v>
      </c>
      <c r="AZ283" t="str">
        <f t="shared" si="187"/>
        <v>LSA_SOC_HRY_E_BEGIN_TITO_SAQ_NOM_LFM_0600_HBO1_HBO_BISR_HBO1_BP4</v>
      </c>
      <c r="BA283" t="str">
        <f t="shared" si="187"/>
        <v>LSA_SOC_HRY_E_BEGIN_TITO_SAQ_NOM_LFM_0600_HBO1_HBO_BISR_HBO1_BP4</v>
      </c>
      <c r="BB283" t="str">
        <f t="shared" si="187"/>
        <v>LSA_SOC_HRY_E_BEGIN_TITO_SAQ_NOM_LFM_0600_HBO1_HBO_BISR_HBO1_BP4</v>
      </c>
      <c r="BC283">
        <v>1</v>
      </c>
      <c r="BD283" t="str">
        <f>$D284</f>
        <v>LSA_SOC_HRY_E_BEGIN_TITO_SAQ_NOM_LFM_0600_HBO1_HBO_BISR_HBO1_BP4</v>
      </c>
    </row>
    <row r="284" spans="1:56" x14ac:dyDescent="0.35">
      <c r="A284" s="28" t="s">
        <v>12</v>
      </c>
      <c r="B284" s="28" t="s">
        <v>54</v>
      </c>
      <c r="C284" s="28" t="str">
        <f>VLOOKUP(B284,templateLookup!A:B,2,0)</f>
        <v>PrimeMbistVminSearchTestMethod</v>
      </c>
      <c r="D284" t="str">
        <f t="shared" si="156"/>
        <v>LSA_SOC_HRY_E_BEGIN_TITO_SAQ_NOM_LFM_0600_HBO1_HBO_BISR_HBO1_BP4</v>
      </c>
      <c r="E284" t="s">
        <v>5</v>
      </c>
      <c r="F284" t="s">
        <v>27</v>
      </c>
      <c r="G284" t="s">
        <v>271</v>
      </c>
      <c r="H284" t="s">
        <v>207</v>
      </c>
      <c r="I284" t="s">
        <v>260</v>
      </c>
      <c r="J284" t="s">
        <v>558</v>
      </c>
      <c r="K284" t="s">
        <v>284</v>
      </c>
      <c r="L284" t="s">
        <v>285</v>
      </c>
      <c r="M284" t="s">
        <v>559</v>
      </c>
      <c r="N284" t="s">
        <v>616</v>
      </c>
      <c r="O284" t="s">
        <v>267</v>
      </c>
      <c r="P284" t="s">
        <v>268</v>
      </c>
      <c r="Q284" t="s">
        <v>628</v>
      </c>
      <c r="R284">
        <v>21</v>
      </c>
      <c r="S284">
        <v>50</v>
      </c>
      <c r="T284">
        <v>55</v>
      </c>
      <c r="U284">
        <v>-1</v>
      </c>
      <c r="V284" t="b">
        <v>0</v>
      </c>
      <c r="W284" t="s">
        <v>298</v>
      </c>
      <c r="X284" t="s">
        <v>401</v>
      </c>
      <c r="Y284" t="s">
        <v>272</v>
      </c>
      <c r="Z284">
        <v>0.85</v>
      </c>
      <c r="AA284">
        <v>0.85</v>
      </c>
      <c r="AS284">
        <f t="shared" si="155"/>
        <v>10</v>
      </c>
      <c r="AT284" t="s">
        <v>273</v>
      </c>
      <c r="AU284" t="str">
        <f t="shared" si="183"/>
        <v>LSA_SOC_RASTER_E_BEGIN_TITO_SAQ_NOM_LFM_0600_HBO1_HBO_RASTER_HBO1_BP4</v>
      </c>
      <c r="AV284">
        <v>1</v>
      </c>
      <c r="AW284">
        <v>1</v>
      </c>
      <c r="AX284">
        <v>1</v>
      </c>
      <c r="AY284">
        <v>1</v>
      </c>
      <c r="AZ284">
        <v>1</v>
      </c>
      <c r="BA284">
        <v>1</v>
      </c>
      <c r="BB284">
        <v>1</v>
      </c>
      <c r="BC284">
        <v>1</v>
      </c>
      <c r="BD284">
        <v>1</v>
      </c>
    </row>
    <row r="285" spans="1:56" x14ac:dyDescent="0.35">
      <c r="A285" s="28" t="s">
        <v>12</v>
      </c>
      <c r="B285" s="28" t="s">
        <v>56</v>
      </c>
      <c r="C285" s="28" t="str">
        <f>VLOOKUP(B285,templateLookup!A:B,2,0)</f>
        <v>MbistRasterTC</v>
      </c>
      <c r="D285" t="str">
        <f t="shared" si="156"/>
        <v>LSA_SOC_RASTER_E_BEGIN_TITO_SAQ_NOM_LFM_0600_HBO1_HBO_RASTER_HBO1_BP4</v>
      </c>
      <c r="E285" t="s">
        <v>5</v>
      </c>
      <c r="F285" t="s">
        <v>27</v>
      </c>
      <c r="G285" t="s">
        <v>289</v>
      </c>
      <c r="H285" t="s">
        <v>207</v>
      </c>
      <c r="I285" t="s">
        <v>260</v>
      </c>
      <c r="J285" t="s">
        <v>558</v>
      </c>
      <c r="K285" t="s">
        <v>284</v>
      </c>
      <c r="L285" t="s">
        <v>285</v>
      </c>
      <c r="M285" t="s">
        <v>559</v>
      </c>
      <c r="N285" t="s">
        <v>618</v>
      </c>
      <c r="O285" t="s">
        <v>267</v>
      </c>
      <c r="P285" t="s">
        <v>268</v>
      </c>
      <c r="Q285" t="s">
        <v>291</v>
      </c>
      <c r="R285">
        <v>21</v>
      </c>
      <c r="S285">
        <v>50</v>
      </c>
      <c r="T285">
        <v>56</v>
      </c>
      <c r="U285">
        <v>1</v>
      </c>
      <c r="V285" t="b">
        <v>0</v>
      </c>
      <c r="W285" t="s">
        <v>298</v>
      </c>
      <c r="AS285">
        <f t="shared" si="155"/>
        <v>5</v>
      </c>
      <c r="AT285">
        <v>1</v>
      </c>
      <c r="AU285">
        <v>1</v>
      </c>
      <c r="AV285">
        <v>1</v>
      </c>
      <c r="AW285">
        <v>1</v>
      </c>
      <c r="AX285">
        <v>1</v>
      </c>
      <c r="AY285">
        <v>1</v>
      </c>
    </row>
    <row r="286" spans="1:56" x14ac:dyDescent="0.35">
      <c r="A286" s="27" t="s">
        <v>12</v>
      </c>
      <c r="B286" s="27" t="s">
        <v>50</v>
      </c>
      <c r="C286" s="27" t="str">
        <f>VLOOKUP(B286,templateLookup!A:B,2,0)</f>
        <v>COMPOSITE</v>
      </c>
      <c r="D286" s="10" t="s">
        <v>629</v>
      </c>
      <c r="V286" s="12"/>
    </row>
    <row r="287" spans="1:56" x14ac:dyDescent="0.35">
      <c r="A287" s="27" t="s">
        <v>12</v>
      </c>
      <c r="B287" s="27" t="s">
        <v>49</v>
      </c>
      <c r="C287" s="27" t="str">
        <f>VLOOKUP(B287,templateLookup!A:B,2,0)</f>
        <v>COMPOSITE</v>
      </c>
      <c r="D287" s="10" t="s">
        <v>630</v>
      </c>
      <c r="F287" t="s">
        <v>30</v>
      </c>
      <c r="V287" s="12"/>
      <c r="AS287">
        <f>COUNTA(AU287:BD287)</f>
        <v>2</v>
      </c>
      <c r="AT287">
        <v>1</v>
      </c>
      <c r="AU287" t="str">
        <f>$D292</f>
        <v>PRE_REPAIR_WES1</v>
      </c>
      <c r="AV287" t="str">
        <f>$D292</f>
        <v>PRE_REPAIR_WES1</v>
      </c>
    </row>
    <row r="288" spans="1:56" x14ac:dyDescent="0.35">
      <c r="A288" s="28" t="s">
        <v>12</v>
      </c>
      <c r="B288" s="28" t="s">
        <v>54</v>
      </c>
      <c r="C288" s="28" t="str">
        <f>VLOOKUP(B288,templateLookup!A:B,2,0)</f>
        <v>PrimeMbistVminSearchTestMethod</v>
      </c>
      <c r="D288" t="str">
        <f>E288&amp;"_"&amp;F288&amp;"_"&amp;G288&amp;"_"&amp;H288&amp;"_"&amp;A288&amp;"_"&amp;I288&amp;"_"&amp;J288&amp;"_"&amp;K288&amp;"_"&amp;L288&amp;"_"&amp;M288&amp;"_"&amp;N288</f>
        <v>LSA_SOC_HRY_E_BEGIN_TITO_SAQ_NOM_LFM_0600_IAX_BHRY_IAX_BP3</v>
      </c>
      <c r="E288" t="s">
        <v>5</v>
      </c>
      <c r="F288" t="s">
        <v>27</v>
      </c>
      <c r="G288" t="s">
        <v>271</v>
      </c>
      <c r="H288" t="s">
        <v>207</v>
      </c>
      <c r="I288" t="s">
        <v>260</v>
      </c>
      <c r="J288" t="s">
        <v>558</v>
      </c>
      <c r="K288" t="s">
        <v>284</v>
      </c>
      <c r="L288" t="s">
        <v>285</v>
      </c>
      <c r="M288" t="s">
        <v>559</v>
      </c>
      <c r="N288" t="s">
        <v>631</v>
      </c>
      <c r="O288" t="s">
        <v>267</v>
      </c>
      <c r="P288" t="s">
        <v>268</v>
      </c>
      <c r="Q288" t="s">
        <v>632</v>
      </c>
      <c r="R288">
        <v>21</v>
      </c>
      <c r="S288">
        <v>50</v>
      </c>
      <c r="T288">
        <v>57</v>
      </c>
      <c r="U288">
        <v>-1</v>
      </c>
      <c r="V288" t="b">
        <v>0</v>
      </c>
      <c r="W288" t="s">
        <v>298</v>
      </c>
      <c r="X288" t="s">
        <v>271</v>
      </c>
      <c r="Y288" t="s">
        <v>272</v>
      </c>
      <c r="Z288">
        <v>0.85</v>
      </c>
      <c r="AA288">
        <v>0.85</v>
      </c>
      <c r="AS288">
        <f>COUNTA(AU288:BD288)</f>
        <v>10</v>
      </c>
      <c r="AT288" t="s">
        <v>273</v>
      </c>
      <c r="AU288" t="str">
        <f>$D289</f>
        <v>LSA_SOC_HRY_E_BEGIN_TITO_SAQ_NOM_LFM_0600_IAX_BISR_IAX_BP3</v>
      </c>
      <c r="AV288">
        <v>1</v>
      </c>
      <c r="AW288" t="str">
        <f t="shared" ref="AW288:BB288" si="188">$D289</f>
        <v>LSA_SOC_HRY_E_BEGIN_TITO_SAQ_NOM_LFM_0600_IAX_BISR_IAX_BP3</v>
      </c>
      <c r="AX288" t="str">
        <f t="shared" si="188"/>
        <v>LSA_SOC_HRY_E_BEGIN_TITO_SAQ_NOM_LFM_0600_IAX_BISR_IAX_BP3</v>
      </c>
      <c r="AY288" t="str">
        <f t="shared" si="188"/>
        <v>LSA_SOC_HRY_E_BEGIN_TITO_SAQ_NOM_LFM_0600_IAX_BISR_IAX_BP3</v>
      </c>
      <c r="AZ288" t="str">
        <f t="shared" si="188"/>
        <v>LSA_SOC_HRY_E_BEGIN_TITO_SAQ_NOM_LFM_0600_IAX_BISR_IAX_BP3</v>
      </c>
      <c r="BA288" t="str">
        <f t="shared" si="188"/>
        <v>LSA_SOC_HRY_E_BEGIN_TITO_SAQ_NOM_LFM_0600_IAX_BISR_IAX_BP3</v>
      </c>
      <c r="BB288" t="str">
        <f t="shared" si="188"/>
        <v>LSA_SOC_HRY_E_BEGIN_TITO_SAQ_NOM_LFM_0600_IAX_BISR_IAX_BP3</v>
      </c>
      <c r="BC288">
        <v>1</v>
      </c>
      <c r="BD288" t="str">
        <f>$D289</f>
        <v>LSA_SOC_HRY_E_BEGIN_TITO_SAQ_NOM_LFM_0600_IAX_BISR_IAX_BP3</v>
      </c>
    </row>
    <row r="289" spans="1:56" x14ac:dyDescent="0.35">
      <c r="A289" s="28" t="s">
        <v>12</v>
      </c>
      <c r="B289" s="28" t="s">
        <v>54</v>
      </c>
      <c r="C289" s="28" t="str">
        <f>VLOOKUP(B289,templateLookup!A:B,2,0)</f>
        <v>PrimeMbistVminSearchTestMethod</v>
      </c>
      <c r="D289" t="str">
        <f>E289&amp;"_"&amp;F289&amp;"_"&amp;G289&amp;"_"&amp;H289&amp;"_"&amp;A289&amp;"_"&amp;I289&amp;"_"&amp;J289&amp;"_"&amp;K289&amp;"_"&amp;L289&amp;"_"&amp;M289&amp;"_"&amp;N289</f>
        <v>LSA_SOC_HRY_E_BEGIN_TITO_SAQ_NOM_LFM_0600_IAX_BISR_IAX_BP3</v>
      </c>
      <c r="E289" t="s">
        <v>5</v>
      </c>
      <c r="F289" t="s">
        <v>27</v>
      </c>
      <c r="G289" t="s">
        <v>271</v>
      </c>
      <c r="H289" t="s">
        <v>207</v>
      </c>
      <c r="I289" t="s">
        <v>260</v>
      </c>
      <c r="J289" t="s">
        <v>558</v>
      </c>
      <c r="K289" t="s">
        <v>284</v>
      </c>
      <c r="L289" t="s">
        <v>285</v>
      </c>
      <c r="M289" t="s">
        <v>559</v>
      </c>
      <c r="N289" t="s">
        <v>633</v>
      </c>
      <c r="O289" t="s">
        <v>267</v>
      </c>
      <c r="P289" t="s">
        <v>268</v>
      </c>
      <c r="Q289" t="s">
        <v>634</v>
      </c>
      <c r="R289">
        <v>21</v>
      </c>
      <c r="S289">
        <v>50</v>
      </c>
      <c r="T289">
        <v>58</v>
      </c>
      <c r="U289">
        <v>-1</v>
      </c>
      <c r="V289" t="b">
        <v>0</v>
      </c>
      <c r="W289" t="s">
        <v>298</v>
      </c>
      <c r="X289" t="s">
        <v>401</v>
      </c>
      <c r="Y289" t="s">
        <v>272</v>
      </c>
      <c r="Z289">
        <v>0.85</v>
      </c>
      <c r="AA289">
        <v>0.85</v>
      </c>
      <c r="AS289">
        <f>COUNTA(AU289:BD289)</f>
        <v>10</v>
      </c>
      <c r="AT289" t="s">
        <v>273</v>
      </c>
      <c r="AU289" t="str">
        <f>$D290</f>
        <v>LSA_SOC_RASTER_E_BEGIN_TITO_SAQ_NOM_LFM_0600_IAX_RASTER_IAX_BP3</v>
      </c>
      <c r="AV289">
        <v>1</v>
      </c>
      <c r="AW289">
        <v>1</v>
      </c>
      <c r="AX289">
        <v>1</v>
      </c>
      <c r="AY289">
        <v>1</v>
      </c>
      <c r="AZ289">
        <v>1</v>
      </c>
      <c r="BA289">
        <v>1</v>
      </c>
      <c r="BB289">
        <v>1</v>
      </c>
      <c r="BC289">
        <v>1</v>
      </c>
      <c r="BD289">
        <v>1</v>
      </c>
    </row>
    <row r="290" spans="1:56" x14ac:dyDescent="0.35">
      <c r="A290" s="28" t="s">
        <v>12</v>
      </c>
      <c r="B290" s="28" t="s">
        <v>56</v>
      </c>
      <c r="C290" s="28" t="str">
        <f>VLOOKUP(B290,templateLookup!A:B,2,0)</f>
        <v>MbistRasterTC</v>
      </c>
      <c r="D290" t="str">
        <f>E290&amp;"_"&amp;F290&amp;"_"&amp;G290&amp;"_"&amp;H290&amp;"_"&amp;A290&amp;"_"&amp;I290&amp;"_"&amp;J290&amp;"_"&amp;K290&amp;"_"&amp;L290&amp;"_"&amp;M290&amp;"_"&amp;N290</f>
        <v>LSA_SOC_RASTER_E_BEGIN_TITO_SAQ_NOM_LFM_0600_IAX_RASTER_IAX_BP3</v>
      </c>
      <c r="E290" t="s">
        <v>5</v>
      </c>
      <c r="F290" t="s">
        <v>27</v>
      </c>
      <c r="G290" t="s">
        <v>289</v>
      </c>
      <c r="H290" t="s">
        <v>207</v>
      </c>
      <c r="I290" t="s">
        <v>260</v>
      </c>
      <c r="J290" t="s">
        <v>558</v>
      </c>
      <c r="K290" t="s">
        <v>284</v>
      </c>
      <c r="L290" t="s">
        <v>285</v>
      </c>
      <c r="M290" t="s">
        <v>559</v>
      </c>
      <c r="N290" t="s">
        <v>635</v>
      </c>
      <c r="O290" t="s">
        <v>267</v>
      </c>
      <c r="P290" t="s">
        <v>268</v>
      </c>
      <c r="Q290" t="s">
        <v>291</v>
      </c>
      <c r="R290">
        <v>21</v>
      </c>
      <c r="S290">
        <v>50</v>
      </c>
      <c r="T290">
        <v>59</v>
      </c>
      <c r="U290">
        <v>1</v>
      </c>
      <c r="V290" t="b">
        <v>0</v>
      </c>
      <c r="W290" t="s">
        <v>298</v>
      </c>
      <c r="AS290">
        <f>COUNTA(AU290:BD290)</f>
        <v>5</v>
      </c>
      <c r="AT290">
        <v>1</v>
      </c>
      <c r="AU290">
        <v>1</v>
      </c>
      <c r="AV290">
        <v>1</v>
      </c>
      <c r="AW290">
        <v>1</v>
      </c>
      <c r="AX290">
        <v>1</v>
      </c>
      <c r="AY290">
        <v>1</v>
      </c>
    </row>
    <row r="291" spans="1:56" x14ac:dyDescent="0.35">
      <c r="A291" s="27" t="s">
        <v>12</v>
      </c>
      <c r="B291" s="27" t="s">
        <v>50</v>
      </c>
      <c r="C291" s="27" t="str">
        <f>VLOOKUP(B291,templateLookup!A:B,2,0)</f>
        <v>COMPOSITE</v>
      </c>
      <c r="D291" s="10" t="s">
        <v>636</v>
      </c>
      <c r="V291" s="12"/>
    </row>
    <row r="292" spans="1:56" x14ac:dyDescent="0.35">
      <c r="A292" s="27" t="s">
        <v>12</v>
      </c>
      <c r="B292" s="27" t="s">
        <v>49</v>
      </c>
      <c r="C292" s="27" t="str">
        <f>VLOOKUP(B292,templateLookup!A:B,2,0)</f>
        <v>COMPOSITE</v>
      </c>
      <c r="D292" s="10" t="s">
        <v>637</v>
      </c>
      <c r="F292" t="s">
        <v>30</v>
      </c>
      <c r="V292" s="12"/>
      <c r="AS292">
        <f t="shared" ref="AS292:AS307" si="189">COUNTA(AU292:BD292)</f>
        <v>2</v>
      </c>
      <c r="AT292">
        <v>1</v>
      </c>
      <c r="AU292">
        <v>1</v>
      </c>
      <c r="AV292">
        <v>1</v>
      </c>
    </row>
    <row r="293" spans="1:56" x14ac:dyDescent="0.35">
      <c r="A293" s="28" t="s">
        <v>12</v>
      </c>
      <c r="B293" s="28" t="s">
        <v>54</v>
      </c>
      <c r="C293" s="28" t="str">
        <f>VLOOKUP(B293,templateLookup!A:B,2,0)</f>
        <v>PrimeMbistVminSearchTestMethod</v>
      </c>
      <c r="D293" t="str">
        <f t="shared" ref="D293:D307" si="190">E293&amp;"_"&amp;F293&amp;"_"&amp;G293&amp;"_"&amp;H293&amp;"_"&amp;A293&amp;"_"&amp;I293&amp;"_"&amp;J293&amp;"_"&amp;K293&amp;"_"&amp;L293&amp;"_"&amp;M293&amp;"_"&amp;N293</f>
        <v>SSA_SOC_HRY_E_BEGIN_TITO_SAQ_NOM_LFM_0600_DFX_EP_0_BHRY_WES1_BP0</v>
      </c>
      <c r="E293" t="s">
        <v>4</v>
      </c>
      <c r="F293" t="s">
        <v>27</v>
      </c>
      <c r="G293" t="s">
        <v>271</v>
      </c>
      <c r="H293" t="s">
        <v>207</v>
      </c>
      <c r="I293" t="s">
        <v>260</v>
      </c>
      <c r="J293" t="s">
        <v>558</v>
      </c>
      <c r="K293" t="s">
        <v>284</v>
      </c>
      <c r="L293" t="s">
        <v>285</v>
      </c>
      <c r="M293" t="s">
        <v>559</v>
      </c>
      <c r="N293" t="s">
        <v>638</v>
      </c>
      <c r="O293" t="s">
        <v>267</v>
      </c>
      <c r="P293" t="s">
        <v>268</v>
      </c>
      <c r="Q293" t="s">
        <v>639</v>
      </c>
      <c r="R293">
        <v>61</v>
      </c>
      <c r="S293">
        <v>50</v>
      </c>
      <c r="T293">
        <v>60</v>
      </c>
      <c r="U293">
        <v>-1</v>
      </c>
      <c r="V293" t="b">
        <v>0</v>
      </c>
      <c r="W293" t="s">
        <v>298</v>
      </c>
      <c r="X293" t="s">
        <v>271</v>
      </c>
      <c r="Y293" t="s">
        <v>272</v>
      </c>
      <c r="Z293">
        <v>0.85</v>
      </c>
      <c r="AA293">
        <v>0.85</v>
      </c>
      <c r="AS293">
        <f t="shared" si="189"/>
        <v>10</v>
      </c>
      <c r="AT293" t="s">
        <v>273</v>
      </c>
      <c r="AU293" t="str">
        <f t="shared" ref="AU293:AU305" si="191">$D294</f>
        <v>SSA_SOC_HRY_E_BEGIN_TITO_SAQ_NOM_LFM_0600_DFX_EP_0_BISR_WES1_BP0</v>
      </c>
      <c r="AV293" t="str">
        <f>$D296</f>
        <v>SSA_SOC_HRY_E_BEGIN_TITO_SAQ_NOM_LFM_0600_DFX_EP_1_BHRY_WES1_BP1</v>
      </c>
      <c r="AW293" t="str">
        <f t="shared" ref="AW293:BB293" si="192">$D294</f>
        <v>SSA_SOC_HRY_E_BEGIN_TITO_SAQ_NOM_LFM_0600_DFX_EP_0_BISR_WES1_BP0</v>
      </c>
      <c r="AX293" t="str">
        <f t="shared" si="192"/>
        <v>SSA_SOC_HRY_E_BEGIN_TITO_SAQ_NOM_LFM_0600_DFX_EP_0_BISR_WES1_BP0</v>
      </c>
      <c r="AY293" t="str">
        <f t="shared" si="192"/>
        <v>SSA_SOC_HRY_E_BEGIN_TITO_SAQ_NOM_LFM_0600_DFX_EP_0_BISR_WES1_BP0</v>
      </c>
      <c r="AZ293" t="str">
        <f t="shared" si="192"/>
        <v>SSA_SOC_HRY_E_BEGIN_TITO_SAQ_NOM_LFM_0600_DFX_EP_0_BISR_WES1_BP0</v>
      </c>
      <c r="BA293" t="str">
        <f t="shared" si="192"/>
        <v>SSA_SOC_HRY_E_BEGIN_TITO_SAQ_NOM_LFM_0600_DFX_EP_0_BISR_WES1_BP0</v>
      </c>
      <c r="BB293" t="str">
        <f t="shared" si="192"/>
        <v>SSA_SOC_HRY_E_BEGIN_TITO_SAQ_NOM_LFM_0600_DFX_EP_0_BISR_WES1_BP0</v>
      </c>
      <c r="BC293" t="str">
        <f>$D296</f>
        <v>SSA_SOC_HRY_E_BEGIN_TITO_SAQ_NOM_LFM_0600_DFX_EP_1_BHRY_WES1_BP1</v>
      </c>
      <c r="BD293" t="str">
        <f>$D294</f>
        <v>SSA_SOC_HRY_E_BEGIN_TITO_SAQ_NOM_LFM_0600_DFX_EP_0_BISR_WES1_BP0</v>
      </c>
    </row>
    <row r="294" spans="1:56" x14ac:dyDescent="0.35">
      <c r="A294" s="28" t="s">
        <v>12</v>
      </c>
      <c r="B294" s="28" t="s">
        <v>54</v>
      </c>
      <c r="C294" s="28" t="str">
        <f>VLOOKUP(B294,templateLookup!A:B,2,0)</f>
        <v>PrimeMbistVminSearchTestMethod</v>
      </c>
      <c r="D294" t="str">
        <f t="shared" si="190"/>
        <v>SSA_SOC_HRY_E_BEGIN_TITO_SAQ_NOM_LFM_0600_DFX_EP_0_BISR_WES1_BP0</v>
      </c>
      <c r="E294" t="s">
        <v>4</v>
      </c>
      <c r="F294" t="s">
        <v>27</v>
      </c>
      <c r="G294" t="s">
        <v>271</v>
      </c>
      <c r="H294" t="s">
        <v>207</v>
      </c>
      <c r="I294" t="s">
        <v>260</v>
      </c>
      <c r="J294" t="s">
        <v>558</v>
      </c>
      <c r="K294" t="s">
        <v>284</v>
      </c>
      <c r="L294" t="s">
        <v>285</v>
      </c>
      <c r="M294" t="s">
        <v>559</v>
      </c>
      <c r="N294" t="s">
        <v>640</v>
      </c>
      <c r="O294" t="s">
        <v>267</v>
      </c>
      <c r="P294" t="s">
        <v>268</v>
      </c>
      <c r="Q294" t="s">
        <v>641</v>
      </c>
      <c r="R294">
        <v>61</v>
      </c>
      <c r="S294">
        <v>50</v>
      </c>
      <c r="T294">
        <v>61</v>
      </c>
      <c r="U294">
        <v>-1</v>
      </c>
      <c r="V294" t="b">
        <v>0</v>
      </c>
      <c r="W294" t="s">
        <v>298</v>
      </c>
      <c r="X294" t="s">
        <v>401</v>
      </c>
      <c r="Y294" t="s">
        <v>272</v>
      </c>
      <c r="Z294">
        <v>0.85</v>
      </c>
      <c r="AA294">
        <v>0.85</v>
      </c>
      <c r="AS294">
        <f t="shared" si="189"/>
        <v>10</v>
      </c>
      <c r="AT294" t="s">
        <v>273</v>
      </c>
      <c r="AU294" t="str">
        <f t="shared" si="191"/>
        <v>SSA_SOC_RASTER_E_BEGIN_TITO_SAQ_NOM_LFM_0600_DFX_EP_0_RASTER_WES1_BP0</v>
      </c>
      <c r="AV294" t="str">
        <f t="shared" ref="AV294:BD294" si="193">$D296</f>
        <v>SSA_SOC_HRY_E_BEGIN_TITO_SAQ_NOM_LFM_0600_DFX_EP_1_BHRY_WES1_BP1</v>
      </c>
      <c r="AW294" t="str">
        <f t="shared" si="193"/>
        <v>SSA_SOC_HRY_E_BEGIN_TITO_SAQ_NOM_LFM_0600_DFX_EP_1_BHRY_WES1_BP1</v>
      </c>
      <c r="AX294" t="str">
        <f t="shared" si="193"/>
        <v>SSA_SOC_HRY_E_BEGIN_TITO_SAQ_NOM_LFM_0600_DFX_EP_1_BHRY_WES1_BP1</v>
      </c>
      <c r="AY294" t="str">
        <f t="shared" si="193"/>
        <v>SSA_SOC_HRY_E_BEGIN_TITO_SAQ_NOM_LFM_0600_DFX_EP_1_BHRY_WES1_BP1</v>
      </c>
      <c r="AZ294" t="str">
        <f t="shared" si="193"/>
        <v>SSA_SOC_HRY_E_BEGIN_TITO_SAQ_NOM_LFM_0600_DFX_EP_1_BHRY_WES1_BP1</v>
      </c>
      <c r="BA294" t="str">
        <f t="shared" si="193"/>
        <v>SSA_SOC_HRY_E_BEGIN_TITO_SAQ_NOM_LFM_0600_DFX_EP_1_BHRY_WES1_BP1</v>
      </c>
      <c r="BB294" t="str">
        <f t="shared" si="193"/>
        <v>SSA_SOC_HRY_E_BEGIN_TITO_SAQ_NOM_LFM_0600_DFX_EP_1_BHRY_WES1_BP1</v>
      </c>
      <c r="BC294" t="str">
        <f t="shared" si="193"/>
        <v>SSA_SOC_HRY_E_BEGIN_TITO_SAQ_NOM_LFM_0600_DFX_EP_1_BHRY_WES1_BP1</v>
      </c>
      <c r="BD294" t="str">
        <f t="shared" si="193"/>
        <v>SSA_SOC_HRY_E_BEGIN_TITO_SAQ_NOM_LFM_0600_DFX_EP_1_BHRY_WES1_BP1</v>
      </c>
    </row>
    <row r="295" spans="1:56" x14ac:dyDescent="0.35">
      <c r="A295" s="28" t="s">
        <v>12</v>
      </c>
      <c r="B295" s="28" t="s">
        <v>56</v>
      </c>
      <c r="C295" s="28" t="str">
        <f>VLOOKUP(B295,templateLookup!A:B,2,0)</f>
        <v>MbistRasterTC</v>
      </c>
      <c r="D295" t="str">
        <f t="shared" si="190"/>
        <v>SSA_SOC_RASTER_E_BEGIN_TITO_SAQ_NOM_LFM_0600_DFX_EP_0_RASTER_WES1_BP0</v>
      </c>
      <c r="E295" t="s">
        <v>4</v>
      </c>
      <c r="F295" t="s">
        <v>27</v>
      </c>
      <c r="G295" t="s">
        <v>289</v>
      </c>
      <c r="H295" t="s">
        <v>207</v>
      </c>
      <c r="I295" t="s">
        <v>260</v>
      </c>
      <c r="J295" t="s">
        <v>558</v>
      </c>
      <c r="K295" t="s">
        <v>284</v>
      </c>
      <c r="L295" t="s">
        <v>285</v>
      </c>
      <c r="M295" t="s">
        <v>559</v>
      </c>
      <c r="N295" t="s">
        <v>642</v>
      </c>
      <c r="O295" t="s">
        <v>267</v>
      </c>
      <c r="P295" t="s">
        <v>268</v>
      </c>
      <c r="Q295" t="s">
        <v>291</v>
      </c>
      <c r="R295">
        <v>61</v>
      </c>
      <c r="S295">
        <v>50</v>
      </c>
      <c r="T295">
        <v>62</v>
      </c>
      <c r="U295">
        <v>1</v>
      </c>
      <c r="V295" t="b">
        <v>0</v>
      </c>
      <c r="W295" t="s">
        <v>298</v>
      </c>
      <c r="AS295">
        <f t="shared" si="189"/>
        <v>5</v>
      </c>
      <c r="AT295">
        <v>1</v>
      </c>
      <c r="AU295" t="str">
        <f t="shared" si="191"/>
        <v>SSA_SOC_HRY_E_BEGIN_TITO_SAQ_NOM_LFM_0600_DFX_EP_1_BHRY_WES1_BP1</v>
      </c>
      <c r="AV295" t="str">
        <f>$D296</f>
        <v>SSA_SOC_HRY_E_BEGIN_TITO_SAQ_NOM_LFM_0600_DFX_EP_1_BHRY_WES1_BP1</v>
      </c>
      <c r="AW295" t="str">
        <f>$D296</f>
        <v>SSA_SOC_HRY_E_BEGIN_TITO_SAQ_NOM_LFM_0600_DFX_EP_1_BHRY_WES1_BP1</v>
      </c>
      <c r="AX295" t="str">
        <f>$D296</f>
        <v>SSA_SOC_HRY_E_BEGIN_TITO_SAQ_NOM_LFM_0600_DFX_EP_1_BHRY_WES1_BP1</v>
      </c>
      <c r="AY295" t="str">
        <f>$D296</f>
        <v>SSA_SOC_HRY_E_BEGIN_TITO_SAQ_NOM_LFM_0600_DFX_EP_1_BHRY_WES1_BP1</v>
      </c>
    </row>
    <row r="296" spans="1:56" x14ac:dyDescent="0.35">
      <c r="A296" s="28" t="s">
        <v>12</v>
      </c>
      <c r="B296" s="28" t="s">
        <v>54</v>
      </c>
      <c r="C296" s="28" t="str">
        <f>VLOOKUP(B296,templateLookup!A:B,2,0)</f>
        <v>PrimeMbistVminSearchTestMethod</v>
      </c>
      <c r="D296" t="str">
        <f t="shared" si="190"/>
        <v>SSA_SOC_HRY_E_BEGIN_TITO_SAQ_NOM_LFM_0600_DFX_EP_1_BHRY_WES1_BP1</v>
      </c>
      <c r="E296" t="s">
        <v>4</v>
      </c>
      <c r="F296" t="s">
        <v>27</v>
      </c>
      <c r="G296" t="s">
        <v>271</v>
      </c>
      <c r="H296" t="s">
        <v>207</v>
      </c>
      <c r="I296" t="s">
        <v>260</v>
      </c>
      <c r="J296" t="s">
        <v>558</v>
      </c>
      <c r="K296" t="s">
        <v>284</v>
      </c>
      <c r="L296" t="s">
        <v>285</v>
      </c>
      <c r="M296" t="s">
        <v>559</v>
      </c>
      <c r="N296" t="s">
        <v>643</v>
      </c>
      <c r="O296" t="s">
        <v>267</v>
      </c>
      <c r="P296" t="s">
        <v>268</v>
      </c>
      <c r="Q296" t="s">
        <v>644</v>
      </c>
      <c r="R296">
        <v>61</v>
      </c>
      <c r="S296">
        <v>50</v>
      </c>
      <c r="T296">
        <v>63</v>
      </c>
      <c r="U296">
        <v>-1</v>
      </c>
      <c r="V296" t="b">
        <v>0</v>
      </c>
      <c r="W296" t="s">
        <v>298</v>
      </c>
      <c r="X296" t="s">
        <v>271</v>
      </c>
      <c r="Y296" t="s">
        <v>272</v>
      </c>
      <c r="Z296">
        <v>0.85</v>
      </c>
      <c r="AA296">
        <v>0.85</v>
      </c>
      <c r="AS296">
        <f t="shared" si="189"/>
        <v>10</v>
      </c>
      <c r="AT296" t="s">
        <v>273</v>
      </c>
      <c r="AU296" t="str">
        <f t="shared" si="191"/>
        <v>SSA_SOC_HRY_E_BEGIN_TITO_SAQ_NOM_LFM_0600_DFX_EP_1_BISR_WES1_BP1</v>
      </c>
      <c r="AV296" t="str">
        <f>$D299</f>
        <v>SSA_SOC_HRY_E_BEGIN_TITO_SAQ_NOM_LFM_0600_DFX_EP_2_BHRY_WES1_BP2</v>
      </c>
      <c r="AW296" t="str">
        <f t="shared" ref="AW296:BB296" si="194">$D297</f>
        <v>SSA_SOC_HRY_E_BEGIN_TITO_SAQ_NOM_LFM_0600_DFX_EP_1_BISR_WES1_BP1</v>
      </c>
      <c r="AX296" t="str">
        <f t="shared" si="194"/>
        <v>SSA_SOC_HRY_E_BEGIN_TITO_SAQ_NOM_LFM_0600_DFX_EP_1_BISR_WES1_BP1</v>
      </c>
      <c r="AY296" t="str">
        <f t="shared" si="194"/>
        <v>SSA_SOC_HRY_E_BEGIN_TITO_SAQ_NOM_LFM_0600_DFX_EP_1_BISR_WES1_BP1</v>
      </c>
      <c r="AZ296" t="str">
        <f t="shared" si="194"/>
        <v>SSA_SOC_HRY_E_BEGIN_TITO_SAQ_NOM_LFM_0600_DFX_EP_1_BISR_WES1_BP1</v>
      </c>
      <c r="BA296" t="str">
        <f t="shared" si="194"/>
        <v>SSA_SOC_HRY_E_BEGIN_TITO_SAQ_NOM_LFM_0600_DFX_EP_1_BISR_WES1_BP1</v>
      </c>
      <c r="BB296" t="str">
        <f t="shared" si="194"/>
        <v>SSA_SOC_HRY_E_BEGIN_TITO_SAQ_NOM_LFM_0600_DFX_EP_1_BISR_WES1_BP1</v>
      </c>
      <c r="BC296" t="str">
        <f>$D299</f>
        <v>SSA_SOC_HRY_E_BEGIN_TITO_SAQ_NOM_LFM_0600_DFX_EP_2_BHRY_WES1_BP2</v>
      </c>
      <c r="BD296" t="str">
        <f>$D297</f>
        <v>SSA_SOC_HRY_E_BEGIN_TITO_SAQ_NOM_LFM_0600_DFX_EP_1_BISR_WES1_BP1</v>
      </c>
    </row>
    <row r="297" spans="1:56" x14ac:dyDescent="0.35">
      <c r="A297" s="28" t="s">
        <v>12</v>
      </c>
      <c r="B297" s="28" t="s">
        <v>54</v>
      </c>
      <c r="C297" s="28" t="str">
        <f>VLOOKUP(B297,templateLookup!A:B,2,0)</f>
        <v>PrimeMbistVminSearchTestMethod</v>
      </c>
      <c r="D297" t="str">
        <f t="shared" si="190"/>
        <v>SSA_SOC_HRY_E_BEGIN_TITO_SAQ_NOM_LFM_0600_DFX_EP_1_BISR_WES1_BP1</v>
      </c>
      <c r="E297" t="s">
        <v>4</v>
      </c>
      <c r="F297" t="s">
        <v>27</v>
      </c>
      <c r="G297" t="s">
        <v>271</v>
      </c>
      <c r="H297" t="s">
        <v>207</v>
      </c>
      <c r="I297" t="s">
        <v>260</v>
      </c>
      <c r="J297" t="s">
        <v>558</v>
      </c>
      <c r="K297" t="s">
        <v>284</v>
      </c>
      <c r="L297" t="s">
        <v>285</v>
      </c>
      <c r="M297" t="s">
        <v>559</v>
      </c>
      <c r="N297" t="s">
        <v>645</v>
      </c>
      <c r="O297" t="s">
        <v>267</v>
      </c>
      <c r="P297" t="s">
        <v>268</v>
      </c>
      <c r="Q297" t="s">
        <v>646</v>
      </c>
      <c r="R297">
        <v>61</v>
      </c>
      <c r="S297">
        <v>50</v>
      </c>
      <c r="T297">
        <v>64</v>
      </c>
      <c r="U297">
        <v>-1</v>
      </c>
      <c r="V297" t="b">
        <v>0</v>
      </c>
      <c r="W297" t="s">
        <v>298</v>
      </c>
      <c r="X297" t="s">
        <v>401</v>
      </c>
      <c r="Y297" t="s">
        <v>272</v>
      </c>
      <c r="Z297">
        <v>0.85</v>
      </c>
      <c r="AA297">
        <v>0.85</v>
      </c>
      <c r="AS297">
        <f t="shared" si="189"/>
        <v>10</v>
      </c>
      <c r="AT297" t="s">
        <v>273</v>
      </c>
      <c r="AU297" t="str">
        <f t="shared" si="191"/>
        <v>SSA_SOC_RASTER_E_BEGIN_TITO_SAQ_NOM_LFM_0600_DFX_EP_1_RASTER_WES1_BP1</v>
      </c>
      <c r="AV297" t="str">
        <f t="shared" ref="AV297:BD297" si="195">$D299</f>
        <v>SSA_SOC_HRY_E_BEGIN_TITO_SAQ_NOM_LFM_0600_DFX_EP_2_BHRY_WES1_BP2</v>
      </c>
      <c r="AW297" t="str">
        <f t="shared" si="195"/>
        <v>SSA_SOC_HRY_E_BEGIN_TITO_SAQ_NOM_LFM_0600_DFX_EP_2_BHRY_WES1_BP2</v>
      </c>
      <c r="AX297" t="str">
        <f t="shared" si="195"/>
        <v>SSA_SOC_HRY_E_BEGIN_TITO_SAQ_NOM_LFM_0600_DFX_EP_2_BHRY_WES1_BP2</v>
      </c>
      <c r="AY297" t="str">
        <f t="shared" si="195"/>
        <v>SSA_SOC_HRY_E_BEGIN_TITO_SAQ_NOM_LFM_0600_DFX_EP_2_BHRY_WES1_BP2</v>
      </c>
      <c r="AZ297" t="str">
        <f t="shared" si="195"/>
        <v>SSA_SOC_HRY_E_BEGIN_TITO_SAQ_NOM_LFM_0600_DFX_EP_2_BHRY_WES1_BP2</v>
      </c>
      <c r="BA297" t="str">
        <f t="shared" si="195"/>
        <v>SSA_SOC_HRY_E_BEGIN_TITO_SAQ_NOM_LFM_0600_DFX_EP_2_BHRY_WES1_BP2</v>
      </c>
      <c r="BB297" t="str">
        <f t="shared" si="195"/>
        <v>SSA_SOC_HRY_E_BEGIN_TITO_SAQ_NOM_LFM_0600_DFX_EP_2_BHRY_WES1_BP2</v>
      </c>
      <c r="BC297" t="str">
        <f t="shared" si="195"/>
        <v>SSA_SOC_HRY_E_BEGIN_TITO_SAQ_NOM_LFM_0600_DFX_EP_2_BHRY_WES1_BP2</v>
      </c>
      <c r="BD297" t="str">
        <f t="shared" si="195"/>
        <v>SSA_SOC_HRY_E_BEGIN_TITO_SAQ_NOM_LFM_0600_DFX_EP_2_BHRY_WES1_BP2</v>
      </c>
    </row>
    <row r="298" spans="1:56" x14ac:dyDescent="0.35">
      <c r="A298" s="28" t="s">
        <v>12</v>
      </c>
      <c r="B298" s="28" t="s">
        <v>56</v>
      </c>
      <c r="C298" s="28" t="str">
        <f>VLOOKUP(B298,templateLookup!A:B,2,0)</f>
        <v>MbistRasterTC</v>
      </c>
      <c r="D298" t="str">
        <f t="shared" si="190"/>
        <v>SSA_SOC_RASTER_E_BEGIN_TITO_SAQ_NOM_LFM_0600_DFX_EP_1_RASTER_WES1_BP1</v>
      </c>
      <c r="E298" t="s">
        <v>4</v>
      </c>
      <c r="F298" t="s">
        <v>27</v>
      </c>
      <c r="G298" t="s">
        <v>289</v>
      </c>
      <c r="H298" t="s">
        <v>207</v>
      </c>
      <c r="I298" t="s">
        <v>260</v>
      </c>
      <c r="J298" t="s">
        <v>558</v>
      </c>
      <c r="K298" t="s">
        <v>284</v>
      </c>
      <c r="L298" t="s">
        <v>285</v>
      </c>
      <c r="M298" t="s">
        <v>559</v>
      </c>
      <c r="N298" t="s">
        <v>647</v>
      </c>
      <c r="O298" t="s">
        <v>267</v>
      </c>
      <c r="P298" t="s">
        <v>268</v>
      </c>
      <c r="Q298" t="s">
        <v>291</v>
      </c>
      <c r="R298">
        <v>61</v>
      </c>
      <c r="S298">
        <v>50</v>
      </c>
      <c r="T298">
        <v>65</v>
      </c>
      <c r="U298">
        <v>1</v>
      </c>
      <c r="V298" t="b">
        <v>0</v>
      </c>
      <c r="W298" t="s">
        <v>298</v>
      </c>
      <c r="AS298">
        <f t="shared" si="189"/>
        <v>5</v>
      </c>
      <c r="AT298">
        <v>1</v>
      </c>
      <c r="AU298" t="str">
        <f t="shared" si="191"/>
        <v>SSA_SOC_HRY_E_BEGIN_TITO_SAQ_NOM_LFM_0600_DFX_EP_2_BHRY_WES1_BP2</v>
      </c>
      <c r="AV298" t="str">
        <f>$D299</f>
        <v>SSA_SOC_HRY_E_BEGIN_TITO_SAQ_NOM_LFM_0600_DFX_EP_2_BHRY_WES1_BP2</v>
      </c>
      <c r="AW298" t="str">
        <f>$D299</f>
        <v>SSA_SOC_HRY_E_BEGIN_TITO_SAQ_NOM_LFM_0600_DFX_EP_2_BHRY_WES1_BP2</v>
      </c>
      <c r="AX298" t="str">
        <f>$D299</f>
        <v>SSA_SOC_HRY_E_BEGIN_TITO_SAQ_NOM_LFM_0600_DFX_EP_2_BHRY_WES1_BP2</v>
      </c>
      <c r="AY298" t="str">
        <f>$D299</f>
        <v>SSA_SOC_HRY_E_BEGIN_TITO_SAQ_NOM_LFM_0600_DFX_EP_2_BHRY_WES1_BP2</v>
      </c>
    </row>
    <row r="299" spans="1:56" x14ac:dyDescent="0.35">
      <c r="A299" s="28" t="s">
        <v>12</v>
      </c>
      <c r="B299" s="28" t="s">
        <v>54</v>
      </c>
      <c r="C299" s="28" t="str">
        <f>VLOOKUP(B299,templateLookup!A:B,2,0)</f>
        <v>PrimeMbistVminSearchTestMethod</v>
      </c>
      <c r="D299" t="str">
        <f t="shared" si="190"/>
        <v>SSA_SOC_HRY_E_BEGIN_TITO_SAQ_NOM_LFM_0600_DFX_EP_2_BHRY_WES1_BP2</v>
      </c>
      <c r="E299" t="s">
        <v>4</v>
      </c>
      <c r="F299" t="s">
        <v>27</v>
      </c>
      <c r="G299" t="s">
        <v>271</v>
      </c>
      <c r="H299" t="s">
        <v>207</v>
      </c>
      <c r="I299" t="s">
        <v>260</v>
      </c>
      <c r="J299" t="s">
        <v>558</v>
      </c>
      <c r="K299" t="s">
        <v>284</v>
      </c>
      <c r="L299" t="s">
        <v>285</v>
      </c>
      <c r="M299" t="s">
        <v>559</v>
      </c>
      <c r="N299" t="s">
        <v>648</v>
      </c>
      <c r="O299" t="s">
        <v>267</v>
      </c>
      <c r="P299" t="s">
        <v>268</v>
      </c>
      <c r="Q299" t="s">
        <v>649</v>
      </c>
      <c r="R299">
        <v>61</v>
      </c>
      <c r="S299">
        <v>50</v>
      </c>
      <c r="T299">
        <v>66</v>
      </c>
      <c r="U299">
        <v>-1</v>
      </c>
      <c r="V299" t="b">
        <v>0</v>
      </c>
      <c r="W299" t="s">
        <v>298</v>
      </c>
      <c r="X299" t="s">
        <v>271</v>
      </c>
      <c r="Y299" t="s">
        <v>272</v>
      </c>
      <c r="Z299">
        <v>0.85</v>
      </c>
      <c r="AA299">
        <v>0.85</v>
      </c>
      <c r="AS299">
        <f t="shared" si="189"/>
        <v>10</v>
      </c>
      <c r="AT299" t="s">
        <v>273</v>
      </c>
      <c r="AU299" t="str">
        <f t="shared" si="191"/>
        <v>SSA_SOC_HRY_E_BEGIN_TITO_SAQ_NOM_LFM_0600_DFX_EP_2_BISR_WES1_BP2</v>
      </c>
      <c r="AV299" t="str">
        <f>$D302</f>
        <v>LSA_SOC_HRY_E_BEGIN_TITO_SAQ_NOM_LFM_0600_DFX_EP_1_BHRY_WES1_BP1</v>
      </c>
      <c r="AW299" t="str">
        <f t="shared" ref="AW299:BB299" si="196">$D300</f>
        <v>SSA_SOC_HRY_E_BEGIN_TITO_SAQ_NOM_LFM_0600_DFX_EP_2_BISR_WES1_BP2</v>
      </c>
      <c r="AX299" t="str">
        <f t="shared" si="196"/>
        <v>SSA_SOC_HRY_E_BEGIN_TITO_SAQ_NOM_LFM_0600_DFX_EP_2_BISR_WES1_BP2</v>
      </c>
      <c r="AY299" t="str">
        <f t="shared" si="196"/>
        <v>SSA_SOC_HRY_E_BEGIN_TITO_SAQ_NOM_LFM_0600_DFX_EP_2_BISR_WES1_BP2</v>
      </c>
      <c r="AZ299" t="str">
        <f t="shared" si="196"/>
        <v>SSA_SOC_HRY_E_BEGIN_TITO_SAQ_NOM_LFM_0600_DFX_EP_2_BISR_WES1_BP2</v>
      </c>
      <c r="BA299" t="str">
        <f t="shared" si="196"/>
        <v>SSA_SOC_HRY_E_BEGIN_TITO_SAQ_NOM_LFM_0600_DFX_EP_2_BISR_WES1_BP2</v>
      </c>
      <c r="BB299" t="str">
        <f t="shared" si="196"/>
        <v>SSA_SOC_HRY_E_BEGIN_TITO_SAQ_NOM_LFM_0600_DFX_EP_2_BISR_WES1_BP2</v>
      </c>
      <c r="BC299" t="str">
        <f>$D302</f>
        <v>LSA_SOC_HRY_E_BEGIN_TITO_SAQ_NOM_LFM_0600_DFX_EP_1_BHRY_WES1_BP1</v>
      </c>
      <c r="BD299" t="str">
        <f>$D300</f>
        <v>SSA_SOC_HRY_E_BEGIN_TITO_SAQ_NOM_LFM_0600_DFX_EP_2_BISR_WES1_BP2</v>
      </c>
    </row>
    <row r="300" spans="1:56" x14ac:dyDescent="0.35">
      <c r="A300" s="28" t="s">
        <v>12</v>
      </c>
      <c r="B300" s="28" t="s">
        <v>54</v>
      </c>
      <c r="C300" s="28" t="str">
        <f>VLOOKUP(B300,templateLookup!A:B,2,0)</f>
        <v>PrimeMbistVminSearchTestMethod</v>
      </c>
      <c r="D300" t="str">
        <f t="shared" si="190"/>
        <v>SSA_SOC_HRY_E_BEGIN_TITO_SAQ_NOM_LFM_0600_DFX_EP_2_BISR_WES1_BP2</v>
      </c>
      <c r="E300" t="s">
        <v>4</v>
      </c>
      <c r="F300" t="s">
        <v>27</v>
      </c>
      <c r="G300" t="s">
        <v>271</v>
      </c>
      <c r="H300" t="s">
        <v>207</v>
      </c>
      <c r="I300" t="s">
        <v>260</v>
      </c>
      <c r="J300" t="s">
        <v>558</v>
      </c>
      <c r="K300" t="s">
        <v>284</v>
      </c>
      <c r="L300" t="s">
        <v>285</v>
      </c>
      <c r="M300" t="s">
        <v>559</v>
      </c>
      <c r="N300" t="s">
        <v>650</v>
      </c>
      <c r="O300" t="s">
        <v>267</v>
      </c>
      <c r="P300" t="s">
        <v>268</v>
      </c>
      <c r="Q300" t="s">
        <v>651</v>
      </c>
      <c r="R300">
        <v>61</v>
      </c>
      <c r="S300">
        <v>50</v>
      </c>
      <c r="T300">
        <v>67</v>
      </c>
      <c r="U300">
        <v>-1</v>
      </c>
      <c r="V300" t="b">
        <v>0</v>
      </c>
      <c r="W300" t="s">
        <v>298</v>
      </c>
      <c r="X300" t="s">
        <v>401</v>
      </c>
      <c r="Y300" t="s">
        <v>272</v>
      </c>
      <c r="Z300">
        <v>0.85</v>
      </c>
      <c r="AA300">
        <v>0.85</v>
      </c>
      <c r="AS300">
        <f t="shared" si="189"/>
        <v>10</v>
      </c>
      <c r="AT300" t="s">
        <v>273</v>
      </c>
      <c r="AU300" t="str">
        <f t="shared" si="191"/>
        <v>SSA_SOC_RASTER_E_BEGIN_TITO_SAQ_NOM_LFM_0600_DFX_EP_2_RASTER_WES1_BP2</v>
      </c>
      <c r="AV300" t="str">
        <f t="shared" ref="AV300:BD300" si="197">$D302</f>
        <v>LSA_SOC_HRY_E_BEGIN_TITO_SAQ_NOM_LFM_0600_DFX_EP_1_BHRY_WES1_BP1</v>
      </c>
      <c r="AW300" t="str">
        <f t="shared" si="197"/>
        <v>LSA_SOC_HRY_E_BEGIN_TITO_SAQ_NOM_LFM_0600_DFX_EP_1_BHRY_WES1_BP1</v>
      </c>
      <c r="AX300" t="str">
        <f t="shared" si="197"/>
        <v>LSA_SOC_HRY_E_BEGIN_TITO_SAQ_NOM_LFM_0600_DFX_EP_1_BHRY_WES1_BP1</v>
      </c>
      <c r="AY300" t="str">
        <f t="shared" si="197"/>
        <v>LSA_SOC_HRY_E_BEGIN_TITO_SAQ_NOM_LFM_0600_DFX_EP_1_BHRY_WES1_BP1</v>
      </c>
      <c r="AZ300" t="str">
        <f t="shared" si="197"/>
        <v>LSA_SOC_HRY_E_BEGIN_TITO_SAQ_NOM_LFM_0600_DFX_EP_1_BHRY_WES1_BP1</v>
      </c>
      <c r="BA300" t="str">
        <f t="shared" si="197"/>
        <v>LSA_SOC_HRY_E_BEGIN_TITO_SAQ_NOM_LFM_0600_DFX_EP_1_BHRY_WES1_BP1</v>
      </c>
      <c r="BB300" t="str">
        <f t="shared" si="197"/>
        <v>LSA_SOC_HRY_E_BEGIN_TITO_SAQ_NOM_LFM_0600_DFX_EP_1_BHRY_WES1_BP1</v>
      </c>
      <c r="BC300" t="str">
        <f t="shared" si="197"/>
        <v>LSA_SOC_HRY_E_BEGIN_TITO_SAQ_NOM_LFM_0600_DFX_EP_1_BHRY_WES1_BP1</v>
      </c>
      <c r="BD300" t="str">
        <f t="shared" si="197"/>
        <v>LSA_SOC_HRY_E_BEGIN_TITO_SAQ_NOM_LFM_0600_DFX_EP_1_BHRY_WES1_BP1</v>
      </c>
    </row>
    <row r="301" spans="1:56" x14ac:dyDescent="0.35">
      <c r="A301" s="28" t="s">
        <v>12</v>
      </c>
      <c r="B301" s="28" t="s">
        <v>56</v>
      </c>
      <c r="C301" s="28" t="str">
        <f>VLOOKUP(B301,templateLookup!A:B,2,0)</f>
        <v>MbistRasterTC</v>
      </c>
      <c r="D301" t="str">
        <f t="shared" si="190"/>
        <v>SSA_SOC_RASTER_E_BEGIN_TITO_SAQ_NOM_LFM_0600_DFX_EP_2_RASTER_WES1_BP2</v>
      </c>
      <c r="E301" t="s">
        <v>4</v>
      </c>
      <c r="F301" t="s">
        <v>27</v>
      </c>
      <c r="G301" t="s">
        <v>289</v>
      </c>
      <c r="H301" t="s">
        <v>207</v>
      </c>
      <c r="I301" t="s">
        <v>260</v>
      </c>
      <c r="J301" t="s">
        <v>558</v>
      </c>
      <c r="K301" t="s">
        <v>284</v>
      </c>
      <c r="L301" t="s">
        <v>285</v>
      </c>
      <c r="M301" t="s">
        <v>559</v>
      </c>
      <c r="N301" t="s">
        <v>652</v>
      </c>
      <c r="O301" t="s">
        <v>267</v>
      </c>
      <c r="P301" t="s">
        <v>268</v>
      </c>
      <c r="Q301" t="s">
        <v>291</v>
      </c>
      <c r="R301">
        <v>61</v>
      </c>
      <c r="S301">
        <v>50</v>
      </c>
      <c r="T301">
        <v>68</v>
      </c>
      <c r="U301">
        <v>1</v>
      </c>
      <c r="V301" t="b">
        <v>0</v>
      </c>
      <c r="W301" t="s">
        <v>298</v>
      </c>
      <c r="AS301">
        <f t="shared" si="189"/>
        <v>5</v>
      </c>
      <c r="AT301">
        <v>1</v>
      </c>
      <c r="AU301" t="str">
        <f t="shared" si="191"/>
        <v>LSA_SOC_HRY_E_BEGIN_TITO_SAQ_NOM_LFM_0600_DFX_EP_1_BHRY_WES1_BP1</v>
      </c>
      <c r="AV301" t="str">
        <f>$D302</f>
        <v>LSA_SOC_HRY_E_BEGIN_TITO_SAQ_NOM_LFM_0600_DFX_EP_1_BHRY_WES1_BP1</v>
      </c>
      <c r="AW301" t="str">
        <f>$D302</f>
        <v>LSA_SOC_HRY_E_BEGIN_TITO_SAQ_NOM_LFM_0600_DFX_EP_1_BHRY_WES1_BP1</v>
      </c>
      <c r="AX301" t="str">
        <f>$D302</f>
        <v>LSA_SOC_HRY_E_BEGIN_TITO_SAQ_NOM_LFM_0600_DFX_EP_1_BHRY_WES1_BP1</v>
      </c>
      <c r="AY301" t="str">
        <f>$D302</f>
        <v>LSA_SOC_HRY_E_BEGIN_TITO_SAQ_NOM_LFM_0600_DFX_EP_1_BHRY_WES1_BP1</v>
      </c>
    </row>
    <row r="302" spans="1:56" x14ac:dyDescent="0.35">
      <c r="A302" s="28" t="s">
        <v>12</v>
      </c>
      <c r="B302" s="28" t="s">
        <v>54</v>
      </c>
      <c r="C302" s="28" t="str">
        <f>VLOOKUP(B302,templateLookup!A:B,2,0)</f>
        <v>PrimeMbistVminSearchTestMethod</v>
      </c>
      <c r="D302" t="str">
        <f t="shared" si="190"/>
        <v>LSA_SOC_HRY_E_BEGIN_TITO_SAQ_NOM_LFM_0600_DFX_EP_1_BHRY_WES1_BP1</v>
      </c>
      <c r="E302" t="s">
        <v>5</v>
      </c>
      <c r="F302" t="s">
        <v>27</v>
      </c>
      <c r="G302" t="s">
        <v>271</v>
      </c>
      <c r="H302" t="s">
        <v>207</v>
      </c>
      <c r="I302" t="s">
        <v>260</v>
      </c>
      <c r="J302" t="s">
        <v>558</v>
      </c>
      <c r="K302" t="s">
        <v>284</v>
      </c>
      <c r="L302" t="s">
        <v>285</v>
      </c>
      <c r="M302" t="s">
        <v>559</v>
      </c>
      <c r="N302" t="s">
        <v>643</v>
      </c>
      <c r="O302" t="s">
        <v>267</v>
      </c>
      <c r="P302" t="s">
        <v>268</v>
      </c>
      <c r="Q302" t="s">
        <v>653</v>
      </c>
      <c r="R302">
        <v>21</v>
      </c>
      <c r="S302">
        <v>50</v>
      </c>
      <c r="T302">
        <v>69</v>
      </c>
      <c r="U302">
        <v>-1</v>
      </c>
      <c r="V302" t="b">
        <v>0</v>
      </c>
      <c r="W302" t="s">
        <v>298</v>
      </c>
      <c r="X302" t="s">
        <v>271</v>
      </c>
      <c r="Y302" t="s">
        <v>272</v>
      </c>
      <c r="Z302">
        <v>0.85</v>
      </c>
      <c r="AA302">
        <v>0.85</v>
      </c>
      <c r="AS302">
        <f t="shared" si="189"/>
        <v>10</v>
      </c>
      <c r="AT302" t="s">
        <v>273</v>
      </c>
      <c r="AU302" t="str">
        <f t="shared" si="191"/>
        <v>LSA_SOC_HRY_E_BEGIN_TITO_SAQ_NOM_LFM_0600_DFX_EP_1_BISR_WES1_BP1</v>
      </c>
      <c r="AV302" t="str">
        <f>$D305</f>
        <v>LSA_SOC_HRY_E_BEGIN_TITO_SAQ_NOM_LFM_0600_DFX_EP_2_BHRY_WES1_BP2</v>
      </c>
      <c r="AW302" t="str">
        <f t="shared" ref="AW302:BB302" si="198">$D303</f>
        <v>LSA_SOC_HRY_E_BEGIN_TITO_SAQ_NOM_LFM_0600_DFX_EP_1_BISR_WES1_BP1</v>
      </c>
      <c r="AX302" t="str">
        <f t="shared" si="198"/>
        <v>LSA_SOC_HRY_E_BEGIN_TITO_SAQ_NOM_LFM_0600_DFX_EP_1_BISR_WES1_BP1</v>
      </c>
      <c r="AY302" t="str">
        <f t="shared" si="198"/>
        <v>LSA_SOC_HRY_E_BEGIN_TITO_SAQ_NOM_LFM_0600_DFX_EP_1_BISR_WES1_BP1</v>
      </c>
      <c r="AZ302" t="str">
        <f t="shared" si="198"/>
        <v>LSA_SOC_HRY_E_BEGIN_TITO_SAQ_NOM_LFM_0600_DFX_EP_1_BISR_WES1_BP1</v>
      </c>
      <c r="BA302" t="str">
        <f t="shared" si="198"/>
        <v>LSA_SOC_HRY_E_BEGIN_TITO_SAQ_NOM_LFM_0600_DFX_EP_1_BISR_WES1_BP1</v>
      </c>
      <c r="BB302" t="str">
        <f t="shared" si="198"/>
        <v>LSA_SOC_HRY_E_BEGIN_TITO_SAQ_NOM_LFM_0600_DFX_EP_1_BISR_WES1_BP1</v>
      </c>
      <c r="BC302" t="str">
        <f>$D305</f>
        <v>LSA_SOC_HRY_E_BEGIN_TITO_SAQ_NOM_LFM_0600_DFX_EP_2_BHRY_WES1_BP2</v>
      </c>
      <c r="BD302" t="str">
        <f>$D303</f>
        <v>LSA_SOC_HRY_E_BEGIN_TITO_SAQ_NOM_LFM_0600_DFX_EP_1_BISR_WES1_BP1</v>
      </c>
    </row>
    <row r="303" spans="1:56" x14ac:dyDescent="0.35">
      <c r="A303" s="28" t="s">
        <v>12</v>
      </c>
      <c r="B303" s="28" t="s">
        <v>54</v>
      </c>
      <c r="C303" s="28" t="str">
        <f>VLOOKUP(B303,templateLookup!A:B,2,0)</f>
        <v>PrimeMbistVminSearchTestMethod</v>
      </c>
      <c r="D303" t="str">
        <f t="shared" si="190"/>
        <v>LSA_SOC_HRY_E_BEGIN_TITO_SAQ_NOM_LFM_0600_DFX_EP_1_BISR_WES1_BP1</v>
      </c>
      <c r="E303" t="s">
        <v>5</v>
      </c>
      <c r="F303" t="s">
        <v>27</v>
      </c>
      <c r="G303" t="s">
        <v>271</v>
      </c>
      <c r="H303" t="s">
        <v>207</v>
      </c>
      <c r="I303" t="s">
        <v>260</v>
      </c>
      <c r="J303" t="s">
        <v>558</v>
      </c>
      <c r="K303" t="s">
        <v>284</v>
      </c>
      <c r="L303" t="s">
        <v>285</v>
      </c>
      <c r="M303" t="s">
        <v>559</v>
      </c>
      <c r="N303" t="s">
        <v>645</v>
      </c>
      <c r="O303" t="s">
        <v>267</v>
      </c>
      <c r="P303" t="s">
        <v>268</v>
      </c>
      <c r="Q303" t="s">
        <v>654</v>
      </c>
      <c r="R303">
        <v>21</v>
      </c>
      <c r="S303">
        <v>50</v>
      </c>
      <c r="T303">
        <v>70</v>
      </c>
      <c r="U303">
        <v>-1</v>
      </c>
      <c r="V303" t="b">
        <v>0</v>
      </c>
      <c r="W303" t="s">
        <v>298</v>
      </c>
      <c r="X303" t="s">
        <v>401</v>
      </c>
      <c r="Y303" t="s">
        <v>272</v>
      </c>
      <c r="Z303">
        <v>0.85</v>
      </c>
      <c r="AA303">
        <v>0.85</v>
      </c>
      <c r="AS303">
        <f t="shared" si="189"/>
        <v>10</v>
      </c>
      <c r="AT303" t="s">
        <v>273</v>
      </c>
      <c r="AU303" t="str">
        <f t="shared" si="191"/>
        <v>LSA_SOC_RASTER_E_BEGIN_TITO_SAQ_NOM_LFM_0600_DFX_EP_1_RASTER_WES1_BP1</v>
      </c>
      <c r="AV303" t="str">
        <f t="shared" ref="AV303:BD303" si="199">$D305</f>
        <v>LSA_SOC_HRY_E_BEGIN_TITO_SAQ_NOM_LFM_0600_DFX_EP_2_BHRY_WES1_BP2</v>
      </c>
      <c r="AW303" t="str">
        <f t="shared" si="199"/>
        <v>LSA_SOC_HRY_E_BEGIN_TITO_SAQ_NOM_LFM_0600_DFX_EP_2_BHRY_WES1_BP2</v>
      </c>
      <c r="AX303" t="str">
        <f t="shared" si="199"/>
        <v>LSA_SOC_HRY_E_BEGIN_TITO_SAQ_NOM_LFM_0600_DFX_EP_2_BHRY_WES1_BP2</v>
      </c>
      <c r="AY303" t="str">
        <f t="shared" si="199"/>
        <v>LSA_SOC_HRY_E_BEGIN_TITO_SAQ_NOM_LFM_0600_DFX_EP_2_BHRY_WES1_BP2</v>
      </c>
      <c r="AZ303" t="str">
        <f t="shared" si="199"/>
        <v>LSA_SOC_HRY_E_BEGIN_TITO_SAQ_NOM_LFM_0600_DFX_EP_2_BHRY_WES1_BP2</v>
      </c>
      <c r="BA303" t="str">
        <f t="shared" si="199"/>
        <v>LSA_SOC_HRY_E_BEGIN_TITO_SAQ_NOM_LFM_0600_DFX_EP_2_BHRY_WES1_BP2</v>
      </c>
      <c r="BB303" t="str">
        <f t="shared" si="199"/>
        <v>LSA_SOC_HRY_E_BEGIN_TITO_SAQ_NOM_LFM_0600_DFX_EP_2_BHRY_WES1_BP2</v>
      </c>
      <c r="BC303" t="str">
        <f t="shared" si="199"/>
        <v>LSA_SOC_HRY_E_BEGIN_TITO_SAQ_NOM_LFM_0600_DFX_EP_2_BHRY_WES1_BP2</v>
      </c>
      <c r="BD303" t="str">
        <f t="shared" si="199"/>
        <v>LSA_SOC_HRY_E_BEGIN_TITO_SAQ_NOM_LFM_0600_DFX_EP_2_BHRY_WES1_BP2</v>
      </c>
    </row>
    <row r="304" spans="1:56" x14ac:dyDescent="0.35">
      <c r="A304" s="28" t="s">
        <v>12</v>
      </c>
      <c r="B304" s="28" t="s">
        <v>56</v>
      </c>
      <c r="C304" s="28" t="str">
        <f>VLOOKUP(B304,templateLookup!A:B,2,0)</f>
        <v>MbistRasterTC</v>
      </c>
      <c r="D304" t="str">
        <f t="shared" si="190"/>
        <v>LSA_SOC_RASTER_E_BEGIN_TITO_SAQ_NOM_LFM_0600_DFX_EP_1_RASTER_WES1_BP1</v>
      </c>
      <c r="E304" t="s">
        <v>5</v>
      </c>
      <c r="F304" t="s">
        <v>27</v>
      </c>
      <c r="G304" t="s">
        <v>289</v>
      </c>
      <c r="H304" t="s">
        <v>207</v>
      </c>
      <c r="I304" t="s">
        <v>260</v>
      </c>
      <c r="J304" t="s">
        <v>558</v>
      </c>
      <c r="K304" t="s">
        <v>284</v>
      </c>
      <c r="L304" t="s">
        <v>285</v>
      </c>
      <c r="M304" t="s">
        <v>559</v>
      </c>
      <c r="N304" t="s">
        <v>647</v>
      </c>
      <c r="O304" t="s">
        <v>267</v>
      </c>
      <c r="P304" t="s">
        <v>268</v>
      </c>
      <c r="Q304" t="s">
        <v>291</v>
      </c>
      <c r="R304">
        <v>21</v>
      </c>
      <c r="S304">
        <v>50</v>
      </c>
      <c r="T304">
        <v>71</v>
      </c>
      <c r="U304">
        <v>1</v>
      </c>
      <c r="V304" t="b">
        <v>0</v>
      </c>
      <c r="W304" t="s">
        <v>298</v>
      </c>
      <c r="AS304">
        <f t="shared" si="189"/>
        <v>5</v>
      </c>
      <c r="AT304">
        <v>1</v>
      </c>
      <c r="AU304" t="str">
        <f t="shared" si="191"/>
        <v>LSA_SOC_HRY_E_BEGIN_TITO_SAQ_NOM_LFM_0600_DFX_EP_2_BHRY_WES1_BP2</v>
      </c>
      <c r="AV304" t="str">
        <f>$D305</f>
        <v>LSA_SOC_HRY_E_BEGIN_TITO_SAQ_NOM_LFM_0600_DFX_EP_2_BHRY_WES1_BP2</v>
      </c>
      <c r="AW304" t="str">
        <f>$D305</f>
        <v>LSA_SOC_HRY_E_BEGIN_TITO_SAQ_NOM_LFM_0600_DFX_EP_2_BHRY_WES1_BP2</v>
      </c>
      <c r="AX304" t="str">
        <f>$D305</f>
        <v>LSA_SOC_HRY_E_BEGIN_TITO_SAQ_NOM_LFM_0600_DFX_EP_2_BHRY_WES1_BP2</v>
      </c>
      <c r="AY304" t="str">
        <f>$D305</f>
        <v>LSA_SOC_HRY_E_BEGIN_TITO_SAQ_NOM_LFM_0600_DFX_EP_2_BHRY_WES1_BP2</v>
      </c>
    </row>
    <row r="305" spans="1:56" x14ac:dyDescent="0.35">
      <c r="A305" s="28" t="s">
        <v>12</v>
      </c>
      <c r="B305" s="28" t="s">
        <v>54</v>
      </c>
      <c r="C305" s="28" t="str">
        <f>VLOOKUP(B305,templateLookup!A:B,2,0)</f>
        <v>PrimeMbistVminSearchTestMethod</v>
      </c>
      <c r="D305" t="str">
        <f t="shared" si="190"/>
        <v>LSA_SOC_HRY_E_BEGIN_TITO_SAQ_NOM_LFM_0600_DFX_EP_2_BHRY_WES1_BP2</v>
      </c>
      <c r="E305" t="s">
        <v>5</v>
      </c>
      <c r="F305" t="s">
        <v>27</v>
      </c>
      <c r="G305" t="s">
        <v>271</v>
      </c>
      <c r="H305" t="s">
        <v>207</v>
      </c>
      <c r="I305" t="s">
        <v>260</v>
      </c>
      <c r="J305" t="s">
        <v>558</v>
      </c>
      <c r="K305" t="s">
        <v>284</v>
      </c>
      <c r="L305" t="s">
        <v>285</v>
      </c>
      <c r="M305" t="s">
        <v>559</v>
      </c>
      <c r="N305" t="s">
        <v>648</v>
      </c>
      <c r="O305" t="s">
        <v>267</v>
      </c>
      <c r="P305" t="s">
        <v>268</v>
      </c>
      <c r="Q305" t="s">
        <v>655</v>
      </c>
      <c r="R305">
        <v>21</v>
      </c>
      <c r="S305">
        <v>50</v>
      </c>
      <c r="T305">
        <v>72</v>
      </c>
      <c r="U305">
        <v>-1</v>
      </c>
      <c r="V305" t="b">
        <v>0</v>
      </c>
      <c r="W305" t="s">
        <v>298</v>
      </c>
      <c r="X305" t="s">
        <v>271</v>
      </c>
      <c r="Y305" t="s">
        <v>272</v>
      </c>
      <c r="Z305">
        <v>0.85</v>
      </c>
      <c r="AA305">
        <v>0.85</v>
      </c>
      <c r="AS305">
        <f t="shared" si="189"/>
        <v>10</v>
      </c>
      <c r="AT305" t="s">
        <v>273</v>
      </c>
      <c r="AU305" t="str">
        <f t="shared" si="191"/>
        <v>LSA_SOC_HRY_E_BEGIN_TITO_SAQ_NOM_LFM_0600_DFX_EP_2_BISR_WES1_BP2</v>
      </c>
      <c r="AV305">
        <v>1</v>
      </c>
      <c r="AW305" t="str">
        <f t="shared" ref="AW305:BB305" si="200">$D306</f>
        <v>LSA_SOC_HRY_E_BEGIN_TITO_SAQ_NOM_LFM_0600_DFX_EP_2_BISR_WES1_BP2</v>
      </c>
      <c r="AX305" t="str">
        <f t="shared" si="200"/>
        <v>LSA_SOC_HRY_E_BEGIN_TITO_SAQ_NOM_LFM_0600_DFX_EP_2_BISR_WES1_BP2</v>
      </c>
      <c r="AY305" t="str">
        <f t="shared" si="200"/>
        <v>LSA_SOC_HRY_E_BEGIN_TITO_SAQ_NOM_LFM_0600_DFX_EP_2_BISR_WES1_BP2</v>
      </c>
      <c r="AZ305" t="str">
        <f t="shared" si="200"/>
        <v>LSA_SOC_HRY_E_BEGIN_TITO_SAQ_NOM_LFM_0600_DFX_EP_2_BISR_WES1_BP2</v>
      </c>
      <c r="BA305" t="str">
        <f t="shared" si="200"/>
        <v>LSA_SOC_HRY_E_BEGIN_TITO_SAQ_NOM_LFM_0600_DFX_EP_2_BISR_WES1_BP2</v>
      </c>
      <c r="BB305" t="str">
        <f t="shared" si="200"/>
        <v>LSA_SOC_HRY_E_BEGIN_TITO_SAQ_NOM_LFM_0600_DFX_EP_2_BISR_WES1_BP2</v>
      </c>
      <c r="BC305">
        <v>1</v>
      </c>
      <c r="BD305" t="str">
        <f>$D306</f>
        <v>LSA_SOC_HRY_E_BEGIN_TITO_SAQ_NOM_LFM_0600_DFX_EP_2_BISR_WES1_BP2</v>
      </c>
    </row>
    <row r="306" spans="1:56" x14ac:dyDescent="0.35">
      <c r="A306" s="28" t="s">
        <v>12</v>
      </c>
      <c r="B306" s="28" t="s">
        <v>54</v>
      </c>
      <c r="C306" s="28" t="str">
        <f>VLOOKUP(B306,templateLookup!A:B,2,0)</f>
        <v>PrimeMbistVminSearchTestMethod</v>
      </c>
      <c r="D306" t="str">
        <f t="shared" si="190"/>
        <v>LSA_SOC_HRY_E_BEGIN_TITO_SAQ_NOM_LFM_0600_DFX_EP_2_BISR_WES1_BP2</v>
      </c>
      <c r="E306" t="s">
        <v>5</v>
      </c>
      <c r="F306" t="s">
        <v>27</v>
      </c>
      <c r="G306" t="s">
        <v>271</v>
      </c>
      <c r="H306" t="s">
        <v>207</v>
      </c>
      <c r="I306" t="s">
        <v>260</v>
      </c>
      <c r="J306" t="s">
        <v>558</v>
      </c>
      <c r="K306" t="s">
        <v>284</v>
      </c>
      <c r="L306" t="s">
        <v>285</v>
      </c>
      <c r="M306" t="s">
        <v>559</v>
      </c>
      <c r="N306" t="s">
        <v>650</v>
      </c>
      <c r="O306" t="s">
        <v>267</v>
      </c>
      <c r="P306" t="s">
        <v>268</v>
      </c>
      <c r="Q306" t="s">
        <v>656</v>
      </c>
      <c r="R306">
        <v>21</v>
      </c>
      <c r="S306">
        <v>50</v>
      </c>
      <c r="T306">
        <v>73</v>
      </c>
      <c r="U306">
        <v>-1</v>
      </c>
      <c r="V306" t="b">
        <v>0</v>
      </c>
      <c r="W306" t="s">
        <v>298</v>
      </c>
      <c r="X306" t="s">
        <v>401</v>
      </c>
      <c r="Y306" t="s">
        <v>272</v>
      </c>
      <c r="Z306">
        <v>0.85</v>
      </c>
      <c r="AA306">
        <v>0.85</v>
      </c>
      <c r="AS306">
        <f t="shared" si="189"/>
        <v>10</v>
      </c>
      <c r="AT306" t="s">
        <v>273</v>
      </c>
      <c r="AU306">
        <v>1</v>
      </c>
      <c r="AV306">
        <v>1</v>
      </c>
      <c r="AW306">
        <v>1</v>
      </c>
      <c r="AX306">
        <v>1</v>
      </c>
      <c r="AY306">
        <v>1</v>
      </c>
      <c r="AZ306">
        <v>1</v>
      </c>
      <c r="BA306">
        <v>1</v>
      </c>
      <c r="BB306">
        <v>1</v>
      </c>
      <c r="BC306">
        <v>1</v>
      </c>
      <c r="BD306">
        <v>1</v>
      </c>
    </row>
    <row r="307" spans="1:56" x14ac:dyDescent="0.35">
      <c r="A307" s="28" t="s">
        <v>12</v>
      </c>
      <c r="B307" s="28" t="s">
        <v>56</v>
      </c>
      <c r="C307" s="28" t="str">
        <f>VLOOKUP(B307,templateLookup!A:B,2,0)</f>
        <v>MbistRasterTC</v>
      </c>
      <c r="D307" t="str">
        <f t="shared" si="190"/>
        <v>LSA_SOC_RASTER_E_BEGIN_TITO_SAQ_NOM_LFM_0600_DFX_EP_2_RASTER_WES1_BP2</v>
      </c>
      <c r="E307" t="s">
        <v>5</v>
      </c>
      <c r="F307" t="s">
        <v>27</v>
      </c>
      <c r="G307" t="s">
        <v>289</v>
      </c>
      <c r="H307" t="s">
        <v>207</v>
      </c>
      <c r="I307" t="s">
        <v>260</v>
      </c>
      <c r="J307" t="s">
        <v>558</v>
      </c>
      <c r="K307" t="s">
        <v>284</v>
      </c>
      <c r="L307" t="s">
        <v>285</v>
      </c>
      <c r="M307" t="s">
        <v>559</v>
      </c>
      <c r="N307" t="s">
        <v>652</v>
      </c>
      <c r="O307" t="s">
        <v>267</v>
      </c>
      <c r="P307" t="s">
        <v>268</v>
      </c>
      <c r="Q307" t="s">
        <v>291</v>
      </c>
      <c r="R307">
        <v>21</v>
      </c>
      <c r="S307">
        <v>50</v>
      </c>
      <c r="T307">
        <v>74</v>
      </c>
      <c r="U307">
        <v>1</v>
      </c>
      <c r="V307" t="b">
        <v>0</v>
      </c>
      <c r="W307" t="s">
        <v>298</v>
      </c>
      <c r="AS307">
        <f t="shared" si="189"/>
        <v>5</v>
      </c>
      <c r="AT307">
        <v>1</v>
      </c>
      <c r="AU307">
        <v>1</v>
      </c>
      <c r="AV307">
        <v>1</v>
      </c>
      <c r="AW307">
        <v>1</v>
      </c>
      <c r="AX307">
        <v>1</v>
      </c>
      <c r="AY307">
        <v>1</v>
      </c>
    </row>
    <row r="308" spans="1:56" x14ac:dyDescent="0.35">
      <c r="A308" s="27" t="s">
        <v>12</v>
      </c>
      <c r="B308" s="27" t="s">
        <v>50</v>
      </c>
      <c r="C308" s="27" t="str">
        <f>VLOOKUP(B308,templateLookup!A:B,2,0)</f>
        <v>COMPOSITE</v>
      </c>
      <c r="D308" s="10" t="s">
        <v>657</v>
      </c>
      <c r="V308" s="12"/>
    </row>
    <row r="309" spans="1:56" x14ac:dyDescent="0.35">
      <c r="A309" s="27" t="s">
        <v>12</v>
      </c>
      <c r="B309" s="27" t="s">
        <v>50</v>
      </c>
      <c r="C309" s="27" t="str">
        <f>VLOOKUP(B309,templateLookup!A:B,2,0)</f>
        <v>COMPOSITE</v>
      </c>
      <c r="D309" s="10" t="s">
        <v>658</v>
      </c>
      <c r="V309" s="12"/>
    </row>
    <row r="310" spans="1:56" x14ac:dyDescent="0.35">
      <c r="A310" s="27" t="s">
        <v>12</v>
      </c>
      <c r="B310" s="27" t="s">
        <v>49</v>
      </c>
      <c r="C310" s="27" t="str">
        <f>VLOOKUP(B310,templateLookup!A:B,2,0)</f>
        <v>COMPOSITE</v>
      </c>
      <c r="D310" s="10" t="s">
        <v>659</v>
      </c>
      <c r="F310" t="s">
        <v>30</v>
      </c>
      <c r="V310" s="12"/>
      <c r="AS310">
        <f>COUNTA(AU310:BD310)</f>
        <v>3</v>
      </c>
      <c r="AT310" t="s">
        <v>218</v>
      </c>
      <c r="AU310" t="str">
        <f>$D316</f>
        <v>SOC_POST_REPAIR</v>
      </c>
      <c r="AV310" t="str">
        <f>$D316</f>
        <v>SOC_POST_REPAIR</v>
      </c>
      <c r="AW310">
        <v>1</v>
      </c>
    </row>
    <row r="311" spans="1:56" x14ac:dyDescent="0.35">
      <c r="A311" s="28" t="s">
        <v>12</v>
      </c>
      <c r="B311" s="28" t="s">
        <v>97</v>
      </c>
      <c r="C311" s="28" t="str">
        <f>VLOOKUP(B311,templateLookup!A:B,2,0)</f>
        <v>iCScreenTest</v>
      </c>
      <c r="D311" t="str">
        <f>E311&amp;"_"&amp;F311&amp;"_"&amp;G311&amp;"_"&amp;H311&amp;"_"&amp;A311&amp;"_"&amp;I311&amp;"_"&amp;J311&amp;"_"&amp;K311&amp;"_"&amp;L311&amp;"_"&amp;M311&amp;"_"&amp;N311</f>
        <v>ALL_COMMON_SCREEN_E_BEGIN_TITO_SAX_NOM_LFM_X_JOIN_BISR</v>
      </c>
      <c r="E311" t="s">
        <v>7</v>
      </c>
      <c r="F311" t="s">
        <v>30</v>
      </c>
      <c r="G311" t="s">
        <v>206</v>
      </c>
      <c r="H311" t="s">
        <v>207</v>
      </c>
      <c r="I311" t="s">
        <v>260</v>
      </c>
      <c r="J311" t="s">
        <v>660</v>
      </c>
      <c r="K311" t="s">
        <v>284</v>
      </c>
      <c r="L311" t="s">
        <v>285</v>
      </c>
      <c r="M311" t="s">
        <v>208</v>
      </c>
      <c r="N311" t="s">
        <v>348</v>
      </c>
      <c r="O311" t="s">
        <v>211</v>
      </c>
      <c r="P311" t="s">
        <v>211</v>
      </c>
      <c r="Q311" t="s">
        <v>212</v>
      </c>
      <c r="R311">
        <v>61</v>
      </c>
      <c r="S311">
        <v>50</v>
      </c>
      <c r="T311">
        <v>100</v>
      </c>
      <c r="U311">
        <v>-1</v>
      </c>
      <c r="V311" s="12" t="b">
        <v>0</v>
      </c>
      <c r="AD311" t="s">
        <v>661</v>
      </c>
      <c r="AE311" t="s">
        <v>662</v>
      </c>
      <c r="AS311">
        <f>COUNTA(AU311:BD311)</f>
        <v>3</v>
      </c>
      <c r="AT311">
        <v>1</v>
      </c>
      <c r="AU311" t="str">
        <f>$D312</f>
        <v>ALL_SOC_VFDM_E_BEGIN_X_SAN_X_X_0400_ALL</v>
      </c>
      <c r="AV311" t="str">
        <f>$D312</f>
        <v>ALL_SOC_VFDM_E_BEGIN_X_SAN_X_X_0400_ALL</v>
      </c>
      <c r="AW311" t="str">
        <f>$D312</f>
        <v>ALL_SOC_VFDM_E_BEGIN_X_SAN_X_X_0400_ALL</v>
      </c>
    </row>
    <row r="312" spans="1:56" x14ac:dyDescent="0.35">
      <c r="A312" s="28" t="s">
        <v>12</v>
      </c>
      <c r="B312" s="28" t="s">
        <v>87</v>
      </c>
      <c r="C312" s="28" t="str">
        <f>VLOOKUP(B312,templateLookup!A:B,2,0)</f>
        <v>iCVFDMTest</v>
      </c>
      <c r="D312" t="str">
        <f>E312&amp;"_"&amp;F312&amp;"_"&amp;G312&amp;"_"&amp;H312&amp;"_"&amp;A312&amp;"_"&amp;I312&amp;"_"&amp;J312&amp;"_"&amp;K312&amp;"_"&amp;L312&amp;"_"&amp;M312&amp;"_"&amp;N312</f>
        <v>ALL_SOC_VFDM_E_BEGIN_X_SAN_X_X_0400_ALL</v>
      </c>
      <c r="E312" t="s">
        <v>7</v>
      </c>
      <c r="F312" t="s">
        <v>27</v>
      </c>
      <c r="G312" t="s">
        <v>178</v>
      </c>
      <c r="H312" t="s">
        <v>207</v>
      </c>
      <c r="I312" t="s">
        <v>208</v>
      </c>
      <c r="J312" t="s">
        <v>295</v>
      </c>
      <c r="K312" t="s">
        <v>208</v>
      </c>
      <c r="L312" t="s">
        <v>208</v>
      </c>
      <c r="M312" t="s">
        <v>663</v>
      </c>
      <c r="N312" t="s">
        <v>7</v>
      </c>
      <c r="O312" t="s">
        <v>211</v>
      </c>
      <c r="P312" t="s">
        <v>211</v>
      </c>
      <c r="Q312" t="s">
        <v>212</v>
      </c>
      <c r="R312">
        <v>61</v>
      </c>
      <c r="S312">
        <v>50</v>
      </c>
      <c r="T312">
        <v>101</v>
      </c>
      <c r="U312">
        <v>-1</v>
      </c>
      <c r="V312" s="12" t="b">
        <v>0</v>
      </c>
      <c r="W312" t="s">
        <v>298</v>
      </c>
      <c r="AF312" t="s">
        <v>246</v>
      </c>
      <c r="AG312" t="s">
        <v>664</v>
      </c>
      <c r="AS312">
        <f>COUNTA(AU312:BD312)</f>
        <v>3</v>
      </c>
      <c r="AT312" t="s">
        <v>218</v>
      </c>
      <c r="AU312" t="str">
        <f>$D313</f>
        <v>ALL_SOC_UF_K_BEGIN_X_X_X_X_X_DISP_VFDM_UF</v>
      </c>
      <c r="AV312" t="str">
        <f>$D313</f>
        <v>ALL_SOC_UF_K_BEGIN_X_X_X_X_X_DISP_VFDM_UF</v>
      </c>
      <c r="AW312">
        <v>2</v>
      </c>
    </row>
    <row r="313" spans="1:56" x14ac:dyDescent="0.35">
      <c r="A313" s="28" t="s">
        <v>12</v>
      </c>
      <c r="B313" s="28" t="s">
        <v>85</v>
      </c>
      <c r="C313" s="28" t="str">
        <f>VLOOKUP(B313,templateLookup!A:B,2,0)</f>
        <v>iCUserFuncTest</v>
      </c>
      <c r="D313" t="str">
        <f>E313&amp;"_"&amp;F313&amp;"_"&amp;G313&amp;"_"&amp;H313&amp;"_"&amp;A313&amp;"_"&amp;I313&amp;"_"&amp;J313&amp;"_"&amp;K313&amp;"_"&amp;L313&amp;"_"&amp;M313&amp;"_"&amp;N313</f>
        <v>ALL_SOC_UF_K_BEGIN_X_X_X_X_X_DISP_VFDM_UF</v>
      </c>
      <c r="E313" t="s">
        <v>7</v>
      </c>
      <c r="F313" t="s">
        <v>27</v>
      </c>
      <c r="G313" t="s">
        <v>353</v>
      </c>
      <c r="H313" t="s">
        <v>253</v>
      </c>
      <c r="I313" t="s">
        <v>208</v>
      </c>
      <c r="J313" t="s">
        <v>208</v>
      </c>
      <c r="K313" t="s">
        <v>208</v>
      </c>
      <c r="L313" t="s">
        <v>208</v>
      </c>
      <c r="M313" t="s">
        <v>208</v>
      </c>
      <c r="N313" t="s">
        <v>447</v>
      </c>
      <c r="O313" t="s">
        <v>211</v>
      </c>
      <c r="P313" t="s">
        <v>211</v>
      </c>
      <c r="Q313" t="s">
        <v>212</v>
      </c>
      <c r="R313">
        <v>90</v>
      </c>
      <c r="S313">
        <v>61</v>
      </c>
      <c r="T313">
        <v>102</v>
      </c>
      <c r="U313">
        <v>-1</v>
      </c>
      <c r="V313" s="12" t="b">
        <v>1</v>
      </c>
      <c r="W313" t="s">
        <v>298</v>
      </c>
      <c r="AJ313" t="s">
        <v>356</v>
      </c>
      <c r="AS313">
        <f>COUNTA(AU313:BD313)</f>
        <v>3</v>
      </c>
      <c r="AT313" t="s">
        <v>218</v>
      </c>
      <c r="AU313" t="str">
        <f>$D314</f>
        <v>ALL_SOC_PATMOD_E_BEGIN_TITO_X_NOM_LFM_X_DISP_REPAIR</v>
      </c>
      <c r="AV313" t="str">
        <f>$D314</f>
        <v>ALL_SOC_PATMOD_E_BEGIN_TITO_X_NOM_LFM_X_DISP_REPAIR</v>
      </c>
      <c r="AW313" t="str">
        <f>$D314</f>
        <v>ALL_SOC_PATMOD_E_BEGIN_TITO_X_NOM_LFM_X_DISP_REPAIR</v>
      </c>
    </row>
    <row r="314" spans="1:56" x14ac:dyDescent="0.35">
      <c r="A314" s="28" t="s">
        <v>12</v>
      </c>
      <c r="B314" s="28" t="s">
        <v>59</v>
      </c>
      <c r="C314" s="28" t="str">
        <f>VLOOKUP(B314,templateLookup!A:B,2,0)</f>
        <v>PrimePatConfigTestMethod</v>
      </c>
      <c r="D314" t="str">
        <f>E314&amp;"_"&amp;F314&amp;"_"&amp;G314&amp;"_"&amp;H314&amp;"_"&amp;A314&amp;"_"&amp;I314&amp;"_"&amp;J314&amp;"_"&amp;K314&amp;"_"&amp;L314&amp;"_"&amp;M314&amp;"_"&amp;N314</f>
        <v>ALL_SOC_PATMOD_E_BEGIN_TITO_X_NOM_LFM_X_DISP_REPAIR</v>
      </c>
      <c r="E314" t="s">
        <v>7</v>
      </c>
      <c r="F314" t="s">
        <v>27</v>
      </c>
      <c r="G314" t="s">
        <v>252</v>
      </c>
      <c r="H314" t="s">
        <v>207</v>
      </c>
      <c r="I314" t="s">
        <v>260</v>
      </c>
      <c r="J314" t="s">
        <v>208</v>
      </c>
      <c r="K314" t="s">
        <v>284</v>
      </c>
      <c r="L314" t="s">
        <v>285</v>
      </c>
      <c r="M314" t="s">
        <v>208</v>
      </c>
      <c r="N314" t="s">
        <v>448</v>
      </c>
      <c r="O314" t="s">
        <v>211</v>
      </c>
      <c r="P314" t="s">
        <v>211</v>
      </c>
      <c r="Q314" t="s">
        <v>212</v>
      </c>
      <c r="R314">
        <v>61</v>
      </c>
      <c r="S314">
        <v>50</v>
      </c>
      <c r="T314">
        <v>103</v>
      </c>
      <c r="U314">
        <v>-1</v>
      </c>
      <c r="V314" s="12" t="b">
        <v>0</v>
      </c>
      <c r="W314" t="s">
        <v>298</v>
      </c>
      <c r="AH314" t="s">
        <v>358</v>
      </c>
      <c r="AI314" s="13" t="s">
        <v>665</v>
      </c>
      <c r="AS314">
        <f>COUNTA(AU314:BD314)</f>
        <v>3</v>
      </c>
      <c r="AT314">
        <v>1</v>
      </c>
      <c r="AU314">
        <v>1</v>
      </c>
      <c r="AV314">
        <v>1</v>
      </c>
      <c r="AW314">
        <v>1</v>
      </c>
    </row>
    <row r="315" spans="1:56" x14ac:dyDescent="0.35">
      <c r="A315" s="27" t="s">
        <v>12</v>
      </c>
      <c r="B315" s="27" t="s">
        <v>50</v>
      </c>
      <c r="C315" s="27" t="str">
        <f>VLOOKUP(B315,templateLookup!A:B,2,0)</f>
        <v>COMPOSITE</v>
      </c>
      <c r="D315" s="10" t="s">
        <v>666</v>
      </c>
      <c r="V315" s="12"/>
    </row>
    <row r="316" spans="1:56" x14ac:dyDescent="0.35">
      <c r="A316" s="27" t="s">
        <v>12</v>
      </c>
      <c r="B316" s="27" t="s">
        <v>49</v>
      </c>
      <c r="C316" s="27" t="str">
        <f>VLOOKUP(B316,templateLookup!A:B,2,0)</f>
        <v>COMPOSITE</v>
      </c>
      <c r="D316" s="10" t="s">
        <v>667</v>
      </c>
      <c r="F316" t="s">
        <v>30</v>
      </c>
      <c r="V316" s="12"/>
      <c r="AS316">
        <f t="shared" ref="AS316:AS341" si="201">COUNTA(AU316:BD316)</f>
        <v>2</v>
      </c>
      <c r="AT316">
        <v>1</v>
      </c>
      <c r="AU316">
        <v>1</v>
      </c>
      <c r="AV316">
        <v>1</v>
      </c>
    </row>
    <row r="317" spans="1:56" x14ac:dyDescent="0.35">
      <c r="A317" s="27" t="s">
        <v>12</v>
      </c>
      <c r="B317" s="28" t="s">
        <v>55</v>
      </c>
      <c r="C317" s="28" t="str">
        <f>VLOOKUP(B317,templateLookup!A:B,2,0)</f>
        <v>PrimeMbistVminSearchTestMethod</v>
      </c>
      <c r="D317" t="str">
        <f t="shared" ref="D317:D341" si="202">E317&amp;"_"&amp;F317&amp;"_"&amp;G317&amp;"_"&amp;H317&amp;"_"&amp;A317&amp;"_"&amp;I317&amp;"_"&amp;J317&amp;"_"&amp;K317&amp;"_"&amp;L317&amp;"_"&amp;M317&amp;"_"&amp;N317</f>
        <v>SSA_SOC_HRY_E_BEGIN_TITO_SAQ_NOM_LFM_0600_MEMSS0_POSTREP_MMM_BP1</v>
      </c>
      <c r="E317" t="s">
        <v>4</v>
      </c>
      <c r="F317" t="s">
        <v>27</v>
      </c>
      <c r="G317" t="s">
        <v>271</v>
      </c>
      <c r="H317" t="s">
        <v>207</v>
      </c>
      <c r="I317" t="s">
        <v>260</v>
      </c>
      <c r="J317" t="s">
        <v>558</v>
      </c>
      <c r="K317" t="s">
        <v>284</v>
      </c>
      <c r="L317" t="s">
        <v>285</v>
      </c>
      <c r="M317" t="str">
        <f t="shared" ref="M317:M341" si="203">TEXT(600,"0000")</f>
        <v>0600</v>
      </c>
      <c r="N317" t="s">
        <v>668</v>
      </c>
      <c r="O317" t="s">
        <v>267</v>
      </c>
      <c r="P317" t="s">
        <v>268</v>
      </c>
      <c r="Q317" t="s">
        <v>561</v>
      </c>
      <c r="R317">
        <v>61</v>
      </c>
      <c r="S317">
        <v>50</v>
      </c>
      <c r="T317">
        <v>120</v>
      </c>
      <c r="U317">
        <v>-1</v>
      </c>
      <c r="V317" t="b">
        <v>0</v>
      </c>
      <c r="W317" t="s">
        <v>298</v>
      </c>
      <c r="X317" t="s">
        <v>363</v>
      </c>
      <c r="Y317" t="s">
        <v>272</v>
      </c>
      <c r="Z317">
        <v>0.85</v>
      </c>
      <c r="AA317">
        <v>0.85</v>
      </c>
      <c r="AS317">
        <f t="shared" si="201"/>
        <v>10</v>
      </c>
      <c r="AT317" t="s">
        <v>273</v>
      </c>
      <c r="AU317" t="str">
        <f t="shared" ref="AU317:BD340" si="204">$D318</f>
        <v>SSA_SOC_HRY_E_BEGIN_TITO_SAQ_NOM_LFM_0600_MEMSS1_POSTREP_MMM_BP2</v>
      </c>
      <c r="AV317" t="str">
        <f t="shared" si="204"/>
        <v>SSA_SOC_HRY_E_BEGIN_TITO_SAQ_NOM_LFM_0600_MEMSS1_POSTREP_MMM_BP2</v>
      </c>
      <c r="AW317" t="str">
        <f t="shared" si="204"/>
        <v>SSA_SOC_HRY_E_BEGIN_TITO_SAQ_NOM_LFM_0600_MEMSS1_POSTREP_MMM_BP2</v>
      </c>
      <c r="AX317" t="str">
        <f t="shared" si="204"/>
        <v>SSA_SOC_HRY_E_BEGIN_TITO_SAQ_NOM_LFM_0600_MEMSS1_POSTREP_MMM_BP2</v>
      </c>
      <c r="AY317" t="str">
        <f t="shared" si="204"/>
        <v>SSA_SOC_HRY_E_BEGIN_TITO_SAQ_NOM_LFM_0600_MEMSS1_POSTREP_MMM_BP2</v>
      </c>
      <c r="AZ317" t="str">
        <f t="shared" si="204"/>
        <v>SSA_SOC_HRY_E_BEGIN_TITO_SAQ_NOM_LFM_0600_MEMSS1_POSTREP_MMM_BP2</v>
      </c>
      <c r="BA317" t="str">
        <f t="shared" si="204"/>
        <v>SSA_SOC_HRY_E_BEGIN_TITO_SAQ_NOM_LFM_0600_MEMSS1_POSTREP_MMM_BP2</v>
      </c>
      <c r="BB317" t="str">
        <f t="shared" si="204"/>
        <v>SSA_SOC_HRY_E_BEGIN_TITO_SAQ_NOM_LFM_0600_MEMSS1_POSTREP_MMM_BP2</v>
      </c>
      <c r="BC317" t="str">
        <f t="shared" si="204"/>
        <v>SSA_SOC_HRY_E_BEGIN_TITO_SAQ_NOM_LFM_0600_MEMSS1_POSTREP_MMM_BP2</v>
      </c>
      <c r="BD317" t="str">
        <f t="shared" si="204"/>
        <v>SSA_SOC_HRY_E_BEGIN_TITO_SAQ_NOM_LFM_0600_MEMSS1_POSTREP_MMM_BP2</v>
      </c>
    </row>
    <row r="318" spans="1:56" x14ac:dyDescent="0.35">
      <c r="A318" s="27" t="s">
        <v>12</v>
      </c>
      <c r="B318" s="28" t="s">
        <v>55</v>
      </c>
      <c r="C318" s="28" t="str">
        <f>VLOOKUP(B318,templateLookup!A:B,2,0)</f>
        <v>PrimeMbistVminSearchTestMethod</v>
      </c>
      <c r="D318" t="str">
        <f t="shared" si="202"/>
        <v>SSA_SOC_HRY_E_BEGIN_TITO_SAQ_NOM_LFM_0600_MEMSS1_POSTREP_MMM_BP2</v>
      </c>
      <c r="E318" t="s">
        <v>4</v>
      </c>
      <c r="F318" t="s">
        <v>27</v>
      </c>
      <c r="G318" t="s">
        <v>271</v>
      </c>
      <c r="H318" t="s">
        <v>207</v>
      </c>
      <c r="I318" t="s">
        <v>260</v>
      </c>
      <c r="J318" t="s">
        <v>558</v>
      </c>
      <c r="K318" t="s">
        <v>284</v>
      </c>
      <c r="L318" t="s">
        <v>285</v>
      </c>
      <c r="M318" t="str">
        <f t="shared" si="203"/>
        <v>0600</v>
      </c>
      <c r="N318" t="s">
        <v>669</v>
      </c>
      <c r="O318" t="s">
        <v>267</v>
      </c>
      <c r="P318" t="s">
        <v>268</v>
      </c>
      <c r="Q318" t="s">
        <v>566</v>
      </c>
      <c r="R318">
        <v>61</v>
      </c>
      <c r="S318">
        <v>50</v>
      </c>
      <c r="T318">
        <v>121</v>
      </c>
      <c r="U318">
        <v>-1</v>
      </c>
      <c r="V318" t="b">
        <v>0</v>
      </c>
      <c r="W318" t="s">
        <v>298</v>
      </c>
      <c r="X318" t="s">
        <v>363</v>
      </c>
      <c r="Y318" t="s">
        <v>272</v>
      </c>
      <c r="Z318">
        <v>0.85</v>
      </c>
      <c r="AA318">
        <v>0.85</v>
      </c>
      <c r="AS318">
        <f t="shared" si="201"/>
        <v>10</v>
      </c>
      <c r="AT318" t="s">
        <v>273</v>
      </c>
      <c r="AU318" t="str">
        <f t="shared" si="204"/>
        <v>LSA_SOC_HRY_E_BEGIN_TITO_SAQ_NOM_LFM_0600_MEMSS0_POSTREP_MMM_BP1</v>
      </c>
      <c r="AV318" t="str">
        <f t="shared" si="204"/>
        <v>LSA_SOC_HRY_E_BEGIN_TITO_SAQ_NOM_LFM_0600_MEMSS0_POSTREP_MMM_BP1</v>
      </c>
      <c r="AW318" t="str">
        <f t="shared" si="204"/>
        <v>LSA_SOC_HRY_E_BEGIN_TITO_SAQ_NOM_LFM_0600_MEMSS0_POSTREP_MMM_BP1</v>
      </c>
      <c r="AX318" t="str">
        <f t="shared" si="204"/>
        <v>LSA_SOC_HRY_E_BEGIN_TITO_SAQ_NOM_LFM_0600_MEMSS0_POSTREP_MMM_BP1</v>
      </c>
      <c r="AY318" t="str">
        <f t="shared" si="204"/>
        <v>LSA_SOC_HRY_E_BEGIN_TITO_SAQ_NOM_LFM_0600_MEMSS0_POSTREP_MMM_BP1</v>
      </c>
      <c r="AZ318" t="str">
        <f t="shared" si="204"/>
        <v>LSA_SOC_HRY_E_BEGIN_TITO_SAQ_NOM_LFM_0600_MEMSS0_POSTREP_MMM_BP1</v>
      </c>
      <c r="BA318" t="str">
        <f t="shared" si="204"/>
        <v>LSA_SOC_HRY_E_BEGIN_TITO_SAQ_NOM_LFM_0600_MEMSS0_POSTREP_MMM_BP1</v>
      </c>
      <c r="BB318" t="str">
        <f t="shared" si="204"/>
        <v>LSA_SOC_HRY_E_BEGIN_TITO_SAQ_NOM_LFM_0600_MEMSS0_POSTREP_MMM_BP1</v>
      </c>
      <c r="BC318" t="str">
        <f t="shared" si="204"/>
        <v>LSA_SOC_HRY_E_BEGIN_TITO_SAQ_NOM_LFM_0600_MEMSS0_POSTREP_MMM_BP1</v>
      </c>
      <c r="BD318" t="str">
        <f t="shared" si="204"/>
        <v>LSA_SOC_HRY_E_BEGIN_TITO_SAQ_NOM_LFM_0600_MEMSS0_POSTREP_MMM_BP1</v>
      </c>
    </row>
    <row r="319" spans="1:56" x14ac:dyDescent="0.35">
      <c r="A319" s="27" t="s">
        <v>12</v>
      </c>
      <c r="B319" s="28" t="s">
        <v>55</v>
      </c>
      <c r="C319" s="28" t="str">
        <f>VLOOKUP(B319,templateLookup!A:B,2,0)</f>
        <v>PrimeMbistVminSearchTestMethod</v>
      </c>
      <c r="D319" t="str">
        <f t="shared" si="202"/>
        <v>LSA_SOC_HRY_E_BEGIN_TITO_SAQ_NOM_LFM_0600_MEMSS0_POSTREP_MMM_BP1</v>
      </c>
      <c r="E319" t="s">
        <v>5</v>
      </c>
      <c r="F319" t="s">
        <v>27</v>
      </c>
      <c r="G319" t="s">
        <v>271</v>
      </c>
      <c r="H319" t="s">
        <v>207</v>
      </c>
      <c r="I319" t="s">
        <v>260</v>
      </c>
      <c r="J319" t="s">
        <v>558</v>
      </c>
      <c r="K319" t="s">
        <v>284</v>
      </c>
      <c r="L319" t="s">
        <v>285</v>
      </c>
      <c r="M319" t="str">
        <f t="shared" si="203"/>
        <v>0600</v>
      </c>
      <c r="N319" t="s">
        <v>668</v>
      </c>
      <c r="O319" t="s">
        <v>267</v>
      </c>
      <c r="P319" t="s">
        <v>268</v>
      </c>
      <c r="Q319" t="s">
        <v>570</v>
      </c>
      <c r="R319">
        <v>21</v>
      </c>
      <c r="S319">
        <v>50</v>
      </c>
      <c r="T319">
        <v>122</v>
      </c>
      <c r="U319">
        <v>-1</v>
      </c>
      <c r="V319" t="b">
        <v>0</v>
      </c>
      <c r="W319" t="s">
        <v>298</v>
      </c>
      <c r="X319" t="s">
        <v>363</v>
      </c>
      <c r="Y319" t="s">
        <v>272</v>
      </c>
      <c r="Z319">
        <v>0.85</v>
      </c>
      <c r="AA319">
        <v>0.85</v>
      </c>
      <c r="AS319">
        <f t="shared" si="201"/>
        <v>10</v>
      </c>
      <c r="AT319" t="s">
        <v>273</v>
      </c>
      <c r="AU319" t="str">
        <f t="shared" si="204"/>
        <v>LSA_SOC_HRY_E_BEGIN_TITO_SAQ_NOM_LFM_0600_MEMSS1_POSTREP_MMM_BP2</v>
      </c>
      <c r="AV319" t="str">
        <f t="shared" si="204"/>
        <v>LSA_SOC_HRY_E_BEGIN_TITO_SAQ_NOM_LFM_0600_MEMSS1_POSTREP_MMM_BP2</v>
      </c>
      <c r="AW319" t="str">
        <f t="shared" si="204"/>
        <v>LSA_SOC_HRY_E_BEGIN_TITO_SAQ_NOM_LFM_0600_MEMSS1_POSTREP_MMM_BP2</v>
      </c>
      <c r="AX319" t="str">
        <f t="shared" si="204"/>
        <v>LSA_SOC_HRY_E_BEGIN_TITO_SAQ_NOM_LFM_0600_MEMSS1_POSTREP_MMM_BP2</v>
      </c>
      <c r="AY319" t="str">
        <f t="shared" si="204"/>
        <v>LSA_SOC_HRY_E_BEGIN_TITO_SAQ_NOM_LFM_0600_MEMSS1_POSTREP_MMM_BP2</v>
      </c>
      <c r="AZ319" t="str">
        <f t="shared" si="204"/>
        <v>LSA_SOC_HRY_E_BEGIN_TITO_SAQ_NOM_LFM_0600_MEMSS1_POSTREP_MMM_BP2</v>
      </c>
      <c r="BA319" t="str">
        <f t="shared" si="204"/>
        <v>LSA_SOC_HRY_E_BEGIN_TITO_SAQ_NOM_LFM_0600_MEMSS1_POSTREP_MMM_BP2</v>
      </c>
      <c r="BB319" t="str">
        <f t="shared" si="204"/>
        <v>LSA_SOC_HRY_E_BEGIN_TITO_SAQ_NOM_LFM_0600_MEMSS1_POSTREP_MMM_BP2</v>
      </c>
      <c r="BC319" t="str">
        <f t="shared" si="204"/>
        <v>LSA_SOC_HRY_E_BEGIN_TITO_SAQ_NOM_LFM_0600_MEMSS1_POSTREP_MMM_BP2</v>
      </c>
      <c r="BD319" t="str">
        <f t="shared" si="204"/>
        <v>LSA_SOC_HRY_E_BEGIN_TITO_SAQ_NOM_LFM_0600_MEMSS1_POSTREP_MMM_BP2</v>
      </c>
    </row>
    <row r="320" spans="1:56" x14ac:dyDescent="0.35">
      <c r="A320" s="27" t="s">
        <v>12</v>
      </c>
      <c r="B320" s="28" t="s">
        <v>55</v>
      </c>
      <c r="C320" s="28" t="str">
        <f>VLOOKUP(B320,templateLookup!A:B,2,0)</f>
        <v>PrimeMbistVminSearchTestMethod</v>
      </c>
      <c r="D320" t="str">
        <f t="shared" si="202"/>
        <v>LSA_SOC_HRY_E_BEGIN_TITO_SAQ_NOM_LFM_0600_MEMSS1_POSTREP_MMM_BP2</v>
      </c>
      <c r="E320" t="s">
        <v>5</v>
      </c>
      <c r="F320" t="s">
        <v>27</v>
      </c>
      <c r="G320" t="s">
        <v>271</v>
      </c>
      <c r="H320" t="s">
        <v>207</v>
      </c>
      <c r="I320" t="s">
        <v>260</v>
      </c>
      <c r="J320" t="s">
        <v>558</v>
      </c>
      <c r="K320" t="s">
        <v>284</v>
      </c>
      <c r="L320" t="s">
        <v>285</v>
      </c>
      <c r="M320" t="str">
        <f t="shared" si="203"/>
        <v>0600</v>
      </c>
      <c r="N320" t="s">
        <v>669</v>
      </c>
      <c r="O320" t="s">
        <v>267</v>
      </c>
      <c r="P320" t="s">
        <v>268</v>
      </c>
      <c r="Q320" t="s">
        <v>572</v>
      </c>
      <c r="R320">
        <v>21</v>
      </c>
      <c r="S320">
        <v>50</v>
      </c>
      <c r="T320">
        <v>123</v>
      </c>
      <c r="U320">
        <v>-1</v>
      </c>
      <c r="V320" t="b">
        <v>0</v>
      </c>
      <c r="W320" t="s">
        <v>298</v>
      </c>
      <c r="X320" t="s">
        <v>363</v>
      </c>
      <c r="Y320" t="s">
        <v>272</v>
      </c>
      <c r="Z320">
        <v>0.85</v>
      </c>
      <c r="AA320">
        <v>0.85</v>
      </c>
      <c r="AS320">
        <f t="shared" si="201"/>
        <v>10</v>
      </c>
      <c r="AT320" t="s">
        <v>273</v>
      </c>
      <c r="AU320" t="str">
        <f t="shared" si="204"/>
        <v>LSA_SOC_HRY_E_BEGIN_TITO_SAQ_NOM_LFM_0600_MEMSS2_POSTREP_MMM_BP3</v>
      </c>
      <c r="AV320" t="str">
        <f t="shared" si="204"/>
        <v>LSA_SOC_HRY_E_BEGIN_TITO_SAQ_NOM_LFM_0600_MEMSS2_POSTREP_MMM_BP3</v>
      </c>
      <c r="AW320" t="str">
        <f t="shared" si="204"/>
        <v>LSA_SOC_HRY_E_BEGIN_TITO_SAQ_NOM_LFM_0600_MEMSS2_POSTREP_MMM_BP3</v>
      </c>
      <c r="AX320" t="str">
        <f t="shared" si="204"/>
        <v>LSA_SOC_HRY_E_BEGIN_TITO_SAQ_NOM_LFM_0600_MEMSS2_POSTREP_MMM_BP3</v>
      </c>
      <c r="AY320" t="str">
        <f t="shared" si="204"/>
        <v>LSA_SOC_HRY_E_BEGIN_TITO_SAQ_NOM_LFM_0600_MEMSS2_POSTREP_MMM_BP3</v>
      </c>
      <c r="AZ320" t="str">
        <f t="shared" si="204"/>
        <v>LSA_SOC_HRY_E_BEGIN_TITO_SAQ_NOM_LFM_0600_MEMSS2_POSTREP_MMM_BP3</v>
      </c>
      <c r="BA320" t="str">
        <f t="shared" si="204"/>
        <v>LSA_SOC_HRY_E_BEGIN_TITO_SAQ_NOM_LFM_0600_MEMSS2_POSTREP_MMM_BP3</v>
      </c>
      <c r="BB320" t="str">
        <f t="shared" si="204"/>
        <v>LSA_SOC_HRY_E_BEGIN_TITO_SAQ_NOM_LFM_0600_MEMSS2_POSTREP_MMM_BP3</v>
      </c>
      <c r="BC320" t="str">
        <f t="shared" si="204"/>
        <v>LSA_SOC_HRY_E_BEGIN_TITO_SAQ_NOM_LFM_0600_MEMSS2_POSTREP_MMM_BP3</v>
      </c>
      <c r="BD320" t="str">
        <f t="shared" si="204"/>
        <v>LSA_SOC_HRY_E_BEGIN_TITO_SAQ_NOM_LFM_0600_MEMSS2_POSTREP_MMM_BP3</v>
      </c>
    </row>
    <row r="321" spans="1:56" x14ac:dyDescent="0.35">
      <c r="A321" s="27" t="s">
        <v>12</v>
      </c>
      <c r="B321" s="28" t="s">
        <v>55</v>
      </c>
      <c r="C321" s="28" t="str">
        <f>VLOOKUP(B321,templateLookup!A:B,2,0)</f>
        <v>PrimeMbistVminSearchTestMethod</v>
      </c>
      <c r="D321" t="str">
        <f t="shared" si="202"/>
        <v>LSA_SOC_HRY_E_BEGIN_TITO_SAQ_NOM_LFM_0600_MEMSS2_POSTREP_MMM_BP3</v>
      </c>
      <c r="E321" t="s">
        <v>5</v>
      </c>
      <c r="F321" t="s">
        <v>27</v>
      </c>
      <c r="G321" t="s">
        <v>271</v>
      </c>
      <c r="H321" t="s">
        <v>207</v>
      </c>
      <c r="I321" t="s">
        <v>260</v>
      </c>
      <c r="J321" t="s">
        <v>558</v>
      </c>
      <c r="K321" t="s">
        <v>284</v>
      </c>
      <c r="L321" t="s">
        <v>285</v>
      </c>
      <c r="M321" t="str">
        <f t="shared" si="203"/>
        <v>0600</v>
      </c>
      <c r="N321" t="s">
        <v>670</v>
      </c>
      <c r="O321" t="s">
        <v>267</v>
      </c>
      <c r="P321" t="s">
        <v>268</v>
      </c>
      <c r="Q321" t="s">
        <v>575</v>
      </c>
      <c r="R321">
        <v>21</v>
      </c>
      <c r="S321">
        <v>50</v>
      </c>
      <c r="T321">
        <v>124</v>
      </c>
      <c r="U321">
        <v>-1</v>
      </c>
      <c r="V321" t="b">
        <v>0</v>
      </c>
      <c r="W321" t="s">
        <v>298</v>
      </c>
      <c r="X321" t="s">
        <v>363</v>
      </c>
      <c r="Y321" t="s">
        <v>272</v>
      </c>
      <c r="Z321">
        <v>0.85</v>
      </c>
      <c r="AA321">
        <v>0.85</v>
      </c>
      <c r="AS321">
        <f t="shared" si="201"/>
        <v>10</v>
      </c>
      <c r="AT321" t="s">
        <v>273</v>
      </c>
      <c r="AU321" t="str">
        <f t="shared" si="204"/>
        <v>LSA_SOC_HRY_E_BEGIN_TITO_SAQ_NOM_LFM_0600_MEMSS3_POSTREP_MMM_BP4</v>
      </c>
      <c r="AV321" t="str">
        <f t="shared" si="204"/>
        <v>LSA_SOC_HRY_E_BEGIN_TITO_SAQ_NOM_LFM_0600_MEMSS3_POSTREP_MMM_BP4</v>
      </c>
      <c r="AW321" t="str">
        <f t="shared" si="204"/>
        <v>LSA_SOC_HRY_E_BEGIN_TITO_SAQ_NOM_LFM_0600_MEMSS3_POSTREP_MMM_BP4</v>
      </c>
      <c r="AX321" t="str">
        <f t="shared" si="204"/>
        <v>LSA_SOC_HRY_E_BEGIN_TITO_SAQ_NOM_LFM_0600_MEMSS3_POSTREP_MMM_BP4</v>
      </c>
      <c r="AY321" t="str">
        <f t="shared" si="204"/>
        <v>LSA_SOC_HRY_E_BEGIN_TITO_SAQ_NOM_LFM_0600_MEMSS3_POSTREP_MMM_BP4</v>
      </c>
      <c r="AZ321" t="str">
        <f t="shared" si="204"/>
        <v>LSA_SOC_HRY_E_BEGIN_TITO_SAQ_NOM_LFM_0600_MEMSS3_POSTREP_MMM_BP4</v>
      </c>
      <c r="BA321" t="str">
        <f t="shared" si="204"/>
        <v>LSA_SOC_HRY_E_BEGIN_TITO_SAQ_NOM_LFM_0600_MEMSS3_POSTREP_MMM_BP4</v>
      </c>
      <c r="BB321" t="str">
        <f t="shared" si="204"/>
        <v>LSA_SOC_HRY_E_BEGIN_TITO_SAQ_NOM_LFM_0600_MEMSS3_POSTREP_MMM_BP4</v>
      </c>
      <c r="BC321" t="str">
        <f t="shared" si="204"/>
        <v>LSA_SOC_HRY_E_BEGIN_TITO_SAQ_NOM_LFM_0600_MEMSS3_POSTREP_MMM_BP4</v>
      </c>
      <c r="BD321" t="str">
        <f t="shared" si="204"/>
        <v>LSA_SOC_HRY_E_BEGIN_TITO_SAQ_NOM_LFM_0600_MEMSS3_POSTREP_MMM_BP4</v>
      </c>
    </row>
    <row r="322" spans="1:56" x14ac:dyDescent="0.35">
      <c r="A322" s="27" t="s">
        <v>12</v>
      </c>
      <c r="B322" s="28" t="s">
        <v>55</v>
      </c>
      <c r="C322" s="28" t="str">
        <f>VLOOKUP(B322,templateLookup!A:B,2,0)</f>
        <v>PrimeMbistVminSearchTestMethod</v>
      </c>
      <c r="D322" t="str">
        <f t="shared" si="202"/>
        <v>LSA_SOC_HRY_E_BEGIN_TITO_SAQ_NOM_LFM_0600_MEMSS3_POSTREP_MMM_BP4</v>
      </c>
      <c r="E322" t="s">
        <v>5</v>
      </c>
      <c r="F322" t="s">
        <v>27</v>
      </c>
      <c r="G322" t="s">
        <v>271</v>
      </c>
      <c r="H322" t="s">
        <v>207</v>
      </c>
      <c r="I322" t="s">
        <v>260</v>
      </c>
      <c r="J322" t="s">
        <v>558</v>
      </c>
      <c r="K322" t="s">
        <v>284</v>
      </c>
      <c r="L322" t="s">
        <v>285</v>
      </c>
      <c r="M322" t="str">
        <f t="shared" si="203"/>
        <v>0600</v>
      </c>
      <c r="N322" t="s">
        <v>671</v>
      </c>
      <c r="O322" t="s">
        <v>267</v>
      </c>
      <c r="P322" t="s">
        <v>268</v>
      </c>
      <c r="Q322" t="s">
        <v>580</v>
      </c>
      <c r="R322">
        <v>21</v>
      </c>
      <c r="S322">
        <v>50</v>
      </c>
      <c r="T322">
        <v>125</v>
      </c>
      <c r="U322">
        <v>-1</v>
      </c>
      <c r="V322" t="b">
        <v>0</v>
      </c>
      <c r="W322" t="s">
        <v>298</v>
      </c>
      <c r="X322" t="s">
        <v>363</v>
      </c>
      <c r="Y322" t="s">
        <v>272</v>
      </c>
      <c r="Z322">
        <v>0.85</v>
      </c>
      <c r="AA322">
        <v>0.85</v>
      </c>
      <c r="AS322">
        <f t="shared" si="201"/>
        <v>10</v>
      </c>
      <c r="AT322" t="s">
        <v>273</v>
      </c>
      <c r="AU322" t="str">
        <f t="shared" si="204"/>
        <v>SSA_SOC_HRY_E_BEGIN_TITO_SAQ_NOM_LFM_0600_DDRPHY0_POSTREP_MMM_BP5</v>
      </c>
      <c r="AV322" t="str">
        <f t="shared" si="204"/>
        <v>SSA_SOC_HRY_E_BEGIN_TITO_SAQ_NOM_LFM_0600_DDRPHY0_POSTREP_MMM_BP5</v>
      </c>
      <c r="AW322" t="str">
        <f t="shared" si="204"/>
        <v>SSA_SOC_HRY_E_BEGIN_TITO_SAQ_NOM_LFM_0600_DDRPHY0_POSTREP_MMM_BP5</v>
      </c>
      <c r="AX322" t="str">
        <f t="shared" si="204"/>
        <v>SSA_SOC_HRY_E_BEGIN_TITO_SAQ_NOM_LFM_0600_DDRPHY0_POSTREP_MMM_BP5</v>
      </c>
      <c r="AY322" t="str">
        <f t="shared" si="204"/>
        <v>SSA_SOC_HRY_E_BEGIN_TITO_SAQ_NOM_LFM_0600_DDRPHY0_POSTREP_MMM_BP5</v>
      </c>
      <c r="AZ322" t="str">
        <f t="shared" si="204"/>
        <v>SSA_SOC_HRY_E_BEGIN_TITO_SAQ_NOM_LFM_0600_DDRPHY0_POSTREP_MMM_BP5</v>
      </c>
      <c r="BA322" t="str">
        <f t="shared" si="204"/>
        <v>SSA_SOC_HRY_E_BEGIN_TITO_SAQ_NOM_LFM_0600_DDRPHY0_POSTREP_MMM_BP5</v>
      </c>
      <c r="BB322" t="str">
        <f t="shared" si="204"/>
        <v>SSA_SOC_HRY_E_BEGIN_TITO_SAQ_NOM_LFM_0600_DDRPHY0_POSTREP_MMM_BP5</v>
      </c>
      <c r="BC322" t="str">
        <f t="shared" si="204"/>
        <v>SSA_SOC_HRY_E_BEGIN_TITO_SAQ_NOM_LFM_0600_DDRPHY0_POSTREP_MMM_BP5</v>
      </c>
      <c r="BD322" t="str">
        <f t="shared" si="204"/>
        <v>SSA_SOC_HRY_E_BEGIN_TITO_SAQ_NOM_LFM_0600_DDRPHY0_POSTREP_MMM_BP5</v>
      </c>
    </row>
    <row r="323" spans="1:56" x14ac:dyDescent="0.35">
      <c r="A323" s="27" t="s">
        <v>12</v>
      </c>
      <c r="B323" s="28" t="s">
        <v>55</v>
      </c>
      <c r="C323" s="28" t="str">
        <f>VLOOKUP(B323,templateLookup!A:B,2,0)</f>
        <v>PrimeMbistVminSearchTestMethod</v>
      </c>
      <c r="D323" t="str">
        <f t="shared" si="202"/>
        <v>SSA_SOC_HRY_E_BEGIN_TITO_SAQ_NOM_LFM_0600_DDRPHY0_POSTREP_MMM_BP5</v>
      </c>
      <c r="E323" t="s">
        <v>4</v>
      </c>
      <c r="F323" t="s">
        <v>27</v>
      </c>
      <c r="G323" t="s">
        <v>271</v>
      </c>
      <c r="H323" t="s">
        <v>207</v>
      </c>
      <c r="I323" t="s">
        <v>260</v>
      </c>
      <c r="J323" t="s">
        <v>558</v>
      </c>
      <c r="K323" t="s">
        <v>284</v>
      </c>
      <c r="L323" t="s">
        <v>285</v>
      </c>
      <c r="M323" t="str">
        <f t="shared" si="203"/>
        <v>0600</v>
      </c>
      <c r="N323" t="s">
        <v>672</v>
      </c>
      <c r="O323" t="s">
        <v>267</v>
      </c>
      <c r="P323" t="s">
        <v>268</v>
      </c>
      <c r="Q323" t="s">
        <v>673</v>
      </c>
      <c r="R323">
        <v>61</v>
      </c>
      <c r="S323">
        <v>50</v>
      </c>
      <c r="T323">
        <v>126</v>
      </c>
      <c r="U323">
        <v>-1</v>
      </c>
      <c r="V323" t="b">
        <v>0</v>
      </c>
      <c r="W323" t="s">
        <v>298</v>
      </c>
      <c r="X323" t="s">
        <v>363</v>
      </c>
      <c r="Y323" t="s">
        <v>272</v>
      </c>
      <c r="Z323">
        <v>0.85</v>
      </c>
      <c r="AA323">
        <v>0.85</v>
      </c>
      <c r="AS323">
        <f t="shared" si="201"/>
        <v>10</v>
      </c>
      <c r="AT323" t="s">
        <v>273</v>
      </c>
      <c r="AU323" t="str">
        <f t="shared" si="204"/>
        <v>SSA_SOC_HRY_E_BEGIN_TITO_SAQ_NOM_LFM_0600_DDRPHY_1_2_POSTREP_MMM_BP6</v>
      </c>
      <c r="AV323" t="str">
        <f t="shared" si="204"/>
        <v>SSA_SOC_HRY_E_BEGIN_TITO_SAQ_NOM_LFM_0600_DDRPHY_1_2_POSTREP_MMM_BP6</v>
      </c>
      <c r="AW323" t="str">
        <f t="shared" si="204"/>
        <v>SSA_SOC_HRY_E_BEGIN_TITO_SAQ_NOM_LFM_0600_DDRPHY_1_2_POSTREP_MMM_BP6</v>
      </c>
      <c r="AX323" t="str">
        <f t="shared" si="204"/>
        <v>SSA_SOC_HRY_E_BEGIN_TITO_SAQ_NOM_LFM_0600_DDRPHY_1_2_POSTREP_MMM_BP6</v>
      </c>
      <c r="AY323" t="str">
        <f t="shared" si="204"/>
        <v>SSA_SOC_HRY_E_BEGIN_TITO_SAQ_NOM_LFM_0600_DDRPHY_1_2_POSTREP_MMM_BP6</v>
      </c>
      <c r="AZ323" t="str">
        <f t="shared" si="204"/>
        <v>SSA_SOC_HRY_E_BEGIN_TITO_SAQ_NOM_LFM_0600_DDRPHY_1_2_POSTREP_MMM_BP6</v>
      </c>
      <c r="BA323" t="str">
        <f t="shared" si="204"/>
        <v>SSA_SOC_HRY_E_BEGIN_TITO_SAQ_NOM_LFM_0600_DDRPHY_1_2_POSTREP_MMM_BP6</v>
      </c>
      <c r="BB323" t="str">
        <f t="shared" si="204"/>
        <v>SSA_SOC_HRY_E_BEGIN_TITO_SAQ_NOM_LFM_0600_DDRPHY_1_2_POSTREP_MMM_BP6</v>
      </c>
      <c r="BC323" t="str">
        <f t="shared" si="204"/>
        <v>SSA_SOC_HRY_E_BEGIN_TITO_SAQ_NOM_LFM_0600_DDRPHY_1_2_POSTREP_MMM_BP6</v>
      </c>
      <c r="BD323" t="str">
        <f t="shared" si="204"/>
        <v>SSA_SOC_HRY_E_BEGIN_TITO_SAQ_NOM_LFM_0600_DDRPHY_1_2_POSTREP_MMM_BP6</v>
      </c>
    </row>
    <row r="324" spans="1:56" x14ac:dyDescent="0.35">
      <c r="A324" s="27" t="s">
        <v>12</v>
      </c>
      <c r="B324" s="28" t="s">
        <v>55</v>
      </c>
      <c r="C324" s="28" t="str">
        <f>VLOOKUP(B324,templateLookup!A:B,2,0)</f>
        <v>PrimeMbistVminSearchTestMethod</v>
      </c>
      <c r="D324" t="str">
        <f t="shared" si="202"/>
        <v>SSA_SOC_HRY_E_BEGIN_TITO_SAQ_NOM_LFM_0600_DDRPHY_1_2_POSTREP_MMM_BP6</v>
      </c>
      <c r="E324" t="s">
        <v>4</v>
      </c>
      <c r="F324" t="s">
        <v>27</v>
      </c>
      <c r="G324" t="s">
        <v>271</v>
      </c>
      <c r="H324" t="s">
        <v>207</v>
      </c>
      <c r="I324" t="s">
        <v>260</v>
      </c>
      <c r="J324" t="s">
        <v>558</v>
      </c>
      <c r="K324" t="s">
        <v>284</v>
      </c>
      <c r="L324" t="s">
        <v>285</v>
      </c>
      <c r="M324" t="str">
        <f t="shared" si="203"/>
        <v>0600</v>
      </c>
      <c r="N324" t="s">
        <v>674</v>
      </c>
      <c r="O324" t="s">
        <v>267</v>
      </c>
      <c r="P324" t="s">
        <v>268</v>
      </c>
      <c r="Q324" t="s">
        <v>675</v>
      </c>
      <c r="R324">
        <v>61</v>
      </c>
      <c r="S324">
        <v>50</v>
      </c>
      <c r="T324">
        <v>127</v>
      </c>
      <c r="U324">
        <v>-1</v>
      </c>
      <c r="V324" t="b">
        <v>0</v>
      </c>
      <c r="W324" t="s">
        <v>298</v>
      </c>
      <c r="X324" t="s">
        <v>363</v>
      </c>
      <c r="Y324" t="s">
        <v>272</v>
      </c>
      <c r="Z324">
        <v>0.85</v>
      </c>
      <c r="AA324">
        <v>0.85</v>
      </c>
      <c r="AS324">
        <f t="shared" si="201"/>
        <v>10</v>
      </c>
      <c r="AT324" t="s">
        <v>273</v>
      </c>
      <c r="AU324" t="str">
        <f t="shared" si="204"/>
        <v>SSA_SOC_HRY_E_BEGIN_TITO_SAQ_NOM_LFM_0600_DDRPHY3_POSTREP_MMM_BP7</v>
      </c>
      <c r="AV324" t="str">
        <f t="shared" si="204"/>
        <v>SSA_SOC_HRY_E_BEGIN_TITO_SAQ_NOM_LFM_0600_DDRPHY3_POSTREP_MMM_BP7</v>
      </c>
      <c r="AW324" t="str">
        <f t="shared" si="204"/>
        <v>SSA_SOC_HRY_E_BEGIN_TITO_SAQ_NOM_LFM_0600_DDRPHY3_POSTREP_MMM_BP7</v>
      </c>
      <c r="AX324" t="str">
        <f t="shared" si="204"/>
        <v>SSA_SOC_HRY_E_BEGIN_TITO_SAQ_NOM_LFM_0600_DDRPHY3_POSTREP_MMM_BP7</v>
      </c>
      <c r="AY324" t="str">
        <f t="shared" si="204"/>
        <v>SSA_SOC_HRY_E_BEGIN_TITO_SAQ_NOM_LFM_0600_DDRPHY3_POSTREP_MMM_BP7</v>
      </c>
      <c r="AZ324" t="str">
        <f t="shared" si="204"/>
        <v>SSA_SOC_HRY_E_BEGIN_TITO_SAQ_NOM_LFM_0600_DDRPHY3_POSTREP_MMM_BP7</v>
      </c>
      <c r="BA324" t="str">
        <f t="shared" si="204"/>
        <v>SSA_SOC_HRY_E_BEGIN_TITO_SAQ_NOM_LFM_0600_DDRPHY3_POSTREP_MMM_BP7</v>
      </c>
      <c r="BB324" t="str">
        <f t="shared" si="204"/>
        <v>SSA_SOC_HRY_E_BEGIN_TITO_SAQ_NOM_LFM_0600_DDRPHY3_POSTREP_MMM_BP7</v>
      </c>
      <c r="BC324" t="str">
        <f t="shared" si="204"/>
        <v>SSA_SOC_HRY_E_BEGIN_TITO_SAQ_NOM_LFM_0600_DDRPHY3_POSTREP_MMM_BP7</v>
      </c>
      <c r="BD324" t="str">
        <f t="shared" si="204"/>
        <v>SSA_SOC_HRY_E_BEGIN_TITO_SAQ_NOM_LFM_0600_DDRPHY3_POSTREP_MMM_BP7</v>
      </c>
    </row>
    <row r="325" spans="1:56" x14ac:dyDescent="0.35">
      <c r="A325" s="27" t="s">
        <v>12</v>
      </c>
      <c r="B325" s="28" t="s">
        <v>55</v>
      </c>
      <c r="C325" s="28" t="str">
        <f>VLOOKUP(B325,templateLookup!A:B,2,0)</f>
        <v>PrimeMbistVminSearchTestMethod</v>
      </c>
      <c r="D325" t="str">
        <f t="shared" si="202"/>
        <v>SSA_SOC_HRY_E_BEGIN_TITO_SAQ_NOM_LFM_0600_DDRPHY3_POSTREP_MMM_BP7</v>
      </c>
      <c r="E325" t="s">
        <v>4</v>
      </c>
      <c r="F325" t="s">
        <v>27</v>
      </c>
      <c r="G325" t="s">
        <v>271</v>
      </c>
      <c r="H325" t="s">
        <v>207</v>
      </c>
      <c r="I325" t="s">
        <v>260</v>
      </c>
      <c r="J325" t="s">
        <v>558</v>
      </c>
      <c r="K325" t="s">
        <v>284</v>
      </c>
      <c r="L325" t="s">
        <v>285</v>
      </c>
      <c r="M325" t="str">
        <f t="shared" si="203"/>
        <v>0600</v>
      </c>
      <c r="N325" t="s">
        <v>676</v>
      </c>
      <c r="O325" t="s">
        <v>267</v>
      </c>
      <c r="P325" t="s">
        <v>268</v>
      </c>
      <c r="Q325" t="s">
        <v>677</v>
      </c>
      <c r="R325">
        <v>61</v>
      </c>
      <c r="S325">
        <v>50</v>
      </c>
      <c r="T325">
        <v>128</v>
      </c>
      <c r="U325">
        <v>-1</v>
      </c>
      <c r="V325" t="b">
        <v>0</v>
      </c>
      <c r="W325" t="s">
        <v>298</v>
      </c>
      <c r="X325" t="s">
        <v>363</v>
      </c>
      <c r="Y325" t="s">
        <v>272</v>
      </c>
      <c r="Z325">
        <v>0.85</v>
      </c>
      <c r="AA325">
        <v>0.85</v>
      </c>
      <c r="AS325">
        <f t="shared" si="201"/>
        <v>10</v>
      </c>
      <c r="AT325" t="s">
        <v>273</v>
      </c>
      <c r="AU325" t="str">
        <f t="shared" si="204"/>
        <v>SSA_SOC_HRY_E_BEGIN_TITO_SAQ_NOM_LFM_0600_DDRPHY3_POSTREP_MMM_BP8</v>
      </c>
      <c r="AV325" t="str">
        <f t="shared" si="204"/>
        <v>SSA_SOC_HRY_E_BEGIN_TITO_SAQ_NOM_LFM_0600_DDRPHY3_POSTREP_MMM_BP8</v>
      </c>
      <c r="AW325" t="str">
        <f t="shared" si="204"/>
        <v>SSA_SOC_HRY_E_BEGIN_TITO_SAQ_NOM_LFM_0600_DDRPHY3_POSTREP_MMM_BP8</v>
      </c>
      <c r="AX325" t="str">
        <f t="shared" si="204"/>
        <v>SSA_SOC_HRY_E_BEGIN_TITO_SAQ_NOM_LFM_0600_DDRPHY3_POSTREP_MMM_BP8</v>
      </c>
      <c r="AY325" t="str">
        <f t="shared" si="204"/>
        <v>SSA_SOC_HRY_E_BEGIN_TITO_SAQ_NOM_LFM_0600_DDRPHY3_POSTREP_MMM_BP8</v>
      </c>
      <c r="AZ325" t="str">
        <f t="shared" si="204"/>
        <v>SSA_SOC_HRY_E_BEGIN_TITO_SAQ_NOM_LFM_0600_DDRPHY3_POSTREP_MMM_BP8</v>
      </c>
      <c r="BA325" t="str">
        <f t="shared" si="204"/>
        <v>SSA_SOC_HRY_E_BEGIN_TITO_SAQ_NOM_LFM_0600_DDRPHY3_POSTREP_MMM_BP8</v>
      </c>
      <c r="BB325" t="str">
        <f t="shared" si="204"/>
        <v>SSA_SOC_HRY_E_BEGIN_TITO_SAQ_NOM_LFM_0600_DDRPHY3_POSTREP_MMM_BP8</v>
      </c>
      <c r="BC325" t="str">
        <f t="shared" si="204"/>
        <v>SSA_SOC_HRY_E_BEGIN_TITO_SAQ_NOM_LFM_0600_DDRPHY3_POSTREP_MMM_BP8</v>
      </c>
      <c r="BD325" t="str">
        <f t="shared" si="204"/>
        <v>SSA_SOC_HRY_E_BEGIN_TITO_SAQ_NOM_LFM_0600_DDRPHY3_POSTREP_MMM_BP8</v>
      </c>
    </row>
    <row r="326" spans="1:56" x14ac:dyDescent="0.35">
      <c r="A326" s="27" t="s">
        <v>12</v>
      </c>
      <c r="B326" s="28" t="s">
        <v>55</v>
      </c>
      <c r="C326" s="28" t="str">
        <f>VLOOKUP(B326,templateLookup!A:B,2,0)</f>
        <v>PrimeMbistVminSearchTestMethod</v>
      </c>
      <c r="D326" t="str">
        <f t="shared" si="202"/>
        <v>SSA_SOC_HRY_E_BEGIN_TITO_SAQ_NOM_LFM_0600_DDRPHY3_POSTREP_MMM_BP8</v>
      </c>
      <c r="E326" t="s">
        <v>4</v>
      </c>
      <c r="F326" t="s">
        <v>27</v>
      </c>
      <c r="G326" t="s">
        <v>271</v>
      </c>
      <c r="H326" t="s">
        <v>207</v>
      </c>
      <c r="I326" t="s">
        <v>260</v>
      </c>
      <c r="J326" t="s">
        <v>558</v>
      </c>
      <c r="K326" t="s">
        <v>284</v>
      </c>
      <c r="L326" t="s">
        <v>285</v>
      </c>
      <c r="M326" t="str">
        <f t="shared" si="203"/>
        <v>0600</v>
      </c>
      <c r="N326" t="s">
        <v>678</v>
      </c>
      <c r="O326" t="s">
        <v>267</v>
      </c>
      <c r="P326" t="s">
        <v>268</v>
      </c>
      <c r="Q326" t="s">
        <v>596</v>
      </c>
      <c r="R326">
        <v>61</v>
      </c>
      <c r="S326">
        <v>50</v>
      </c>
      <c r="T326">
        <v>129</v>
      </c>
      <c r="U326">
        <v>-1</v>
      </c>
      <c r="V326" t="b">
        <v>0</v>
      </c>
      <c r="W326" t="s">
        <v>298</v>
      </c>
      <c r="X326" t="s">
        <v>363</v>
      </c>
      <c r="Y326" t="s">
        <v>272</v>
      </c>
      <c r="Z326">
        <v>0.85</v>
      </c>
      <c r="AA326">
        <v>0.85</v>
      </c>
      <c r="AS326">
        <f t="shared" si="201"/>
        <v>10</v>
      </c>
      <c r="AT326" t="s">
        <v>273</v>
      </c>
      <c r="AU326" t="str">
        <f t="shared" si="204"/>
        <v>LSA_SOC_HRY_E_BEGIN_TITO_SAQ_NOM_LFM_0600_DDRPHY_1_2_POSTREP_MMM_BP6</v>
      </c>
      <c r="AV326" t="str">
        <f t="shared" si="204"/>
        <v>LSA_SOC_HRY_E_BEGIN_TITO_SAQ_NOM_LFM_0600_DDRPHY_1_2_POSTREP_MMM_BP6</v>
      </c>
      <c r="AW326" t="str">
        <f t="shared" si="204"/>
        <v>LSA_SOC_HRY_E_BEGIN_TITO_SAQ_NOM_LFM_0600_DDRPHY_1_2_POSTREP_MMM_BP6</v>
      </c>
      <c r="AX326" t="str">
        <f t="shared" si="204"/>
        <v>LSA_SOC_HRY_E_BEGIN_TITO_SAQ_NOM_LFM_0600_DDRPHY_1_2_POSTREP_MMM_BP6</v>
      </c>
      <c r="AY326" t="str">
        <f t="shared" si="204"/>
        <v>LSA_SOC_HRY_E_BEGIN_TITO_SAQ_NOM_LFM_0600_DDRPHY_1_2_POSTREP_MMM_BP6</v>
      </c>
      <c r="AZ326" t="str">
        <f t="shared" si="204"/>
        <v>LSA_SOC_HRY_E_BEGIN_TITO_SAQ_NOM_LFM_0600_DDRPHY_1_2_POSTREP_MMM_BP6</v>
      </c>
      <c r="BA326" t="str">
        <f t="shared" si="204"/>
        <v>LSA_SOC_HRY_E_BEGIN_TITO_SAQ_NOM_LFM_0600_DDRPHY_1_2_POSTREP_MMM_BP6</v>
      </c>
      <c r="BB326" t="str">
        <f t="shared" si="204"/>
        <v>LSA_SOC_HRY_E_BEGIN_TITO_SAQ_NOM_LFM_0600_DDRPHY_1_2_POSTREP_MMM_BP6</v>
      </c>
      <c r="BC326" t="str">
        <f t="shared" si="204"/>
        <v>LSA_SOC_HRY_E_BEGIN_TITO_SAQ_NOM_LFM_0600_DDRPHY_1_2_POSTREP_MMM_BP6</v>
      </c>
      <c r="BD326" t="str">
        <f t="shared" si="204"/>
        <v>LSA_SOC_HRY_E_BEGIN_TITO_SAQ_NOM_LFM_0600_DDRPHY_1_2_POSTREP_MMM_BP6</v>
      </c>
    </row>
    <row r="327" spans="1:56" x14ac:dyDescent="0.35">
      <c r="A327" s="27" t="s">
        <v>12</v>
      </c>
      <c r="B327" s="28" t="s">
        <v>55</v>
      </c>
      <c r="C327" s="28" t="str">
        <f>VLOOKUP(B327,templateLookup!A:B,2,0)</f>
        <v>PrimeMbistVminSearchTestMethod</v>
      </c>
      <c r="D327" t="str">
        <f t="shared" si="202"/>
        <v>LSA_SOC_HRY_E_BEGIN_TITO_SAQ_NOM_LFM_0600_DDRPHY_1_2_POSTREP_MMM_BP6</v>
      </c>
      <c r="E327" t="s">
        <v>5</v>
      </c>
      <c r="F327" t="s">
        <v>27</v>
      </c>
      <c r="G327" t="s">
        <v>271</v>
      </c>
      <c r="H327" t="s">
        <v>207</v>
      </c>
      <c r="I327" t="s">
        <v>260</v>
      </c>
      <c r="J327" t="s">
        <v>558</v>
      </c>
      <c r="K327" t="s">
        <v>284</v>
      </c>
      <c r="L327" t="s">
        <v>285</v>
      </c>
      <c r="M327" t="str">
        <f t="shared" si="203"/>
        <v>0600</v>
      </c>
      <c r="N327" t="s">
        <v>674</v>
      </c>
      <c r="O327" t="s">
        <v>267</v>
      </c>
      <c r="P327" t="s">
        <v>268</v>
      </c>
      <c r="Q327" t="s">
        <v>679</v>
      </c>
      <c r="R327">
        <v>21</v>
      </c>
      <c r="S327">
        <v>50</v>
      </c>
      <c r="T327">
        <v>130</v>
      </c>
      <c r="U327">
        <v>-1</v>
      </c>
      <c r="V327" t="b">
        <v>0</v>
      </c>
      <c r="W327" t="s">
        <v>298</v>
      </c>
      <c r="X327" t="s">
        <v>363</v>
      </c>
      <c r="Y327" t="s">
        <v>272</v>
      </c>
      <c r="Z327">
        <v>0.85</v>
      </c>
      <c r="AA327">
        <v>0.85</v>
      </c>
      <c r="AS327">
        <f t="shared" si="201"/>
        <v>10</v>
      </c>
      <c r="AT327" t="s">
        <v>273</v>
      </c>
      <c r="AU327" t="str">
        <f t="shared" si="204"/>
        <v>SSA_SOC_HRY_E_BEGIN_TITO_SAQ_NOM_LFM_0600_HBO0_HBO_POSTREP_HBO0_BP4</v>
      </c>
      <c r="AV327" t="str">
        <f t="shared" si="204"/>
        <v>SSA_SOC_HRY_E_BEGIN_TITO_SAQ_NOM_LFM_0600_HBO0_HBO_POSTREP_HBO0_BP4</v>
      </c>
      <c r="AW327" t="str">
        <f t="shared" si="204"/>
        <v>SSA_SOC_HRY_E_BEGIN_TITO_SAQ_NOM_LFM_0600_HBO0_HBO_POSTREP_HBO0_BP4</v>
      </c>
      <c r="AX327" t="str">
        <f t="shared" si="204"/>
        <v>SSA_SOC_HRY_E_BEGIN_TITO_SAQ_NOM_LFM_0600_HBO0_HBO_POSTREP_HBO0_BP4</v>
      </c>
      <c r="AY327" t="str">
        <f t="shared" si="204"/>
        <v>SSA_SOC_HRY_E_BEGIN_TITO_SAQ_NOM_LFM_0600_HBO0_HBO_POSTREP_HBO0_BP4</v>
      </c>
      <c r="AZ327" t="str">
        <f t="shared" si="204"/>
        <v>SSA_SOC_HRY_E_BEGIN_TITO_SAQ_NOM_LFM_0600_HBO0_HBO_POSTREP_HBO0_BP4</v>
      </c>
      <c r="BA327" t="str">
        <f t="shared" si="204"/>
        <v>SSA_SOC_HRY_E_BEGIN_TITO_SAQ_NOM_LFM_0600_HBO0_HBO_POSTREP_HBO0_BP4</v>
      </c>
      <c r="BB327" t="str">
        <f t="shared" si="204"/>
        <v>SSA_SOC_HRY_E_BEGIN_TITO_SAQ_NOM_LFM_0600_HBO0_HBO_POSTREP_HBO0_BP4</v>
      </c>
      <c r="BC327" t="str">
        <f t="shared" si="204"/>
        <v>SSA_SOC_HRY_E_BEGIN_TITO_SAQ_NOM_LFM_0600_HBO0_HBO_POSTREP_HBO0_BP4</v>
      </c>
      <c r="BD327" t="str">
        <f t="shared" si="204"/>
        <v>SSA_SOC_HRY_E_BEGIN_TITO_SAQ_NOM_LFM_0600_HBO0_HBO_POSTREP_HBO0_BP4</v>
      </c>
    </row>
    <row r="328" spans="1:56" x14ac:dyDescent="0.35">
      <c r="A328" s="27" t="s">
        <v>12</v>
      </c>
      <c r="B328" s="28" t="s">
        <v>55</v>
      </c>
      <c r="C328" s="28" t="str">
        <f>VLOOKUP(B328,templateLookup!A:B,2,0)</f>
        <v>PrimeMbistVminSearchTestMethod</v>
      </c>
      <c r="D328" t="str">
        <f t="shared" si="202"/>
        <v>SSA_SOC_HRY_E_BEGIN_TITO_SAQ_NOM_LFM_0600_HBO0_HBO_POSTREP_HBO0_BP4</v>
      </c>
      <c r="E328" t="s">
        <v>4</v>
      </c>
      <c r="F328" t="s">
        <v>27</v>
      </c>
      <c r="G328" t="s">
        <v>271</v>
      </c>
      <c r="H328" t="s">
        <v>207</v>
      </c>
      <c r="I328" t="s">
        <v>260</v>
      </c>
      <c r="J328" t="s">
        <v>558</v>
      </c>
      <c r="K328" t="s">
        <v>284</v>
      </c>
      <c r="L328" t="s">
        <v>285</v>
      </c>
      <c r="M328" t="str">
        <f t="shared" si="203"/>
        <v>0600</v>
      </c>
      <c r="N328" t="s">
        <v>680</v>
      </c>
      <c r="O328" t="s">
        <v>267</v>
      </c>
      <c r="P328" t="s">
        <v>268</v>
      </c>
      <c r="Q328" t="s">
        <v>604</v>
      </c>
      <c r="R328">
        <v>61</v>
      </c>
      <c r="S328">
        <v>50</v>
      </c>
      <c r="T328">
        <v>131</v>
      </c>
      <c r="U328">
        <v>-1</v>
      </c>
      <c r="V328" t="b">
        <v>0</v>
      </c>
      <c r="W328" t="s">
        <v>298</v>
      </c>
      <c r="X328" t="s">
        <v>363</v>
      </c>
      <c r="Y328" t="s">
        <v>272</v>
      </c>
      <c r="Z328">
        <v>0.85</v>
      </c>
      <c r="AA328">
        <v>0.85</v>
      </c>
      <c r="AS328">
        <f t="shared" si="201"/>
        <v>10</v>
      </c>
      <c r="AT328" t="s">
        <v>273</v>
      </c>
      <c r="AU328" t="str">
        <f t="shared" si="204"/>
        <v>SSA_SOC_HRY_E_BEGIN_TITO_SAQ_NOM_LFM_0600_HBO0_MUFASA0_POSTREP_HBO0_BP2</v>
      </c>
      <c r="AV328" t="str">
        <f t="shared" si="204"/>
        <v>SSA_SOC_HRY_E_BEGIN_TITO_SAQ_NOM_LFM_0600_HBO0_MUFASA0_POSTREP_HBO0_BP2</v>
      </c>
      <c r="AW328" t="str">
        <f t="shared" si="204"/>
        <v>SSA_SOC_HRY_E_BEGIN_TITO_SAQ_NOM_LFM_0600_HBO0_MUFASA0_POSTREP_HBO0_BP2</v>
      </c>
      <c r="AX328" t="str">
        <f t="shared" si="204"/>
        <v>SSA_SOC_HRY_E_BEGIN_TITO_SAQ_NOM_LFM_0600_HBO0_MUFASA0_POSTREP_HBO0_BP2</v>
      </c>
      <c r="AY328" t="str">
        <f t="shared" si="204"/>
        <v>SSA_SOC_HRY_E_BEGIN_TITO_SAQ_NOM_LFM_0600_HBO0_MUFASA0_POSTREP_HBO0_BP2</v>
      </c>
      <c r="AZ328" t="str">
        <f t="shared" si="204"/>
        <v>SSA_SOC_HRY_E_BEGIN_TITO_SAQ_NOM_LFM_0600_HBO0_MUFASA0_POSTREP_HBO0_BP2</v>
      </c>
      <c r="BA328" t="str">
        <f t="shared" si="204"/>
        <v>SSA_SOC_HRY_E_BEGIN_TITO_SAQ_NOM_LFM_0600_HBO0_MUFASA0_POSTREP_HBO0_BP2</v>
      </c>
      <c r="BB328" t="str">
        <f t="shared" si="204"/>
        <v>SSA_SOC_HRY_E_BEGIN_TITO_SAQ_NOM_LFM_0600_HBO0_MUFASA0_POSTREP_HBO0_BP2</v>
      </c>
      <c r="BC328" t="str">
        <f t="shared" si="204"/>
        <v>SSA_SOC_HRY_E_BEGIN_TITO_SAQ_NOM_LFM_0600_HBO0_MUFASA0_POSTREP_HBO0_BP2</v>
      </c>
      <c r="BD328" t="str">
        <f t="shared" si="204"/>
        <v>SSA_SOC_HRY_E_BEGIN_TITO_SAQ_NOM_LFM_0600_HBO0_MUFASA0_POSTREP_HBO0_BP2</v>
      </c>
    </row>
    <row r="329" spans="1:56" x14ac:dyDescent="0.35">
      <c r="A329" s="27" t="s">
        <v>12</v>
      </c>
      <c r="B329" s="28" t="s">
        <v>55</v>
      </c>
      <c r="C329" s="28" t="str">
        <f>VLOOKUP(B329,templateLookup!A:B,2,0)</f>
        <v>PrimeMbistVminSearchTestMethod</v>
      </c>
      <c r="D329" t="str">
        <f t="shared" si="202"/>
        <v>SSA_SOC_HRY_E_BEGIN_TITO_SAQ_NOM_LFM_0600_HBO0_MUFASA0_POSTREP_HBO0_BP2</v>
      </c>
      <c r="E329" t="s">
        <v>4</v>
      </c>
      <c r="F329" t="s">
        <v>27</v>
      </c>
      <c r="G329" t="s">
        <v>271</v>
      </c>
      <c r="H329" t="s">
        <v>207</v>
      </c>
      <c r="I329" t="s">
        <v>260</v>
      </c>
      <c r="J329" t="s">
        <v>558</v>
      </c>
      <c r="K329" t="s">
        <v>284</v>
      </c>
      <c r="L329" t="s">
        <v>285</v>
      </c>
      <c r="M329" t="str">
        <f t="shared" si="203"/>
        <v>0600</v>
      </c>
      <c r="N329" t="s">
        <v>681</v>
      </c>
      <c r="O329" t="s">
        <v>267</v>
      </c>
      <c r="P329" t="s">
        <v>268</v>
      </c>
      <c r="Q329" t="s">
        <v>269</v>
      </c>
      <c r="R329">
        <v>61</v>
      </c>
      <c r="S329">
        <v>50</v>
      </c>
      <c r="T329">
        <v>132</v>
      </c>
      <c r="U329">
        <v>-1</v>
      </c>
      <c r="V329" t="b">
        <v>0</v>
      </c>
      <c r="W329" t="s">
        <v>298</v>
      </c>
      <c r="X329" t="s">
        <v>363</v>
      </c>
      <c r="Y329" t="s">
        <v>272</v>
      </c>
      <c r="Z329">
        <v>0.85</v>
      </c>
      <c r="AA329">
        <v>0.85</v>
      </c>
      <c r="AS329">
        <f t="shared" si="201"/>
        <v>10</v>
      </c>
      <c r="AT329" t="s">
        <v>273</v>
      </c>
      <c r="AU329" t="str">
        <f t="shared" si="204"/>
        <v>SSA_SOC_HRY_E_BEGIN_TITO_SAQ_NOM_LFM_0600_HBO0_MUFASA1_POSTREP_HBO0_BP3</v>
      </c>
      <c r="AV329" t="str">
        <f t="shared" si="204"/>
        <v>SSA_SOC_HRY_E_BEGIN_TITO_SAQ_NOM_LFM_0600_HBO0_MUFASA1_POSTREP_HBO0_BP3</v>
      </c>
      <c r="AW329" t="str">
        <f t="shared" si="204"/>
        <v>SSA_SOC_HRY_E_BEGIN_TITO_SAQ_NOM_LFM_0600_HBO0_MUFASA1_POSTREP_HBO0_BP3</v>
      </c>
      <c r="AX329" t="str">
        <f t="shared" si="204"/>
        <v>SSA_SOC_HRY_E_BEGIN_TITO_SAQ_NOM_LFM_0600_HBO0_MUFASA1_POSTREP_HBO0_BP3</v>
      </c>
      <c r="AY329" t="str">
        <f t="shared" si="204"/>
        <v>SSA_SOC_HRY_E_BEGIN_TITO_SAQ_NOM_LFM_0600_HBO0_MUFASA1_POSTREP_HBO0_BP3</v>
      </c>
      <c r="AZ329" t="str">
        <f t="shared" si="204"/>
        <v>SSA_SOC_HRY_E_BEGIN_TITO_SAQ_NOM_LFM_0600_HBO0_MUFASA1_POSTREP_HBO0_BP3</v>
      </c>
      <c r="BA329" t="str">
        <f t="shared" si="204"/>
        <v>SSA_SOC_HRY_E_BEGIN_TITO_SAQ_NOM_LFM_0600_HBO0_MUFASA1_POSTREP_HBO0_BP3</v>
      </c>
      <c r="BB329" t="str">
        <f t="shared" si="204"/>
        <v>SSA_SOC_HRY_E_BEGIN_TITO_SAQ_NOM_LFM_0600_HBO0_MUFASA1_POSTREP_HBO0_BP3</v>
      </c>
      <c r="BC329" t="str">
        <f t="shared" si="204"/>
        <v>SSA_SOC_HRY_E_BEGIN_TITO_SAQ_NOM_LFM_0600_HBO0_MUFASA1_POSTREP_HBO0_BP3</v>
      </c>
      <c r="BD329" t="str">
        <f t="shared" si="204"/>
        <v>SSA_SOC_HRY_E_BEGIN_TITO_SAQ_NOM_LFM_0600_HBO0_MUFASA1_POSTREP_HBO0_BP3</v>
      </c>
    </row>
    <row r="330" spans="1:56" x14ac:dyDescent="0.35">
      <c r="A330" s="27" t="s">
        <v>12</v>
      </c>
      <c r="B330" s="28" t="s">
        <v>55</v>
      </c>
      <c r="C330" s="28" t="str">
        <f>VLOOKUP(B330,templateLookup!A:B,2,0)</f>
        <v>PrimeMbistVminSearchTestMethod</v>
      </c>
      <c r="D330" t="str">
        <f t="shared" si="202"/>
        <v>SSA_SOC_HRY_E_BEGIN_TITO_SAQ_NOM_LFM_0600_HBO0_MUFASA1_POSTREP_HBO0_BP3</v>
      </c>
      <c r="E330" t="s">
        <v>4</v>
      </c>
      <c r="F330" t="s">
        <v>27</v>
      </c>
      <c r="G330" t="s">
        <v>271</v>
      </c>
      <c r="H330" t="s">
        <v>207</v>
      </c>
      <c r="I330" t="s">
        <v>260</v>
      </c>
      <c r="J330" t="s">
        <v>558</v>
      </c>
      <c r="K330" t="s">
        <v>284</v>
      </c>
      <c r="L330" t="s">
        <v>285</v>
      </c>
      <c r="M330" t="str">
        <f t="shared" si="203"/>
        <v>0600</v>
      </c>
      <c r="N330" t="s">
        <v>682</v>
      </c>
      <c r="O330" t="s">
        <v>267</v>
      </c>
      <c r="P330" t="s">
        <v>268</v>
      </c>
      <c r="Q330" t="s">
        <v>683</v>
      </c>
      <c r="R330">
        <v>61</v>
      </c>
      <c r="S330">
        <v>50</v>
      </c>
      <c r="T330">
        <v>133</v>
      </c>
      <c r="U330">
        <v>-1</v>
      </c>
      <c r="V330" t="b">
        <v>0</v>
      </c>
      <c r="W330" t="s">
        <v>298</v>
      </c>
      <c r="X330" t="s">
        <v>363</v>
      </c>
      <c r="Y330" t="s">
        <v>272</v>
      </c>
      <c r="Z330">
        <v>0.85</v>
      </c>
      <c r="AA330">
        <v>0.85</v>
      </c>
      <c r="AS330">
        <f t="shared" si="201"/>
        <v>10</v>
      </c>
      <c r="AT330" t="s">
        <v>273</v>
      </c>
      <c r="AU330" t="str">
        <f t="shared" si="204"/>
        <v>SSA_SOC_HRY_E_BEGIN_TITO_SAQ_NOM_LFM_0600_HBO1_HBO_POSTREP_HBO1_BP4</v>
      </c>
      <c r="AV330" t="str">
        <f t="shared" si="204"/>
        <v>SSA_SOC_HRY_E_BEGIN_TITO_SAQ_NOM_LFM_0600_HBO1_HBO_POSTREP_HBO1_BP4</v>
      </c>
      <c r="AW330" t="str">
        <f t="shared" si="204"/>
        <v>SSA_SOC_HRY_E_BEGIN_TITO_SAQ_NOM_LFM_0600_HBO1_HBO_POSTREP_HBO1_BP4</v>
      </c>
      <c r="AX330" t="str">
        <f t="shared" si="204"/>
        <v>SSA_SOC_HRY_E_BEGIN_TITO_SAQ_NOM_LFM_0600_HBO1_HBO_POSTREP_HBO1_BP4</v>
      </c>
      <c r="AY330" t="str">
        <f t="shared" si="204"/>
        <v>SSA_SOC_HRY_E_BEGIN_TITO_SAQ_NOM_LFM_0600_HBO1_HBO_POSTREP_HBO1_BP4</v>
      </c>
      <c r="AZ330" t="str">
        <f t="shared" si="204"/>
        <v>SSA_SOC_HRY_E_BEGIN_TITO_SAQ_NOM_LFM_0600_HBO1_HBO_POSTREP_HBO1_BP4</v>
      </c>
      <c r="BA330" t="str">
        <f t="shared" si="204"/>
        <v>SSA_SOC_HRY_E_BEGIN_TITO_SAQ_NOM_LFM_0600_HBO1_HBO_POSTREP_HBO1_BP4</v>
      </c>
      <c r="BB330" t="str">
        <f t="shared" si="204"/>
        <v>SSA_SOC_HRY_E_BEGIN_TITO_SAQ_NOM_LFM_0600_HBO1_HBO_POSTREP_HBO1_BP4</v>
      </c>
      <c r="BC330" t="str">
        <f t="shared" si="204"/>
        <v>SSA_SOC_HRY_E_BEGIN_TITO_SAQ_NOM_LFM_0600_HBO1_HBO_POSTREP_HBO1_BP4</v>
      </c>
      <c r="BD330" t="str">
        <f t="shared" si="204"/>
        <v>SSA_SOC_HRY_E_BEGIN_TITO_SAQ_NOM_LFM_0600_HBO1_HBO_POSTREP_HBO1_BP4</v>
      </c>
    </row>
    <row r="331" spans="1:56" x14ac:dyDescent="0.35">
      <c r="A331" s="27" t="s">
        <v>12</v>
      </c>
      <c r="B331" s="28" t="s">
        <v>55</v>
      </c>
      <c r="C331" s="28" t="str">
        <f>VLOOKUP(B331,templateLookup!A:B,2,0)</f>
        <v>PrimeMbistVminSearchTestMethod</v>
      </c>
      <c r="D331" t="str">
        <f t="shared" si="202"/>
        <v>SSA_SOC_HRY_E_BEGIN_TITO_SAQ_NOM_LFM_0600_HBO1_HBO_POSTREP_HBO1_BP4</v>
      </c>
      <c r="E331" t="s">
        <v>4</v>
      </c>
      <c r="F331" t="s">
        <v>27</v>
      </c>
      <c r="G331" t="s">
        <v>271</v>
      </c>
      <c r="H331" t="s">
        <v>207</v>
      </c>
      <c r="I331" t="s">
        <v>260</v>
      </c>
      <c r="J331" t="s">
        <v>558</v>
      </c>
      <c r="K331" t="s">
        <v>284</v>
      </c>
      <c r="L331" t="s">
        <v>285</v>
      </c>
      <c r="M331" t="str">
        <f t="shared" si="203"/>
        <v>0600</v>
      </c>
      <c r="N331" t="s">
        <v>684</v>
      </c>
      <c r="O331" t="s">
        <v>267</v>
      </c>
      <c r="P331" t="s">
        <v>268</v>
      </c>
      <c r="Q331" t="s">
        <v>615</v>
      </c>
      <c r="R331">
        <v>61</v>
      </c>
      <c r="S331">
        <v>50</v>
      </c>
      <c r="T331">
        <v>134</v>
      </c>
      <c r="U331">
        <v>-1</v>
      </c>
      <c r="V331" t="b">
        <v>0</v>
      </c>
      <c r="W331" t="s">
        <v>298</v>
      </c>
      <c r="X331" t="s">
        <v>363</v>
      </c>
      <c r="Y331" t="s">
        <v>272</v>
      </c>
      <c r="Z331">
        <v>0.85</v>
      </c>
      <c r="AA331">
        <v>0.85</v>
      </c>
      <c r="AS331">
        <f t="shared" si="201"/>
        <v>10</v>
      </c>
      <c r="AT331" t="s">
        <v>273</v>
      </c>
      <c r="AU331" t="str">
        <f t="shared" si="204"/>
        <v>SSA_SOC_HRY_E_BEGIN_TITO_SAQ_NOM_LFM_0600_HBO1_MUFASA0_POSTREP_HBO1_BP2</v>
      </c>
      <c r="AV331" t="str">
        <f t="shared" si="204"/>
        <v>SSA_SOC_HRY_E_BEGIN_TITO_SAQ_NOM_LFM_0600_HBO1_MUFASA0_POSTREP_HBO1_BP2</v>
      </c>
      <c r="AW331" t="str">
        <f t="shared" si="204"/>
        <v>SSA_SOC_HRY_E_BEGIN_TITO_SAQ_NOM_LFM_0600_HBO1_MUFASA0_POSTREP_HBO1_BP2</v>
      </c>
      <c r="AX331" t="str">
        <f t="shared" si="204"/>
        <v>SSA_SOC_HRY_E_BEGIN_TITO_SAQ_NOM_LFM_0600_HBO1_MUFASA0_POSTREP_HBO1_BP2</v>
      </c>
      <c r="AY331" t="str">
        <f t="shared" si="204"/>
        <v>SSA_SOC_HRY_E_BEGIN_TITO_SAQ_NOM_LFM_0600_HBO1_MUFASA0_POSTREP_HBO1_BP2</v>
      </c>
      <c r="AZ331" t="str">
        <f t="shared" si="204"/>
        <v>SSA_SOC_HRY_E_BEGIN_TITO_SAQ_NOM_LFM_0600_HBO1_MUFASA0_POSTREP_HBO1_BP2</v>
      </c>
      <c r="BA331" t="str">
        <f t="shared" si="204"/>
        <v>SSA_SOC_HRY_E_BEGIN_TITO_SAQ_NOM_LFM_0600_HBO1_MUFASA0_POSTREP_HBO1_BP2</v>
      </c>
      <c r="BB331" t="str">
        <f t="shared" si="204"/>
        <v>SSA_SOC_HRY_E_BEGIN_TITO_SAQ_NOM_LFM_0600_HBO1_MUFASA0_POSTREP_HBO1_BP2</v>
      </c>
      <c r="BC331" t="str">
        <f t="shared" si="204"/>
        <v>SSA_SOC_HRY_E_BEGIN_TITO_SAQ_NOM_LFM_0600_HBO1_MUFASA0_POSTREP_HBO1_BP2</v>
      </c>
      <c r="BD331" t="str">
        <f t="shared" si="204"/>
        <v>SSA_SOC_HRY_E_BEGIN_TITO_SAQ_NOM_LFM_0600_HBO1_MUFASA0_POSTREP_HBO1_BP2</v>
      </c>
    </row>
    <row r="332" spans="1:56" x14ac:dyDescent="0.35">
      <c r="A332" s="27" t="s">
        <v>12</v>
      </c>
      <c r="B332" s="28" t="s">
        <v>55</v>
      </c>
      <c r="C332" s="28" t="str">
        <f>VLOOKUP(B332,templateLookup!A:B,2,0)</f>
        <v>PrimeMbistVminSearchTestMethod</v>
      </c>
      <c r="D332" t="str">
        <f t="shared" si="202"/>
        <v>SSA_SOC_HRY_E_BEGIN_TITO_SAQ_NOM_LFM_0600_HBO1_MUFASA0_POSTREP_HBO1_BP2</v>
      </c>
      <c r="E332" t="s">
        <v>4</v>
      </c>
      <c r="F332" t="s">
        <v>27</v>
      </c>
      <c r="G332" t="s">
        <v>271</v>
      </c>
      <c r="H332" t="s">
        <v>207</v>
      </c>
      <c r="I332" t="s">
        <v>260</v>
      </c>
      <c r="J332" t="s">
        <v>558</v>
      </c>
      <c r="K332" t="s">
        <v>284</v>
      </c>
      <c r="L332" t="s">
        <v>285</v>
      </c>
      <c r="M332" t="str">
        <f t="shared" si="203"/>
        <v>0600</v>
      </c>
      <c r="N332" t="s">
        <v>685</v>
      </c>
      <c r="O332" t="s">
        <v>267</v>
      </c>
      <c r="P332" t="s">
        <v>268</v>
      </c>
      <c r="Q332" t="s">
        <v>686</v>
      </c>
      <c r="R332">
        <v>61</v>
      </c>
      <c r="S332">
        <v>50</v>
      </c>
      <c r="T332">
        <v>135</v>
      </c>
      <c r="U332">
        <v>-1</v>
      </c>
      <c r="V332" t="b">
        <v>0</v>
      </c>
      <c r="W332" t="s">
        <v>298</v>
      </c>
      <c r="X332" t="s">
        <v>363</v>
      </c>
      <c r="Y332" t="s">
        <v>272</v>
      </c>
      <c r="Z332">
        <v>0.85</v>
      </c>
      <c r="AA332">
        <v>0.85</v>
      </c>
      <c r="AS332">
        <f t="shared" si="201"/>
        <v>10</v>
      </c>
      <c r="AT332" t="s">
        <v>273</v>
      </c>
      <c r="AU332" t="str">
        <f t="shared" si="204"/>
        <v>SSA_SOC_HRY_E_BEGIN_TITO_SAQ_NOM_LFM_0600_HBO1_MUFASA1_POSTREP_HBO1_BP3</v>
      </c>
      <c r="AV332" t="str">
        <f t="shared" si="204"/>
        <v>SSA_SOC_HRY_E_BEGIN_TITO_SAQ_NOM_LFM_0600_HBO1_MUFASA1_POSTREP_HBO1_BP3</v>
      </c>
      <c r="AW332" t="str">
        <f t="shared" si="204"/>
        <v>SSA_SOC_HRY_E_BEGIN_TITO_SAQ_NOM_LFM_0600_HBO1_MUFASA1_POSTREP_HBO1_BP3</v>
      </c>
      <c r="AX332" t="str">
        <f t="shared" si="204"/>
        <v>SSA_SOC_HRY_E_BEGIN_TITO_SAQ_NOM_LFM_0600_HBO1_MUFASA1_POSTREP_HBO1_BP3</v>
      </c>
      <c r="AY332" t="str">
        <f t="shared" si="204"/>
        <v>SSA_SOC_HRY_E_BEGIN_TITO_SAQ_NOM_LFM_0600_HBO1_MUFASA1_POSTREP_HBO1_BP3</v>
      </c>
      <c r="AZ332" t="str">
        <f t="shared" si="204"/>
        <v>SSA_SOC_HRY_E_BEGIN_TITO_SAQ_NOM_LFM_0600_HBO1_MUFASA1_POSTREP_HBO1_BP3</v>
      </c>
      <c r="BA332" t="str">
        <f t="shared" si="204"/>
        <v>SSA_SOC_HRY_E_BEGIN_TITO_SAQ_NOM_LFM_0600_HBO1_MUFASA1_POSTREP_HBO1_BP3</v>
      </c>
      <c r="BB332" t="str">
        <f t="shared" si="204"/>
        <v>SSA_SOC_HRY_E_BEGIN_TITO_SAQ_NOM_LFM_0600_HBO1_MUFASA1_POSTREP_HBO1_BP3</v>
      </c>
      <c r="BC332" t="str">
        <f t="shared" si="204"/>
        <v>SSA_SOC_HRY_E_BEGIN_TITO_SAQ_NOM_LFM_0600_HBO1_MUFASA1_POSTREP_HBO1_BP3</v>
      </c>
      <c r="BD332" t="str">
        <f t="shared" si="204"/>
        <v>SSA_SOC_HRY_E_BEGIN_TITO_SAQ_NOM_LFM_0600_HBO1_MUFASA1_POSTREP_HBO1_BP3</v>
      </c>
    </row>
    <row r="333" spans="1:56" x14ac:dyDescent="0.35">
      <c r="A333" s="27" t="s">
        <v>12</v>
      </c>
      <c r="B333" s="28" t="s">
        <v>55</v>
      </c>
      <c r="C333" s="28" t="str">
        <f>VLOOKUP(B333,templateLookup!A:B,2,0)</f>
        <v>PrimeMbistVminSearchTestMethod</v>
      </c>
      <c r="D333" t="str">
        <f t="shared" si="202"/>
        <v>SSA_SOC_HRY_E_BEGIN_TITO_SAQ_NOM_LFM_0600_HBO1_MUFASA1_POSTREP_HBO1_BP3</v>
      </c>
      <c r="E333" t="s">
        <v>4</v>
      </c>
      <c r="F333" t="s">
        <v>27</v>
      </c>
      <c r="G333" t="s">
        <v>271</v>
      </c>
      <c r="H333" t="s">
        <v>207</v>
      </c>
      <c r="I333" t="s">
        <v>260</v>
      </c>
      <c r="J333" t="s">
        <v>558</v>
      </c>
      <c r="K333" t="s">
        <v>284</v>
      </c>
      <c r="L333" t="s">
        <v>285</v>
      </c>
      <c r="M333" t="str">
        <f t="shared" si="203"/>
        <v>0600</v>
      </c>
      <c r="N333" t="s">
        <v>687</v>
      </c>
      <c r="O333" t="s">
        <v>267</v>
      </c>
      <c r="P333" t="s">
        <v>268</v>
      </c>
      <c r="Q333" t="s">
        <v>688</v>
      </c>
      <c r="R333">
        <v>61</v>
      </c>
      <c r="S333">
        <v>50</v>
      </c>
      <c r="T333">
        <v>136</v>
      </c>
      <c r="U333">
        <v>-1</v>
      </c>
      <c r="V333" t="b">
        <v>0</v>
      </c>
      <c r="W333" t="s">
        <v>298</v>
      </c>
      <c r="X333" t="s">
        <v>363</v>
      </c>
      <c r="Y333" t="s">
        <v>272</v>
      </c>
      <c r="Z333">
        <v>0.85</v>
      </c>
      <c r="AA333">
        <v>0.85</v>
      </c>
      <c r="AS333">
        <f t="shared" si="201"/>
        <v>10</v>
      </c>
      <c r="AT333" t="s">
        <v>273</v>
      </c>
      <c r="AU333" t="str">
        <f t="shared" si="204"/>
        <v>LSA_SOC_HRY_E_BEGIN_TITO_SAQ_NOM_LFM_0600_HBO0_HBO_POSTREP_HBO0_BP4</v>
      </c>
      <c r="AV333" t="str">
        <f t="shared" si="204"/>
        <v>LSA_SOC_HRY_E_BEGIN_TITO_SAQ_NOM_LFM_0600_HBO0_HBO_POSTREP_HBO0_BP4</v>
      </c>
      <c r="AW333" t="str">
        <f t="shared" si="204"/>
        <v>LSA_SOC_HRY_E_BEGIN_TITO_SAQ_NOM_LFM_0600_HBO0_HBO_POSTREP_HBO0_BP4</v>
      </c>
      <c r="AX333" t="str">
        <f t="shared" si="204"/>
        <v>LSA_SOC_HRY_E_BEGIN_TITO_SAQ_NOM_LFM_0600_HBO0_HBO_POSTREP_HBO0_BP4</v>
      </c>
      <c r="AY333" t="str">
        <f t="shared" si="204"/>
        <v>LSA_SOC_HRY_E_BEGIN_TITO_SAQ_NOM_LFM_0600_HBO0_HBO_POSTREP_HBO0_BP4</v>
      </c>
      <c r="AZ333" t="str">
        <f t="shared" si="204"/>
        <v>LSA_SOC_HRY_E_BEGIN_TITO_SAQ_NOM_LFM_0600_HBO0_HBO_POSTREP_HBO0_BP4</v>
      </c>
      <c r="BA333" t="str">
        <f t="shared" si="204"/>
        <v>LSA_SOC_HRY_E_BEGIN_TITO_SAQ_NOM_LFM_0600_HBO0_HBO_POSTREP_HBO0_BP4</v>
      </c>
      <c r="BB333" t="str">
        <f t="shared" si="204"/>
        <v>LSA_SOC_HRY_E_BEGIN_TITO_SAQ_NOM_LFM_0600_HBO0_HBO_POSTREP_HBO0_BP4</v>
      </c>
      <c r="BC333" t="str">
        <f t="shared" si="204"/>
        <v>LSA_SOC_HRY_E_BEGIN_TITO_SAQ_NOM_LFM_0600_HBO0_HBO_POSTREP_HBO0_BP4</v>
      </c>
      <c r="BD333" t="str">
        <f t="shared" si="204"/>
        <v>LSA_SOC_HRY_E_BEGIN_TITO_SAQ_NOM_LFM_0600_HBO0_HBO_POSTREP_HBO0_BP4</v>
      </c>
    </row>
    <row r="334" spans="1:56" x14ac:dyDescent="0.35">
      <c r="A334" s="27" t="s">
        <v>12</v>
      </c>
      <c r="B334" s="28" t="s">
        <v>55</v>
      </c>
      <c r="C334" s="28" t="str">
        <f>VLOOKUP(B334,templateLookup!A:B,2,0)</f>
        <v>PrimeMbistVminSearchTestMethod</v>
      </c>
      <c r="D334" t="str">
        <f t="shared" si="202"/>
        <v>LSA_SOC_HRY_E_BEGIN_TITO_SAQ_NOM_LFM_0600_HBO0_HBO_POSTREP_HBO0_BP4</v>
      </c>
      <c r="E334" t="s">
        <v>5</v>
      </c>
      <c r="F334" t="s">
        <v>27</v>
      </c>
      <c r="G334" t="s">
        <v>271</v>
      </c>
      <c r="H334" t="s">
        <v>207</v>
      </c>
      <c r="I334" t="s">
        <v>260</v>
      </c>
      <c r="J334" t="s">
        <v>558</v>
      </c>
      <c r="K334" t="s">
        <v>284</v>
      </c>
      <c r="L334" t="s">
        <v>285</v>
      </c>
      <c r="M334" t="str">
        <f t="shared" si="203"/>
        <v>0600</v>
      </c>
      <c r="N334" t="s">
        <v>680</v>
      </c>
      <c r="O334" t="s">
        <v>267</v>
      </c>
      <c r="P334" t="s">
        <v>268</v>
      </c>
      <c r="Q334" t="s">
        <v>625</v>
      </c>
      <c r="R334">
        <v>21</v>
      </c>
      <c r="S334">
        <v>50</v>
      </c>
      <c r="T334">
        <v>137</v>
      </c>
      <c r="U334">
        <v>-1</v>
      </c>
      <c r="V334" t="b">
        <v>0</v>
      </c>
      <c r="W334" t="s">
        <v>298</v>
      </c>
      <c r="X334" t="s">
        <v>363</v>
      </c>
      <c r="Y334" t="s">
        <v>272</v>
      </c>
      <c r="Z334">
        <v>0.85</v>
      </c>
      <c r="AA334">
        <v>0.85</v>
      </c>
      <c r="AS334">
        <f t="shared" si="201"/>
        <v>10</v>
      </c>
      <c r="AT334" t="s">
        <v>273</v>
      </c>
      <c r="AU334" t="str">
        <f t="shared" si="204"/>
        <v>LSA_SOC_HRY_E_BEGIN_TITO_SAQ_NOM_LFM_0600_HBO1_HBO_POSTREP_HBO1_BP4</v>
      </c>
      <c r="AV334" t="str">
        <f t="shared" si="204"/>
        <v>LSA_SOC_HRY_E_BEGIN_TITO_SAQ_NOM_LFM_0600_HBO1_HBO_POSTREP_HBO1_BP4</v>
      </c>
      <c r="AW334" t="str">
        <f t="shared" si="204"/>
        <v>LSA_SOC_HRY_E_BEGIN_TITO_SAQ_NOM_LFM_0600_HBO1_HBO_POSTREP_HBO1_BP4</v>
      </c>
      <c r="AX334" t="str">
        <f t="shared" si="204"/>
        <v>LSA_SOC_HRY_E_BEGIN_TITO_SAQ_NOM_LFM_0600_HBO1_HBO_POSTREP_HBO1_BP4</v>
      </c>
      <c r="AY334" t="str">
        <f t="shared" si="204"/>
        <v>LSA_SOC_HRY_E_BEGIN_TITO_SAQ_NOM_LFM_0600_HBO1_HBO_POSTREP_HBO1_BP4</v>
      </c>
      <c r="AZ334" t="str">
        <f t="shared" si="204"/>
        <v>LSA_SOC_HRY_E_BEGIN_TITO_SAQ_NOM_LFM_0600_HBO1_HBO_POSTREP_HBO1_BP4</v>
      </c>
      <c r="BA334" t="str">
        <f t="shared" si="204"/>
        <v>LSA_SOC_HRY_E_BEGIN_TITO_SAQ_NOM_LFM_0600_HBO1_HBO_POSTREP_HBO1_BP4</v>
      </c>
      <c r="BB334" t="str">
        <f t="shared" si="204"/>
        <v>LSA_SOC_HRY_E_BEGIN_TITO_SAQ_NOM_LFM_0600_HBO1_HBO_POSTREP_HBO1_BP4</v>
      </c>
      <c r="BC334" t="str">
        <f t="shared" si="204"/>
        <v>LSA_SOC_HRY_E_BEGIN_TITO_SAQ_NOM_LFM_0600_HBO1_HBO_POSTREP_HBO1_BP4</v>
      </c>
      <c r="BD334" t="str">
        <f t="shared" si="204"/>
        <v>LSA_SOC_HRY_E_BEGIN_TITO_SAQ_NOM_LFM_0600_HBO1_HBO_POSTREP_HBO1_BP4</v>
      </c>
    </row>
    <row r="335" spans="1:56" x14ac:dyDescent="0.35">
      <c r="A335" s="27" t="s">
        <v>12</v>
      </c>
      <c r="B335" s="28" t="s">
        <v>55</v>
      </c>
      <c r="C335" s="28" t="str">
        <f>VLOOKUP(B335,templateLookup!A:B,2,0)</f>
        <v>PrimeMbistVminSearchTestMethod</v>
      </c>
      <c r="D335" t="str">
        <f t="shared" si="202"/>
        <v>LSA_SOC_HRY_E_BEGIN_TITO_SAQ_NOM_LFM_0600_HBO1_HBO_POSTREP_HBO1_BP4</v>
      </c>
      <c r="E335" t="s">
        <v>5</v>
      </c>
      <c r="F335" t="s">
        <v>27</v>
      </c>
      <c r="G335" t="s">
        <v>271</v>
      </c>
      <c r="H335" t="s">
        <v>207</v>
      </c>
      <c r="I335" t="s">
        <v>260</v>
      </c>
      <c r="J335" t="s">
        <v>558</v>
      </c>
      <c r="K335" t="s">
        <v>284</v>
      </c>
      <c r="L335" t="s">
        <v>285</v>
      </c>
      <c r="M335" t="str">
        <f t="shared" si="203"/>
        <v>0600</v>
      </c>
      <c r="N335" t="s">
        <v>684</v>
      </c>
      <c r="O335" t="s">
        <v>267</v>
      </c>
      <c r="P335" t="s">
        <v>268</v>
      </c>
      <c r="Q335" t="s">
        <v>627</v>
      </c>
      <c r="R335">
        <v>21</v>
      </c>
      <c r="S335">
        <v>50</v>
      </c>
      <c r="T335">
        <v>138</v>
      </c>
      <c r="U335">
        <v>-1</v>
      </c>
      <c r="V335" t="b">
        <v>0</v>
      </c>
      <c r="W335" t="s">
        <v>298</v>
      </c>
      <c r="X335" t="s">
        <v>363</v>
      </c>
      <c r="Y335" t="s">
        <v>272</v>
      </c>
      <c r="Z335">
        <v>0.85</v>
      </c>
      <c r="AA335">
        <v>0.85</v>
      </c>
      <c r="AS335">
        <f t="shared" si="201"/>
        <v>10</v>
      </c>
      <c r="AT335" t="s">
        <v>273</v>
      </c>
      <c r="AU335" t="str">
        <f t="shared" si="204"/>
        <v>LSA_SOC_HRY_E_BEGIN_TITO_SAQ_NOM_LFM_0600_IAX_POSTREP_IAX_BP3</v>
      </c>
      <c r="AV335" t="str">
        <f t="shared" si="204"/>
        <v>LSA_SOC_HRY_E_BEGIN_TITO_SAQ_NOM_LFM_0600_IAX_POSTREP_IAX_BP3</v>
      </c>
      <c r="AW335" t="str">
        <f t="shared" si="204"/>
        <v>LSA_SOC_HRY_E_BEGIN_TITO_SAQ_NOM_LFM_0600_IAX_POSTREP_IAX_BP3</v>
      </c>
      <c r="AX335" t="str">
        <f t="shared" si="204"/>
        <v>LSA_SOC_HRY_E_BEGIN_TITO_SAQ_NOM_LFM_0600_IAX_POSTREP_IAX_BP3</v>
      </c>
      <c r="AY335" t="str">
        <f t="shared" si="204"/>
        <v>LSA_SOC_HRY_E_BEGIN_TITO_SAQ_NOM_LFM_0600_IAX_POSTREP_IAX_BP3</v>
      </c>
      <c r="AZ335" t="str">
        <f t="shared" si="204"/>
        <v>LSA_SOC_HRY_E_BEGIN_TITO_SAQ_NOM_LFM_0600_IAX_POSTREP_IAX_BP3</v>
      </c>
      <c r="BA335" t="str">
        <f t="shared" si="204"/>
        <v>LSA_SOC_HRY_E_BEGIN_TITO_SAQ_NOM_LFM_0600_IAX_POSTREP_IAX_BP3</v>
      </c>
      <c r="BB335" t="str">
        <f t="shared" si="204"/>
        <v>LSA_SOC_HRY_E_BEGIN_TITO_SAQ_NOM_LFM_0600_IAX_POSTREP_IAX_BP3</v>
      </c>
      <c r="BC335" t="str">
        <f t="shared" si="204"/>
        <v>LSA_SOC_HRY_E_BEGIN_TITO_SAQ_NOM_LFM_0600_IAX_POSTREP_IAX_BP3</v>
      </c>
      <c r="BD335" t="str">
        <f t="shared" si="204"/>
        <v>LSA_SOC_HRY_E_BEGIN_TITO_SAQ_NOM_LFM_0600_IAX_POSTREP_IAX_BP3</v>
      </c>
    </row>
    <row r="336" spans="1:56" x14ac:dyDescent="0.35">
      <c r="A336" s="27" t="s">
        <v>12</v>
      </c>
      <c r="B336" s="28" t="s">
        <v>55</v>
      </c>
      <c r="C336" s="28" t="str">
        <f>VLOOKUP(B336,templateLookup!A:B,2,0)</f>
        <v>PrimeMbistVminSearchTestMethod</v>
      </c>
      <c r="D336" t="str">
        <f t="shared" si="202"/>
        <v>LSA_SOC_HRY_E_BEGIN_TITO_SAQ_NOM_LFM_0600_IAX_POSTREP_IAX_BP3</v>
      </c>
      <c r="E336" t="s">
        <v>5</v>
      </c>
      <c r="F336" t="s">
        <v>27</v>
      </c>
      <c r="G336" t="s">
        <v>271</v>
      </c>
      <c r="H336" t="s">
        <v>207</v>
      </c>
      <c r="I336" t="s">
        <v>260</v>
      </c>
      <c r="J336" t="s">
        <v>558</v>
      </c>
      <c r="K336" t="s">
        <v>284</v>
      </c>
      <c r="L336" t="s">
        <v>285</v>
      </c>
      <c r="M336" t="str">
        <f t="shared" si="203"/>
        <v>0600</v>
      </c>
      <c r="N336" t="s">
        <v>689</v>
      </c>
      <c r="O336" t="s">
        <v>267</v>
      </c>
      <c r="P336" t="s">
        <v>268</v>
      </c>
      <c r="Q336" t="s">
        <v>632</v>
      </c>
      <c r="R336">
        <v>21</v>
      </c>
      <c r="S336">
        <v>50</v>
      </c>
      <c r="T336">
        <v>139</v>
      </c>
      <c r="U336">
        <v>-1</v>
      </c>
      <c r="V336" t="b">
        <v>0</v>
      </c>
      <c r="W336" t="s">
        <v>298</v>
      </c>
      <c r="X336" t="s">
        <v>363</v>
      </c>
      <c r="Y336" t="s">
        <v>272</v>
      </c>
      <c r="Z336">
        <v>0.85</v>
      </c>
      <c r="AA336">
        <v>0.85</v>
      </c>
      <c r="AS336">
        <f t="shared" si="201"/>
        <v>10</v>
      </c>
      <c r="AT336" t="s">
        <v>273</v>
      </c>
      <c r="AU336" t="str">
        <f t="shared" si="204"/>
        <v>SSA_SOC_HRY_E_BEGIN_TITO_SAQ_NOM_LFM_0600_DFX_EP_0_POSTREP_WES1_BP0</v>
      </c>
      <c r="AV336" t="str">
        <f t="shared" si="204"/>
        <v>SSA_SOC_HRY_E_BEGIN_TITO_SAQ_NOM_LFM_0600_DFX_EP_0_POSTREP_WES1_BP0</v>
      </c>
      <c r="AW336" t="str">
        <f t="shared" si="204"/>
        <v>SSA_SOC_HRY_E_BEGIN_TITO_SAQ_NOM_LFM_0600_DFX_EP_0_POSTREP_WES1_BP0</v>
      </c>
      <c r="AX336" t="str">
        <f t="shared" si="204"/>
        <v>SSA_SOC_HRY_E_BEGIN_TITO_SAQ_NOM_LFM_0600_DFX_EP_0_POSTREP_WES1_BP0</v>
      </c>
      <c r="AY336" t="str">
        <f t="shared" si="204"/>
        <v>SSA_SOC_HRY_E_BEGIN_TITO_SAQ_NOM_LFM_0600_DFX_EP_0_POSTREP_WES1_BP0</v>
      </c>
      <c r="AZ336" t="str">
        <f t="shared" si="204"/>
        <v>SSA_SOC_HRY_E_BEGIN_TITO_SAQ_NOM_LFM_0600_DFX_EP_0_POSTREP_WES1_BP0</v>
      </c>
      <c r="BA336" t="str">
        <f t="shared" si="204"/>
        <v>SSA_SOC_HRY_E_BEGIN_TITO_SAQ_NOM_LFM_0600_DFX_EP_0_POSTREP_WES1_BP0</v>
      </c>
      <c r="BB336" t="str">
        <f t="shared" si="204"/>
        <v>SSA_SOC_HRY_E_BEGIN_TITO_SAQ_NOM_LFM_0600_DFX_EP_0_POSTREP_WES1_BP0</v>
      </c>
      <c r="BC336" t="str">
        <f t="shared" si="204"/>
        <v>SSA_SOC_HRY_E_BEGIN_TITO_SAQ_NOM_LFM_0600_DFX_EP_0_POSTREP_WES1_BP0</v>
      </c>
      <c r="BD336" t="str">
        <f t="shared" si="204"/>
        <v>SSA_SOC_HRY_E_BEGIN_TITO_SAQ_NOM_LFM_0600_DFX_EP_0_POSTREP_WES1_BP0</v>
      </c>
    </row>
    <row r="337" spans="1:56" x14ac:dyDescent="0.35">
      <c r="A337" s="27" t="s">
        <v>12</v>
      </c>
      <c r="B337" s="28" t="s">
        <v>55</v>
      </c>
      <c r="C337" s="28" t="str">
        <f>VLOOKUP(B337,templateLookup!A:B,2,0)</f>
        <v>PrimeMbistVminSearchTestMethod</v>
      </c>
      <c r="D337" t="str">
        <f t="shared" si="202"/>
        <v>SSA_SOC_HRY_E_BEGIN_TITO_SAQ_NOM_LFM_0600_DFX_EP_0_POSTREP_WES1_BP0</v>
      </c>
      <c r="E337" t="s">
        <v>4</v>
      </c>
      <c r="F337" t="s">
        <v>27</v>
      </c>
      <c r="G337" t="s">
        <v>271</v>
      </c>
      <c r="H337" t="s">
        <v>207</v>
      </c>
      <c r="I337" t="s">
        <v>260</v>
      </c>
      <c r="J337" t="s">
        <v>558</v>
      </c>
      <c r="K337" t="s">
        <v>284</v>
      </c>
      <c r="L337" t="s">
        <v>285</v>
      </c>
      <c r="M337" t="str">
        <f t="shared" si="203"/>
        <v>0600</v>
      </c>
      <c r="N337" t="s">
        <v>690</v>
      </c>
      <c r="O337" t="s">
        <v>267</v>
      </c>
      <c r="P337" t="s">
        <v>268</v>
      </c>
      <c r="Q337" t="s">
        <v>639</v>
      </c>
      <c r="R337">
        <v>61</v>
      </c>
      <c r="S337">
        <v>50</v>
      </c>
      <c r="T337">
        <v>140</v>
      </c>
      <c r="U337">
        <v>-1</v>
      </c>
      <c r="V337" t="b">
        <v>0</v>
      </c>
      <c r="W337" t="s">
        <v>298</v>
      </c>
      <c r="X337" t="s">
        <v>363</v>
      </c>
      <c r="Y337" t="s">
        <v>272</v>
      </c>
      <c r="Z337">
        <v>0.85</v>
      </c>
      <c r="AA337">
        <v>0.85</v>
      </c>
      <c r="AS337">
        <f t="shared" si="201"/>
        <v>10</v>
      </c>
      <c r="AT337" t="s">
        <v>273</v>
      </c>
      <c r="AU337" t="str">
        <f t="shared" si="204"/>
        <v>SSA_SOC_HRY_E_BEGIN_TITO_SAQ_NOM_LFM_0600_DFX_EP_1_POSTREP_WES1_BP1</v>
      </c>
      <c r="AV337" t="str">
        <f t="shared" si="204"/>
        <v>SSA_SOC_HRY_E_BEGIN_TITO_SAQ_NOM_LFM_0600_DFX_EP_1_POSTREP_WES1_BP1</v>
      </c>
      <c r="AW337" t="str">
        <f t="shared" si="204"/>
        <v>SSA_SOC_HRY_E_BEGIN_TITO_SAQ_NOM_LFM_0600_DFX_EP_1_POSTREP_WES1_BP1</v>
      </c>
      <c r="AX337" t="str">
        <f t="shared" si="204"/>
        <v>SSA_SOC_HRY_E_BEGIN_TITO_SAQ_NOM_LFM_0600_DFX_EP_1_POSTREP_WES1_BP1</v>
      </c>
      <c r="AY337" t="str">
        <f t="shared" si="204"/>
        <v>SSA_SOC_HRY_E_BEGIN_TITO_SAQ_NOM_LFM_0600_DFX_EP_1_POSTREP_WES1_BP1</v>
      </c>
      <c r="AZ337" t="str">
        <f t="shared" si="204"/>
        <v>SSA_SOC_HRY_E_BEGIN_TITO_SAQ_NOM_LFM_0600_DFX_EP_1_POSTREP_WES1_BP1</v>
      </c>
      <c r="BA337" t="str">
        <f t="shared" si="204"/>
        <v>SSA_SOC_HRY_E_BEGIN_TITO_SAQ_NOM_LFM_0600_DFX_EP_1_POSTREP_WES1_BP1</v>
      </c>
      <c r="BB337" t="str">
        <f t="shared" si="204"/>
        <v>SSA_SOC_HRY_E_BEGIN_TITO_SAQ_NOM_LFM_0600_DFX_EP_1_POSTREP_WES1_BP1</v>
      </c>
      <c r="BC337" t="str">
        <f t="shared" si="204"/>
        <v>SSA_SOC_HRY_E_BEGIN_TITO_SAQ_NOM_LFM_0600_DFX_EP_1_POSTREP_WES1_BP1</v>
      </c>
      <c r="BD337" t="str">
        <f t="shared" si="204"/>
        <v>SSA_SOC_HRY_E_BEGIN_TITO_SAQ_NOM_LFM_0600_DFX_EP_1_POSTREP_WES1_BP1</v>
      </c>
    </row>
    <row r="338" spans="1:56" x14ac:dyDescent="0.35">
      <c r="A338" s="27" t="s">
        <v>12</v>
      </c>
      <c r="B338" s="28" t="s">
        <v>55</v>
      </c>
      <c r="C338" s="28" t="str">
        <f>VLOOKUP(B338,templateLookup!A:B,2,0)</f>
        <v>PrimeMbistVminSearchTestMethod</v>
      </c>
      <c r="D338" t="str">
        <f t="shared" si="202"/>
        <v>SSA_SOC_HRY_E_BEGIN_TITO_SAQ_NOM_LFM_0600_DFX_EP_1_POSTREP_WES1_BP1</v>
      </c>
      <c r="E338" t="s">
        <v>4</v>
      </c>
      <c r="F338" t="s">
        <v>27</v>
      </c>
      <c r="G338" t="s">
        <v>271</v>
      </c>
      <c r="H338" t="s">
        <v>207</v>
      </c>
      <c r="I338" t="s">
        <v>260</v>
      </c>
      <c r="J338" t="s">
        <v>558</v>
      </c>
      <c r="K338" t="s">
        <v>284</v>
      </c>
      <c r="L338" t="s">
        <v>285</v>
      </c>
      <c r="M338" t="str">
        <f t="shared" si="203"/>
        <v>0600</v>
      </c>
      <c r="N338" t="s">
        <v>691</v>
      </c>
      <c r="O338" t="s">
        <v>267</v>
      </c>
      <c r="P338" t="s">
        <v>268</v>
      </c>
      <c r="Q338" t="s">
        <v>644</v>
      </c>
      <c r="R338">
        <v>61</v>
      </c>
      <c r="S338">
        <v>50</v>
      </c>
      <c r="T338">
        <v>141</v>
      </c>
      <c r="U338">
        <v>-1</v>
      </c>
      <c r="V338" t="b">
        <v>0</v>
      </c>
      <c r="W338" t="s">
        <v>298</v>
      </c>
      <c r="X338" t="s">
        <v>363</v>
      </c>
      <c r="Y338" t="s">
        <v>272</v>
      </c>
      <c r="Z338">
        <v>0.85</v>
      </c>
      <c r="AA338">
        <v>0.85</v>
      </c>
      <c r="AS338">
        <f t="shared" si="201"/>
        <v>10</v>
      </c>
      <c r="AT338" t="s">
        <v>273</v>
      </c>
      <c r="AU338" t="str">
        <f t="shared" si="204"/>
        <v>SSA_SOC_HRY_E_BEGIN_TITO_SAQ_NOM_LFM_0600_DFX_EP_2_POSTREP_WES1_BP2</v>
      </c>
      <c r="AV338" t="str">
        <f t="shared" si="204"/>
        <v>SSA_SOC_HRY_E_BEGIN_TITO_SAQ_NOM_LFM_0600_DFX_EP_2_POSTREP_WES1_BP2</v>
      </c>
      <c r="AW338" t="str">
        <f t="shared" si="204"/>
        <v>SSA_SOC_HRY_E_BEGIN_TITO_SAQ_NOM_LFM_0600_DFX_EP_2_POSTREP_WES1_BP2</v>
      </c>
      <c r="AX338" t="str">
        <f t="shared" si="204"/>
        <v>SSA_SOC_HRY_E_BEGIN_TITO_SAQ_NOM_LFM_0600_DFX_EP_2_POSTREP_WES1_BP2</v>
      </c>
      <c r="AY338" t="str">
        <f t="shared" si="204"/>
        <v>SSA_SOC_HRY_E_BEGIN_TITO_SAQ_NOM_LFM_0600_DFX_EP_2_POSTREP_WES1_BP2</v>
      </c>
      <c r="AZ338" t="str">
        <f t="shared" si="204"/>
        <v>SSA_SOC_HRY_E_BEGIN_TITO_SAQ_NOM_LFM_0600_DFX_EP_2_POSTREP_WES1_BP2</v>
      </c>
      <c r="BA338" t="str">
        <f t="shared" si="204"/>
        <v>SSA_SOC_HRY_E_BEGIN_TITO_SAQ_NOM_LFM_0600_DFX_EP_2_POSTREP_WES1_BP2</v>
      </c>
      <c r="BB338" t="str">
        <f t="shared" si="204"/>
        <v>SSA_SOC_HRY_E_BEGIN_TITO_SAQ_NOM_LFM_0600_DFX_EP_2_POSTREP_WES1_BP2</v>
      </c>
      <c r="BC338" t="str">
        <f t="shared" si="204"/>
        <v>SSA_SOC_HRY_E_BEGIN_TITO_SAQ_NOM_LFM_0600_DFX_EP_2_POSTREP_WES1_BP2</v>
      </c>
      <c r="BD338" t="str">
        <f t="shared" si="204"/>
        <v>SSA_SOC_HRY_E_BEGIN_TITO_SAQ_NOM_LFM_0600_DFX_EP_2_POSTREP_WES1_BP2</v>
      </c>
    </row>
    <row r="339" spans="1:56" x14ac:dyDescent="0.35">
      <c r="A339" s="27" t="s">
        <v>12</v>
      </c>
      <c r="B339" s="28" t="s">
        <v>55</v>
      </c>
      <c r="C339" s="28" t="str">
        <f>VLOOKUP(B339,templateLookup!A:B,2,0)</f>
        <v>PrimeMbistVminSearchTestMethod</v>
      </c>
      <c r="D339" t="str">
        <f t="shared" si="202"/>
        <v>SSA_SOC_HRY_E_BEGIN_TITO_SAQ_NOM_LFM_0600_DFX_EP_2_POSTREP_WES1_BP2</v>
      </c>
      <c r="E339" t="s">
        <v>4</v>
      </c>
      <c r="F339" t="s">
        <v>27</v>
      </c>
      <c r="G339" t="s">
        <v>271</v>
      </c>
      <c r="H339" t="s">
        <v>207</v>
      </c>
      <c r="I339" t="s">
        <v>260</v>
      </c>
      <c r="J339" t="s">
        <v>558</v>
      </c>
      <c r="K339" t="s">
        <v>284</v>
      </c>
      <c r="L339" t="s">
        <v>285</v>
      </c>
      <c r="M339" t="str">
        <f t="shared" si="203"/>
        <v>0600</v>
      </c>
      <c r="N339" t="s">
        <v>692</v>
      </c>
      <c r="O339" t="s">
        <v>267</v>
      </c>
      <c r="P339" t="s">
        <v>268</v>
      </c>
      <c r="Q339" t="s">
        <v>649</v>
      </c>
      <c r="R339">
        <v>61</v>
      </c>
      <c r="S339">
        <v>50</v>
      </c>
      <c r="T339">
        <v>142</v>
      </c>
      <c r="U339">
        <v>-1</v>
      </c>
      <c r="V339" t="b">
        <v>0</v>
      </c>
      <c r="W339" t="s">
        <v>298</v>
      </c>
      <c r="X339" t="s">
        <v>363</v>
      </c>
      <c r="Y339" t="s">
        <v>272</v>
      </c>
      <c r="Z339">
        <v>0.85</v>
      </c>
      <c r="AA339">
        <v>0.85</v>
      </c>
      <c r="AS339">
        <f t="shared" si="201"/>
        <v>10</v>
      </c>
      <c r="AT339" t="s">
        <v>273</v>
      </c>
      <c r="AU339" t="str">
        <f t="shared" si="204"/>
        <v>LSA_SOC_HRY_E_BEGIN_TITO_SAQ_NOM_LFM_0600_DFX_EP_1_POSTREP_WES1_BP1</v>
      </c>
      <c r="AV339" t="str">
        <f t="shared" si="204"/>
        <v>LSA_SOC_HRY_E_BEGIN_TITO_SAQ_NOM_LFM_0600_DFX_EP_1_POSTREP_WES1_BP1</v>
      </c>
      <c r="AW339" t="str">
        <f t="shared" si="204"/>
        <v>LSA_SOC_HRY_E_BEGIN_TITO_SAQ_NOM_LFM_0600_DFX_EP_1_POSTREP_WES1_BP1</v>
      </c>
      <c r="AX339" t="str">
        <f t="shared" si="204"/>
        <v>LSA_SOC_HRY_E_BEGIN_TITO_SAQ_NOM_LFM_0600_DFX_EP_1_POSTREP_WES1_BP1</v>
      </c>
      <c r="AY339" t="str">
        <f t="shared" si="204"/>
        <v>LSA_SOC_HRY_E_BEGIN_TITO_SAQ_NOM_LFM_0600_DFX_EP_1_POSTREP_WES1_BP1</v>
      </c>
      <c r="AZ339" t="str">
        <f t="shared" si="204"/>
        <v>LSA_SOC_HRY_E_BEGIN_TITO_SAQ_NOM_LFM_0600_DFX_EP_1_POSTREP_WES1_BP1</v>
      </c>
      <c r="BA339" t="str">
        <f t="shared" si="204"/>
        <v>LSA_SOC_HRY_E_BEGIN_TITO_SAQ_NOM_LFM_0600_DFX_EP_1_POSTREP_WES1_BP1</v>
      </c>
      <c r="BB339" t="str">
        <f t="shared" si="204"/>
        <v>LSA_SOC_HRY_E_BEGIN_TITO_SAQ_NOM_LFM_0600_DFX_EP_1_POSTREP_WES1_BP1</v>
      </c>
      <c r="BC339" t="str">
        <f t="shared" si="204"/>
        <v>LSA_SOC_HRY_E_BEGIN_TITO_SAQ_NOM_LFM_0600_DFX_EP_1_POSTREP_WES1_BP1</v>
      </c>
      <c r="BD339" t="str">
        <f t="shared" si="204"/>
        <v>LSA_SOC_HRY_E_BEGIN_TITO_SAQ_NOM_LFM_0600_DFX_EP_1_POSTREP_WES1_BP1</v>
      </c>
    </row>
    <row r="340" spans="1:56" x14ac:dyDescent="0.35">
      <c r="A340" s="27" t="s">
        <v>12</v>
      </c>
      <c r="B340" s="28" t="s">
        <v>55</v>
      </c>
      <c r="C340" s="28" t="str">
        <f>VLOOKUP(B340,templateLookup!A:B,2,0)</f>
        <v>PrimeMbistVminSearchTestMethod</v>
      </c>
      <c r="D340" t="str">
        <f t="shared" si="202"/>
        <v>LSA_SOC_HRY_E_BEGIN_TITO_SAQ_NOM_LFM_0600_DFX_EP_1_POSTREP_WES1_BP1</v>
      </c>
      <c r="E340" t="s">
        <v>5</v>
      </c>
      <c r="F340" t="s">
        <v>27</v>
      </c>
      <c r="G340" t="s">
        <v>271</v>
      </c>
      <c r="H340" t="s">
        <v>207</v>
      </c>
      <c r="I340" t="s">
        <v>260</v>
      </c>
      <c r="J340" t="s">
        <v>558</v>
      </c>
      <c r="K340" t="s">
        <v>284</v>
      </c>
      <c r="L340" t="s">
        <v>285</v>
      </c>
      <c r="M340" t="str">
        <f t="shared" si="203"/>
        <v>0600</v>
      </c>
      <c r="N340" t="s">
        <v>691</v>
      </c>
      <c r="O340" t="s">
        <v>267</v>
      </c>
      <c r="P340" t="s">
        <v>268</v>
      </c>
      <c r="Q340" t="s">
        <v>653</v>
      </c>
      <c r="R340">
        <v>21</v>
      </c>
      <c r="S340">
        <v>50</v>
      </c>
      <c r="T340">
        <v>143</v>
      </c>
      <c r="U340">
        <v>-1</v>
      </c>
      <c r="V340" t="b">
        <v>0</v>
      </c>
      <c r="W340" t="s">
        <v>298</v>
      </c>
      <c r="X340" t="s">
        <v>363</v>
      </c>
      <c r="Y340" t="s">
        <v>272</v>
      </c>
      <c r="Z340">
        <v>0.85</v>
      </c>
      <c r="AA340">
        <v>0.85</v>
      </c>
      <c r="AS340">
        <f t="shared" si="201"/>
        <v>10</v>
      </c>
      <c r="AT340" t="s">
        <v>273</v>
      </c>
      <c r="AU340" t="str">
        <f t="shared" si="204"/>
        <v>LSA_SOC_HRY_E_BEGIN_TITO_SAQ_NOM_LFM_0600_DFX_EP_2_POSTREP_WES1_BP2</v>
      </c>
      <c r="AV340" t="str">
        <f t="shared" si="204"/>
        <v>LSA_SOC_HRY_E_BEGIN_TITO_SAQ_NOM_LFM_0600_DFX_EP_2_POSTREP_WES1_BP2</v>
      </c>
      <c r="AW340" t="str">
        <f t="shared" si="204"/>
        <v>LSA_SOC_HRY_E_BEGIN_TITO_SAQ_NOM_LFM_0600_DFX_EP_2_POSTREP_WES1_BP2</v>
      </c>
      <c r="AX340" t="str">
        <f t="shared" si="204"/>
        <v>LSA_SOC_HRY_E_BEGIN_TITO_SAQ_NOM_LFM_0600_DFX_EP_2_POSTREP_WES1_BP2</v>
      </c>
      <c r="AY340" t="str">
        <f t="shared" si="204"/>
        <v>LSA_SOC_HRY_E_BEGIN_TITO_SAQ_NOM_LFM_0600_DFX_EP_2_POSTREP_WES1_BP2</v>
      </c>
      <c r="AZ340" t="str">
        <f t="shared" si="204"/>
        <v>LSA_SOC_HRY_E_BEGIN_TITO_SAQ_NOM_LFM_0600_DFX_EP_2_POSTREP_WES1_BP2</v>
      </c>
      <c r="BA340" t="str">
        <f t="shared" si="204"/>
        <v>LSA_SOC_HRY_E_BEGIN_TITO_SAQ_NOM_LFM_0600_DFX_EP_2_POSTREP_WES1_BP2</v>
      </c>
      <c r="BB340" t="str">
        <f t="shared" si="204"/>
        <v>LSA_SOC_HRY_E_BEGIN_TITO_SAQ_NOM_LFM_0600_DFX_EP_2_POSTREP_WES1_BP2</v>
      </c>
      <c r="BC340" t="str">
        <f t="shared" si="204"/>
        <v>LSA_SOC_HRY_E_BEGIN_TITO_SAQ_NOM_LFM_0600_DFX_EP_2_POSTREP_WES1_BP2</v>
      </c>
      <c r="BD340" t="str">
        <f t="shared" si="204"/>
        <v>LSA_SOC_HRY_E_BEGIN_TITO_SAQ_NOM_LFM_0600_DFX_EP_2_POSTREP_WES1_BP2</v>
      </c>
    </row>
    <row r="341" spans="1:56" x14ac:dyDescent="0.35">
      <c r="A341" s="27" t="s">
        <v>12</v>
      </c>
      <c r="B341" s="28" t="s">
        <v>55</v>
      </c>
      <c r="C341" s="28" t="str">
        <f>VLOOKUP(B341,templateLookup!A:B,2,0)</f>
        <v>PrimeMbistVminSearchTestMethod</v>
      </c>
      <c r="D341" t="str">
        <f t="shared" si="202"/>
        <v>LSA_SOC_HRY_E_BEGIN_TITO_SAQ_NOM_LFM_0600_DFX_EP_2_POSTREP_WES1_BP2</v>
      </c>
      <c r="E341" t="s">
        <v>5</v>
      </c>
      <c r="F341" t="s">
        <v>27</v>
      </c>
      <c r="G341" t="s">
        <v>271</v>
      </c>
      <c r="H341" t="s">
        <v>207</v>
      </c>
      <c r="I341" t="s">
        <v>260</v>
      </c>
      <c r="J341" t="s">
        <v>558</v>
      </c>
      <c r="K341" t="s">
        <v>284</v>
      </c>
      <c r="L341" t="s">
        <v>285</v>
      </c>
      <c r="M341" t="str">
        <f t="shared" si="203"/>
        <v>0600</v>
      </c>
      <c r="N341" t="s">
        <v>692</v>
      </c>
      <c r="O341" t="s">
        <v>267</v>
      </c>
      <c r="P341" t="s">
        <v>268</v>
      </c>
      <c r="Q341" t="s">
        <v>655</v>
      </c>
      <c r="R341">
        <v>21</v>
      </c>
      <c r="S341">
        <v>50</v>
      </c>
      <c r="T341">
        <v>144</v>
      </c>
      <c r="U341">
        <v>-1</v>
      </c>
      <c r="V341" t="b">
        <v>0</v>
      </c>
      <c r="W341" t="s">
        <v>298</v>
      </c>
      <c r="X341" t="s">
        <v>363</v>
      </c>
      <c r="Y341" t="s">
        <v>272</v>
      </c>
      <c r="Z341">
        <v>0.85</v>
      </c>
      <c r="AA341">
        <v>0.85</v>
      </c>
      <c r="AS341">
        <f t="shared" si="201"/>
        <v>10</v>
      </c>
      <c r="AT341" t="s">
        <v>273</v>
      </c>
      <c r="AU341">
        <v>1</v>
      </c>
      <c r="AV341">
        <v>1</v>
      </c>
      <c r="AW341">
        <v>1</v>
      </c>
      <c r="AX341">
        <v>1</v>
      </c>
      <c r="AY341">
        <v>1</v>
      </c>
      <c r="AZ341">
        <v>1</v>
      </c>
      <c r="BA341">
        <v>1</v>
      </c>
      <c r="BB341">
        <v>1</v>
      </c>
      <c r="BC341">
        <v>1</v>
      </c>
      <c r="BD341">
        <v>1</v>
      </c>
    </row>
    <row r="342" spans="1:56" x14ac:dyDescent="0.35">
      <c r="A342" s="27" t="s">
        <v>12</v>
      </c>
      <c r="B342" s="27" t="s">
        <v>50</v>
      </c>
      <c r="C342" s="27" t="str">
        <f>VLOOKUP(B342,templateLookup!A:B,2,0)</f>
        <v>COMPOSITE</v>
      </c>
      <c r="D342" s="10" t="s">
        <v>693</v>
      </c>
      <c r="V342" s="12"/>
    </row>
    <row r="343" spans="1:56" x14ac:dyDescent="0.35">
      <c r="A343" s="50" t="s">
        <v>12</v>
      </c>
      <c r="B343" s="50" t="s">
        <v>50</v>
      </c>
      <c r="C343" s="50" t="str">
        <f>VLOOKUP(B343,templateLookup!A:B,2,0)</f>
        <v>COMPOSITE</v>
      </c>
      <c r="D343" s="10" t="s">
        <v>694</v>
      </c>
      <c r="V343" s="12"/>
    </row>
    <row r="344" spans="1:56" x14ac:dyDescent="0.35">
      <c r="A344" s="50" t="s">
        <v>12</v>
      </c>
      <c r="B344" s="50" t="s">
        <v>49</v>
      </c>
      <c r="C344" s="50" t="str">
        <f>VLOOKUP(B344,templateLookup!A:B,2,0)</f>
        <v>COMPOSITE</v>
      </c>
      <c r="D344" s="5" t="s">
        <v>695</v>
      </c>
      <c r="E344" s="6"/>
      <c r="F344" s="6" t="s">
        <v>30</v>
      </c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AS344">
        <f t="shared" ref="AS344:AS391" si="205">COUNTA(AU344:BD344)</f>
        <v>2</v>
      </c>
      <c r="AT344">
        <v>1</v>
      </c>
      <c r="AU344" t="str">
        <f>$D417</f>
        <v>CORE_REPAIRABLE</v>
      </c>
      <c r="AV344" t="str">
        <f>$D417</f>
        <v>CORE_REPAIRABLE</v>
      </c>
    </row>
    <row r="345" spans="1:56" x14ac:dyDescent="0.35">
      <c r="A345" s="12" t="s">
        <v>12</v>
      </c>
      <c r="B345" s="12" t="s">
        <v>61</v>
      </c>
      <c r="C345" s="12" t="str">
        <f>VLOOKUP(B345,templateLookup!A:B,2,0)</f>
        <v>PrimePatConfigTestMethod</v>
      </c>
      <c r="D345" t="str">
        <f>E345&amp;"_"&amp;F345&amp;"_"&amp;G345&amp;"_"&amp;H345&amp;"_"&amp;A345&amp;"_"&amp;I345&amp;"_"&amp;J345&amp;"_"&amp;K345&amp;"_"&amp;L345&amp;"_"&amp;M345&amp;"_"&amp;N345</f>
        <v>ALL_VPU_PATMOD_K_BEGIN_X_X_X_X_X_RESET_FREQ</v>
      </c>
      <c r="E345" t="s">
        <v>7</v>
      </c>
      <c r="F345" t="s">
        <v>25</v>
      </c>
      <c r="G345" t="s">
        <v>252</v>
      </c>
      <c r="H345" t="s">
        <v>253</v>
      </c>
      <c r="I345" t="s">
        <v>208</v>
      </c>
      <c r="J345" t="s">
        <v>208</v>
      </c>
      <c r="K345" t="s">
        <v>208</v>
      </c>
      <c r="L345" t="s">
        <v>208</v>
      </c>
      <c r="M345" t="s">
        <v>208</v>
      </c>
      <c r="N345" t="s">
        <v>278</v>
      </c>
      <c r="O345" t="s">
        <v>211</v>
      </c>
      <c r="P345" t="s">
        <v>211</v>
      </c>
      <c r="Q345" t="s">
        <v>212</v>
      </c>
      <c r="R345">
        <v>90</v>
      </c>
      <c r="S345">
        <v>30</v>
      </c>
      <c r="T345">
        <v>75</v>
      </c>
      <c r="U345">
        <v>-1</v>
      </c>
      <c r="V345" t="b">
        <v>1</v>
      </c>
      <c r="AO345" t="s">
        <v>279</v>
      </c>
      <c r="AP345" t="s">
        <v>280</v>
      </c>
      <c r="AQ345" t="s">
        <v>257</v>
      </c>
      <c r="AR345" t="s">
        <v>696</v>
      </c>
      <c r="AS345">
        <f t="shared" si="205"/>
        <v>2</v>
      </c>
      <c r="AT345">
        <v>1</v>
      </c>
      <c r="AU345" t="str">
        <f>$D346</f>
        <v>VPU_BISR</v>
      </c>
      <c r="AV345" t="str">
        <f>$D346</f>
        <v>VPU_BISR</v>
      </c>
      <c r="BB345" s="8"/>
      <c r="BC345" s="8"/>
    </row>
    <row r="346" spans="1:56" x14ac:dyDescent="0.35">
      <c r="A346" s="40" t="s">
        <v>12</v>
      </c>
      <c r="B346" s="40" t="s">
        <v>49</v>
      </c>
      <c r="C346" s="40" t="str">
        <f>VLOOKUP(B346,templateLookup!A:B,2,0)</f>
        <v>COMPOSITE</v>
      </c>
      <c r="D346" s="10" t="s">
        <v>697</v>
      </c>
      <c r="F346" t="s">
        <v>30</v>
      </c>
      <c r="V346" s="12"/>
      <c r="AS346">
        <f t="shared" si="205"/>
        <v>2</v>
      </c>
      <c r="AT346">
        <v>1</v>
      </c>
      <c r="AU346" t="str">
        <f>$D393</f>
        <v>VPU_VFDM</v>
      </c>
      <c r="AV346" t="str">
        <f>$D393</f>
        <v>VPU_VFDM</v>
      </c>
    </row>
    <row r="347" spans="1:56" x14ac:dyDescent="0.35">
      <c r="A347" s="12" t="s">
        <v>12</v>
      </c>
      <c r="B347" s="12" t="s">
        <v>54</v>
      </c>
      <c r="C347" s="12" t="str">
        <f>VLOOKUP(B347,templateLookup!A:B,2,0)</f>
        <v>PrimeMbistVminSearchTestMethod</v>
      </c>
      <c r="D347" t="str">
        <f t="shared" ref="D347:D391" si="206">E347&amp;"_"&amp;F347&amp;"_"&amp;G347&amp;"_"&amp;H347&amp;"_"&amp;A347&amp;"_"&amp;I347&amp;"_"&amp;J347&amp;"_"&amp;K347&amp;"_"&amp;L347&amp;"_"&amp;M347&amp;"_"&amp;N347</f>
        <v>LSA_VPU_HRY_E_BEGIN_TITO_VPU_NOM_LFM_1900_BUTTRESS_BHRY_VBTR_BT3</v>
      </c>
      <c r="E347" t="s">
        <v>5</v>
      </c>
      <c r="F347" t="s">
        <v>25</v>
      </c>
      <c r="G347" t="s">
        <v>271</v>
      </c>
      <c r="H347" t="s">
        <v>207</v>
      </c>
      <c r="I347" t="s">
        <v>260</v>
      </c>
      <c r="J347" t="s">
        <v>25</v>
      </c>
      <c r="K347" t="s">
        <v>284</v>
      </c>
      <c r="L347" t="s">
        <v>285</v>
      </c>
      <c r="M347">
        <v>1900</v>
      </c>
      <c r="N347" t="s">
        <v>698</v>
      </c>
      <c r="O347" t="s">
        <v>267</v>
      </c>
      <c r="P347" t="s">
        <v>268</v>
      </c>
      <c r="Q347" t="s">
        <v>699</v>
      </c>
      <c r="R347">
        <v>21</v>
      </c>
      <c r="S347">
        <v>30</v>
      </c>
      <c r="T347">
        <v>0</v>
      </c>
      <c r="U347">
        <v>-1</v>
      </c>
      <c r="V347" t="b">
        <v>0</v>
      </c>
      <c r="W347" t="s">
        <v>298</v>
      </c>
      <c r="X347" t="s">
        <v>271</v>
      </c>
      <c r="Y347" t="s">
        <v>272</v>
      </c>
      <c r="Z347">
        <v>0.85</v>
      </c>
      <c r="AA347">
        <v>0.85</v>
      </c>
      <c r="AS347">
        <f t="shared" si="205"/>
        <v>10</v>
      </c>
      <c r="AT347" t="s">
        <v>273</v>
      </c>
      <c r="AU347" t="str">
        <f t="shared" ref="AU347:AU390" si="207">$D348</f>
        <v>LSA_VPU_HRY_E_BEGIN_TITO_VPU_NOM_LFM_1900_BUTTRESS_BISR_VBTR_BT3</v>
      </c>
      <c r="AV347" t="str">
        <f>$D350</f>
        <v>SSA_VPU_HRY_E_BEGIN_TITO_VPU_NOM_LFM_1900_VCPU_BHRY_VBTR_BT4</v>
      </c>
      <c r="AW347" t="str">
        <f t="shared" ref="AW347:BB347" si="208">$D348</f>
        <v>LSA_VPU_HRY_E_BEGIN_TITO_VPU_NOM_LFM_1900_BUTTRESS_BISR_VBTR_BT3</v>
      </c>
      <c r="AX347" t="str">
        <f t="shared" si="208"/>
        <v>LSA_VPU_HRY_E_BEGIN_TITO_VPU_NOM_LFM_1900_BUTTRESS_BISR_VBTR_BT3</v>
      </c>
      <c r="AY347" t="str">
        <f t="shared" si="208"/>
        <v>LSA_VPU_HRY_E_BEGIN_TITO_VPU_NOM_LFM_1900_BUTTRESS_BISR_VBTR_BT3</v>
      </c>
      <c r="AZ347" t="str">
        <f t="shared" si="208"/>
        <v>LSA_VPU_HRY_E_BEGIN_TITO_VPU_NOM_LFM_1900_BUTTRESS_BISR_VBTR_BT3</v>
      </c>
      <c r="BA347" t="str">
        <f t="shared" si="208"/>
        <v>LSA_VPU_HRY_E_BEGIN_TITO_VPU_NOM_LFM_1900_BUTTRESS_BISR_VBTR_BT3</v>
      </c>
      <c r="BB347" t="str">
        <f t="shared" si="208"/>
        <v>LSA_VPU_HRY_E_BEGIN_TITO_VPU_NOM_LFM_1900_BUTTRESS_BISR_VBTR_BT3</v>
      </c>
      <c r="BC347" t="str">
        <f>$D350</f>
        <v>SSA_VPU_HRY_E_BEGIN_TITO_VPU_NOM_LFM_1900_VCPU_BHRY_VBTR_BT4</v>
      </c>
      <c r="BD347" t="str">
        <f>$D348</f>
        <v>LSA_VPU_HRY_E_BEGIN_TITO_VPU_NOM_LFM_1900_BUTTRESS_BISR_VBTR_BT3</v>
      </c>
    </row>
    <row r="348" spans="1:56" x14ac:dyDescent="0.35">
      <c r="A348" s="12" t="s">
        <v>12</v>
      </c>
      <c r="B348" s="12" t="s">
        <v>54</v>
      </c>
      <c r="C348" s="12" t="str">
        <f>VLOOKUP(B348,templateLookup!A:B,2,0)</f>
        <v>PrimeMbistVminSearchTestMethod</v>
      </c>
      <c r="D348" t="str">
        <f t="shared" si="206"/>
        <v>LSA_VPU_HRY_E_BEGIN_TITO_VPU_NOM_LFM_1900_BUTTRESS_BISR_VBTR_BT3</v>
      </c>
      <c r="E348" t="s">
        <v>5</v>
      </c>
      <c r="F348" t="s">
        <v>25</v>
      </c>
      <c r="G348" t="s">
        <v>271</v>
      </c>
      <c r="H348" t="s">
        <v>207</v>
      </c>
      <c r="I348" t="s">
        <v>260</v>
      </c>
      <c r="J348" t="s">
        <v>25</v>
      </c>
      <c r="K348" t="s">
        <v>284</v>
      </c>
      <c r="L348" t="s">
        <v>285</v>
      </c>
      <c r="M348">
        <v>1900</v>
      </c>
      <c r="N348" t="s">
        <v>700</v>
      </c>
      <c r="O348" t="s">
        <v>267</v>
      </c>
      <c r="P348" t="s">
        <v>268</v>
      </c>
      <c r="Q348" t="s">
        <v>701</v>
      </c>
      <c r="R348">
        <v>21</v>
      </c>
      <c r="S348">
        <v>30</v>
      </c>
      <c r="T348">
        <v>1</v>
      </c>
      <c r="U348">
        <v>-1</v>
      </c>
      <c r="V348" t="b">
        <v>0</v>
      </c>
      <c r="W348" t="s">
        <v>298</v>
      </c>
      <c r="X348" t="s">
        <v>401</v>
      </c>
      <c r="Y348" t="s">
        <v>272</v>
      </c>
      <c r="Z348">
        <v>0.85</v>
      </c>
      <c r="AA348">
        <v>0.85</v>
      </c>
      <c r="AS348">
        <f t="shared" si="205"/>
        <v>10</v>
      </c>
      <c r="AT348" t="s">
        <v>273</v>
      </c>
      <c r="AU348" t="str">
        <f t="shared" si="207"/>
        <v>LSA_VPU_RASTER_E_BEGIN_TITO_VPU_NOM_LFM_1900_BUTTRESS_RASTER_VBTR_BT3</v>
      </c>
      <c r="AV348" t="str">
        <f t="shared" ref="AV348:BD348" si="209">$D350</f>
        <v>SSA_VPU_HRY_E_BEGIN_TITO_VPU_NOM_LFM_1900_VCPU_BHRY_VBTR_BT4</v>
      </c>
      <c r="AW348" t="str">
        <f t="shared" si="209"/>
        <v>SSA_VPU_HRY_E_BEGIN_TITO_VPU_NOM_LFM_1900_VCPU_BHRY_VBTR_BT4</v>
      </c>
      <c r="AX348" t="str">
        <f t="shared" si="209"/>
        <v>SSA_VPU_HRY_E_BEGIN_TITO_VPU_NOM_LFM_1900_VCPU_BHRY_VBTR_BT4</v>
      </c>
      <c r="AY348" t="str">
        <f t="shared" si="209"/>
        <v>SSA_VPU_HRY_E_BEGIN_TITO_VPU_NOM_LFM_1900_VCPU_BHRY_VBTR_BT4</v>
      </c>
      <c r="AZ348" t="str">
        <f t="shared" si="209"/>
        <v>SSA_VPU_HRY_E_BEGIN_TITO_VPU_NOM_LFM_1900_VCPU_BHRY_VBTR_BT4</v>
      </c>
      <c r="BA348" t="str">
        <f t="shared" si="209"/>
        <v>SSA_VPU_HRY_E_BEGIN_TITO_VPU_NOM_LFM_1900_VCPU_BHRY_VBTR_BT4</v>
      </c>
      <c r="BB348" t="str">
        <f t="shared" si="209"/>
        <v>SSA_VPU_HRY_E_BEGIN_TITO_VPU_NOM_LFM_1900_VCPU_BHRY_VBTR_BT4</v>
      </c>
      <c r="BC348" t="str">
        <f t="shared" si="209"/>
        <v>SSA_VPU_HRY_E_BEGIN_TITO_VPU_NOM_LFM_1900_VCPU_BHRY_VBTR_BT4</v>
      </c>
      <c r="BD348" t="str">
        <f t="shared" si="209"/>
        <v>SSA_VPU_HRY_E_BEGIN_TITO_VPU_NOM_LFM_1900_VCPU_BHRY_VBTR_BT4</v>
      </c>
    </row>
    <row r="349" spans="1:56" x14ac:dyDescent="0.35">
      <c r="A349" s="12" t="s">
        <v>12</v>
      </c>
      <c r="B349" s="12" t="s">
        <v>56</v>
      </c>
      <c r="C349" s="12" t="str">
        <f>VLOOKUP(B349,templateLookup!A:B,2,0)</f>
        <v>MbistRasterTC</v>
      </c>
      <c r="D349" t="str">
        <f t="shared" si="206"/>
        <v>LSA_VPU_RASTER_E_BEGIN_TITO_VPU_NOM_LFM_1900_BUTTRESS_RASTER_VBTR_BT3</v>
      </c>
      <c r="E349" t="s">
        <v>5</v>
      </c>
      <c r="F349" t="s">
        <v>25</v>
      </c>
      <c r="G349" t="s">
        <v>289</v>
      </c>
      <c r="H349" t="s">
        <v>207</v>
      </c>
      <c r="I349" t="s">
        <v>260</v>
      </c>
      <c r="J349" t="s">
        <v>25</v>
      </c>
      <c r="K349" t="s">
        <v>284</v>
      </c>
      <c r="L349" t="s">
        <v>285</v>
      </c>
      <c r="M349">
        <v>1900</v>
      </c>
      <c r="N349" t="s">
        <v>702</v>
      </c>
      <c r="O349" t="s">
        <v>267</v>
      </c>
      <c r="P349" t="s">
        <v>268</v>
      </c>
      <c r="Q349" t="s">
        <v>291</v>
      </c>
      <c r="R349">
        <v>21</v>
      </c>
      <c r="S349">
        <v>30</v>
      </c>
      <c r="T349">
        <v>2</v>
      </c>
      <c r="U349">
        <v>1</v>
      </c>
      <c r="V349" s="12" t="b">
        <v>0</v>
      </c>
      <c r="W349" t="s">
        <v>298</v>
      </c>
      <c r="AS349">
        <f t="shared" si="205"/>
        <v>5</v>
      </c>
      <c r="AT349">
        <v>1</v>
      </c>
      <c r="AU349" t="str">
        <f t="shared" si="207"/>
        <v>SSA_VPU_HRY_E_BEGIN_TITO_VPU_NOM_LFM_1900_VCPU_BHRY_VBTR_BT4</v>
      </c>
      <c r="AV349" t="str">
        <f>$D350</f>
        <v>SSA_VPU_HRY_E_BEGIN_TITO_VPU_NOM_LFM_1900_VCPU_BHRY_VBTR_BT4</v>
      </c>
      <c r="AW349" t="str">
        <f>$D350</f>
        <v>SSA_VPU_HRY_E_BEGIN_TITO_VPU_NOM_LFM_1900_VCPU_BHRY_VBTR_BT4</v>
      </c>
      <c r="AX349" t="str">
        <f>$D350</f>
        <v>SSA_VPU_HRY_E_BEGIN_TITO_VPU_NOM_LFM_1900_VCPU_BHRY_VBTR_BT4</v>
      </c>
      <c r="AY349" t="str">
        <f>$D350</f>
        <v>SSA_VPU_HRY_E_BEGIN_TITO_VPU_NOM_LFM_1900_VCPU_BHRY_VBTR_BT4</v>
      </c>
    </row>
    <row r="350" spans="1:56" x14ac:dyDescent="0.35">
      <c r="A350" s="12" t="s">
        <v>12</v>
      </c>
      <c r="B350" s="12" t="s">
        <v>54</v>
      </c>
      <c r="C350" s="12" t="str">
        <f>VLOOKUP(B350,templateLookup!A:B,2,0)</f>
        <v>PrimeMbistVminSearchTestMethod</v>
      </c>
      <c r="D350" t="str">
        <f t="shared" si="206"/>
        <v>SSA_VPU_HRY_E_BEGIN_TITO_VPU_NOM_LFM_1900_VCPU_BHRY_VBTR_BT4</v>
      </c>
      <c r="E350" t="s">
        <v>4</v>
      </c>
      <c r="F350" t="s">
        <v>25</v>
      </c>
      <c r="G350" t="s">
        <v>271</v>
      </c>
      <c r="H350" t="s">
        <v>207</v>
      </c>
      <c r="I350" t="s">
        <v>260</v>
      </c>
      <c r="J350" t="s">
        <v>25</v>
      </c>
      <c r="K350" t="s">
        <v>284</v>
      </c>
      <c r="L350" t="s">
        <v>285</v>
      </c>
      <c r="M350">
        <v>1900</v>
      </c>
      <c r="N350" t="s">
        <v>703</v>
      </c>
      <c r="O350" t="s">
        <v>267</v>
      </c>
      <c r="P350" t="s">
        <v>268</v>
      </c>
      <c r="Q350" t="s">
        <v>704</v>
      </c>
      <c r="R350">
        <v>61</v>
      </c>
      <c r="S350">
        <v>30</v>
      </c>
      <c r="T350">
        <v>3</v>
      </c>
      <c r="U350">
        <v>-1</v>
      </c>
      <c r="V350" t="b">
        <v>0</v>
      </c>
      <c r="W350" t="s">
        <v>298</v>
      </c>
      <c r="X350" t="s">
        <v>271</v>
      </c>
      <c r="Y350" t="s">
        <v>272</v>
      </c>
      <c r="Z350">
        <v>0.85</v>
      </c>
      <c r="AA350">
        <v>0.85</v>
      </c>
      <c r="AS350">
        <f t="shared" si="205"/>
        <v>10</v>
      </c>
      <c r="AT350" t="s">
        <v>273</v>
      </c>
      <c r="AU350" t="str">
        <f t="shared" si="207"/>
        <v>SSA_VPU_HRY_E_BEGIN_TITO_VPU_NOM_LFM_1900_VCPU_BISR_VBTR_BT4</v>
      </c>
      <c r="AV350" t="str">
        <f>$D353</f>
        <v>LSA_VPU_HRY_E_BEGIN_TITO_VPU_NOM_LFM_1900_VCPU_BHRY_VBTR_BT4</v>
      </c>
      <c r="AW350" t="str">
        <f t="shared" ref="AW350:BB350" si="210">$D351</f>
        <v>SSA_VPU_HRY_E_BEGIN_TITO_VPU_NOM_LFM_1900_VCPU_BISR_VBTR_BT4</v>
      </c>
      <c r="AX350" t="str">
        <f t="shared" si="210"/>
        <v>SSA_VPU_HRY_E_BEGIN_TITO_VPU_NOM_LFM_1900_VCPU_BISR_VBTR_BT4</v>
      </c>
      <c r="AY350" t="str">
        <f t="shared" si="210"/>
        <v>SSA_VPU_HRY_E_BEGIN_TITO_VPU_NOM_LFM_1900_VCPU_BISR_VBTR_BT4</v>
      </c>
      <c r="AZ350" t="str">
        <f t="shared" si="210"/>
        <v>SSA_VPU_HRY_E_BEGIN_TITO_VPU_NOM_LFM_1900_VCPU_BISR_VBTR_BT4</v>
      </c>
      <c r="BA350" t="str">
        <f t="shared" si="210"/>
        <v>SSA_VPU_HRY_E_BEGIN_TITO_VPU_NOM_LFM_1900_VCPU_BISR_VBTR_BT4</v>
      </c>
      <c r="BB350" t="str">
        <f t="shared" si="210"/>
        <v>SSA_VPU_HRY_E_BEGIN_TITO_VPU_NOM_LFM_1900_VCPU_BISR_VBTR_BT4</v>
      </c>
      <c r="BC350" t="str">
        <f>$D353</f>
        <v>LSA_VPU_HRY_E_BEGIN_TITO_VPU_NOM_LFM_1900_VCPU_BHRY_VBTR_BT4</v>
      </c>
      <c r="BD350" t="str">
        <f>$D351</f>
        <v>SSA_VPU_HRY_E_BEGIN_TITO_VPU_NOM_LFM_1900_VCPU_BISR_VBTR_BT4</v>
      </c>
    </row>
    <row r="351" spans="1:56" x14ac:dyDescent="0.35">
      <c r="A351" s="12" t="s">
        <v>12</v>
      </c>
      <c r="B351" s="12" t="s">
        <v>54</v>
      </c>
      <c r="C351" s="12" t="str">
        <f>VLOOKUP(B351,templateLookup!A:B,2,0)</f>
        <v>PrimeMbistVminSearchTestMethod</v>
      </c>
      <c r="D351" t="str">
        <f t="shared" si="206"/>
        <v>SSA_VPU_HRY_E_BEGIN_TITO_VPU_NOM_LFM_1900_VCPU_BISR_VBTR_BT4</v>
      </c>
      <c r="E351" t="s">
        <v>4</v>
      </c>
      <c r="F351" t="s">
        <v>25</v>
      </c>
      <c r="G351" t="s">
        <v>271</v>
      </c>
      <c r="H351" t="s">
        <v>207</v>
      </c>
      <c r="I351" t="s">
        <v>260</v>
      </c>
      <c r="J351" t="s">
        <v>25</v>
      </c>
      <c r="K351" t="s">
        <v>284</v>
      </c>
      <c r="L351" t="s">
        <v>285</v>
      </c>
      <c r="M351">
        <v>1900</v>
      </c>
      <c r="N351" t="s">
        <v>705</v>
      </c>
      <c r="O351" t="s">
        <v>267</v>
      </c>
      <c r="P351" t="s">
        <v>268</v>
      </c>
      <c r="Q351" t="s">
        <v>706</v>
      </c>
      <c r="R351">
        <v>61</v>
      </c>
      <c r="S351">
        <v>30</v>
      </c>
      <c r="T351">
        <v>4</v>
      </c>
      <c r="U351">
        <v>-1</v>
      </c>
      <c r="V351" t="b">
        <v>0</v>
      </c>
      <c r="W351" t="s">
        <v>298</v>
      </c>
      <c r="X351" t="s">
        <v>401</v>
      </c>
      <c r="Y351" t="s">
        <v>272</v>
      </c>
      <c r="Z351">
        <v>0.85</v>
      </c>
      <c r="AA351">
        <v>0.85</v>
      </c>
      <c r="AS351">
        <f t="shared" si="205"/>
        <v>10</v>
      </c>
      <c r="AT351" t="s">
        <v>273</v>
      </c>
      <c r="AU351" t="str">
        <f t="shared" si="207"/>
        <v>SSA_VPU_RASTER_E_BEGIN_TITO_VPU_NOM_LFM_1900_VCPU_RASTER_VBTR_BT4</v>
      </c>
      <c r="AV351" t="str">
        <f t="shared" ref="AV351:BD351" si="211">$D353</f>
        <v>LSA_VPU_HRY_E_BEGIN_TITO_VPU_NOM_LFM_1900_VCPU_BHRY_VBTR_BT4</v>
      </c>
      <c r="AW351" t="str">
        <f t="shared" si="211"/>
        <v>LSA_VPU_HRY_E_BEGIN_TITO_VPU_NOM_LFM_1900_VCPU_BHRY_VBTR_BT4</v>
      </c>
      <c r="AX351" t="str">
        <f t="shared" si="211"/>
        <v>LSA_VPU_HRY_E_BEGIN_TITO_VPU_NOM_LFM_1900_VCPU_BHRY_VBTR_BT4</v>
      </c>
      <c r="AY351" t="str">
        <f t="shared" si="211"/>
        <v>LSA_VPU_HRY_E_BEGIN_TITO_VPU_NOM_LFM_1900_VCPU_BHRY_VBTR_BT4</v>
      </c>
      <c r="AZ351" t="str">
        <f t="shared" si="211"/>
        <v>LSA_VPU_HRY_E_BEGIN_TITO_VPU_NOM_LFM_1900_VCPU_BHRY_VBTR_BT4</v>
      </c>
      <c r="BA351" t="str">
        <f t="shared" si="211"/>
        <v>LSA_VPU_HRY_E_BEGIN_TITO_VPU_NOM_LFM_1900_VCPU_BHRY_VBTR_BT4</v>
      </c>
      <c r="BB351" t="str">
        <f t="shared" si="211"/>
        <v>LSA_VPU_HRY_E_BEGIN_TITO_VPU_NOM_LFM_1900_VCPU_BHRY_VBTR_BT4</v>
      </c>
      <c r="BC351" t="str">
        <f t="shared" si="211"/>
        <v>LSA_VPU_HRY_E_BEGIN_TITO_VPU_NOM_LFM_1900_VCPU_BHRY_VBTR_BT4</v>
      </c>
      <c r="BD351" t="str">
        <f t="shared" si="211"/>
        <v>LSA_VPU_HRY_E_BEGIN_TITO_VPU_NOM_LFM_1900_VCPU_BHRY_VBTR_BT4</v>
      </c>
    </row>
    <row r="352" spans="1:56" x14ac:dyDescent="0.35">
      <c r="A352" s="12" t="s">
        <v>12</v>
      </c>
      <c r="B352" s="12" t="s">
        <v>56</v>
      </c>
      <c r="C352" s="12" t="str">
        <f>VLOOKUP(B352,templateLookup!A:B,2,0)</f>
        <v>MbistRasterTC</v>
      </c>
      <c r="D352" t="str">
        <f t="shared" si="206"/>
        <v>SSA_VPU_RASTER_E_BEGIN_TITO_VPU_NOM_LFM_1900_VCPU_RASTER_VBTR_BT4</v>
      </c>
      <c r="E352" t="s">
        <v>4</v>
      </c>
      <c r="F352" t="s">
        <v>25</v>
      </c>
      <c r="G352" t="s">
        <v>289</v>
      </c>
      <c r="H352" t="s">
        <v>207</v>
      </c>
      <c r="I352" t="s">
        <v>260</v>
      </c>
      <c r="J352" t="s">
        <v>25</v>
      </c>
      <c r="K352" t="s">
        <v>284</v>
      </c>
      <c r="L352" t="s">
        <v>285</v>
      </c>
      <c r="M352">
        <v>1900</v>
      </c>
      <c r="N352" t="s">
        <v>707</v>
      </c>
      <c r="O352" t="s">
        <v>267</v>
      </c>
      <c r="P352" t="s">
        <v>268</v>
      </c>
      <c r="Q352" t="s">
        <v>291</v>
      </c>
      <c r="R352">
        <v>61</v>
      </c>
      <c r="S352">
        <v>30</v>
      </c>
      <c r="T352">
        <v>5</v>
      </c>
      <c r="U352">
        <v>1</v>
      </c>
      <c r="V352" s="12" t="b">
        <v>0</v>
      </c>
      <c r="W352" t="s">
        <v>298</v>
      </c>
      <c r="AS352">
        <f t="shared" si="205"/>
        <v>5</v>
      </c>
      <c r="AT352">
        <v>1</v>
      </c>
      <c r="AU352" t="str">
        <f t="shared" si="207"/>
        <v>LSA_VPU_HRY_E_BEGIN_TITO_VPU_NOM_LFM_1900_VCPU_BHRY_VBTR_BT4</v>
      </c>
      <c r="AV352" t="str">
        <f>$D353</f>
        <v>LSA_VPU_HRY_E_BEGIN_TITO_VPU_NOM_LFM_1900_VCPU_BHRY_VBTR_BT4</v>
      </c>
      <c r="AW352" t="str">
        <f>$D353</f>
        <v>LSA_VPU_HRY_E_BEGIN_TITO_VPU_NOM_LFM_1900_VCPU_BHRY_VBTR_BT4</v>
      </c>
      <c r="AX352" t="str">
        <f>$D353</f>
        <v>LSA_VPU_HRY_E_BEGIN_TITO_VPU_NOM_LFM_1900_VCPU_BHRY_VBTR_BT4</v>
      </c>
      <c r="AY352" t="str">
        <f>$D353</f>
        <v>LSA_VPU_HRY_E_BEGIN_TITO_VPU_NOM_LFM_1900_VCPU_BHRY_VBTR_BT4</v>
      </c>
    </row>
    <row r="353" spans="1:56" x14ac:dyDescent="0.35">
      <c r="A353" s="12" t="s">
        <v>12</v>
      </c>
      <c r="B353" s="12" t="s">
        <v>54</v>
      </c>
      <c r="C353" s="12" t="str">
        <f>VLOOKUP(B353,templateLookup!A:B,2,0)</f>
        <v>PrimeMbistVminSearchTestMethod</v>
      </c>
      <c r="D353" t="str">
        <f t="shared" si="206"/>
        <v>LSA_VPU_HRY_E_BEGIN_TITO_VPU_NOM_LFM_1900_VCPU_BHRY_VBTR_BT4</v>
      </c>
      <c r="E353" t="s">
        <v>5</v>
      </c>
      <c r="F353" t="s">
        <v>25</v>
      </c>
      <c r="G353" t="s">
        <v>271</v>
      </c>
      <c r="H353" t="s">
        <v>207</v>
      </c>
      <c r="I353" t="s">
        <v>260</v>
      </c>
      <c r="J353" t="s">
        <v>25</v>
      </c>
      <c r="K353" t="s">
        <v>284</v>
      </c>
      <c r="L353" t="s">
        <v>285</v>
      </c>
      <c r="M353">
        <v>1900</v>
      </c>
      <c r="N353" t="s">
        <v>703</v>
      </c>
      <c r="O353" t="s">
        <v>267</v>
      </c>
      <c r="P353" t="s">
        <v>268</v>
      </c>
      <c r="Q353" t="s">
        <v>708</v>
      </c>
      <c r="R353">
        <v>21</v>
      </c>
      <c r="S353">
        <v>30</v>
      </c>
      <c r="T353">
        <v>6</v>
      </c>
      <c r="U353">
        <v>-1</v>
      </c>
      <c r="V353" t="b">
        <v>0</v>
      </c>
      <c r="W353" t="s">
        <v>298</v>
      </c>
      <c r="X353" t="s">
        <v>271</v>
      </c>
      <c r="Y353" t="s">
        <v>272</v>
      </c>
      <c r="Z353">
        <v>0.85</v>
      </c>
      <c r="AA353">
        <v>0.85</v>
      </c>
      <c r="AS353">
        <f t="shared" si="205"/>
        <v>10</v>
      </c>
      <c r="AT353" t="s">
        <v>273</v>
      </c>
      <c r="AU353" t="str">
        <f>$D355</f>
        <v>LSA_VPU_RASTER_E_BEGIN_TITO_VPU_NOM_LFM_1900_VCPU_RASTER_VBTR_BT4</v>
      </c>
      <c r="AV353" t="str">
        <f>$D356</f>
        <v>SSA_VPU_HRY_E_BEGIN_TITO_VPU_NOM_LFM_1900_TILE0_BHRY_VBTR_BT5</v>
      </c>
      <c r="AW353" t="str">
        <f t="shared" ref="AW353:BB353" si="212">$D355</f>
        <v>LSA_VPU_RASTER_E_BEGIN_TITO_VPU_NOM_LFM_1900_VCPU_RASTER_VBTR_BT4</v>
      </c>
      <c r="AX353" t="str">
        <f t="shared" si="212"/>
        <v>LSA_VPU_RASTER_E_BEGIN_TITO_VPU_NOM_LFM_1900_VCPU_RASTER_VBTR_BT4</v>
      </c>
      <c r="AY353" t="str">
        <f t="shared" si="212"/>
        <v>LSA_VPU_RASTER_E_BEGIN_TITO_VPU_NOM_LFM_1900_VCPU_RASTER_VBTR_BT4</v>
      </c>
      <c r="AZ353" t="str">
        <f t="shared" si="212"/>
        <v>LSA_VPU_RASTER_E_BEGIN_TITO_VPU_NOM_LFM_1900_VCPU_RASTER_VBTR_BT4</v>
      </c>
      <c r="BA353" t="str">
        <f t="shared" si="212"/>
        <v>LSA_VPU_RASTER_E_BEGIN_TITO_VPU_NOM_LFM_1900_VCPU_RASTER_VBTR_BT4</v>
      </c>
      <c r="BB353" t="str">
        <f t="shared" si="212"/>
        <v>LSA_VPU_RASTER_E_BEGIN_TITO_VPU_NOM_LFM_1900_VCPU_RASTER_VBTR_BT4</v>
      </c>
      <c r="BC353" t="str">
        <f>$D356</f>
        <v>SSA_VPU_HRY_E_BEGIN_TITO_VPU_NOM_LFM_1900_TILE0_BHRY_VBTR_BT5</v>
      </c>
      <c r="BD353" t="str">
        <f>$D355</f>
        <v>LSA_VPU_RASTER_E_BEGIN_TITO_VPU_NOM_LFM_1900_VCPU_RASTER_VBTR_BT4</v>
      </c>
    </row>
    <row r="354" spans="1:56" x14ac:dyDescent="0.35">
      <c r="A354" s="12" t="s">
        <v>12</v>
      </c>
      <c r="B354" s="12" t="s">
        <v>54</v>
      </c>
      <c r="C354" s="12" t="str">
        <f>VLOOKUP(B354,templateLookup!A:B,2,0)</f>
        <v>PrimeMbistVminSearchTestMethod</v>
      </c>
      <c r="D354" t="str">
        <f t="shared" si="206"/>
        <v>LSA_VPU_HRY_E_BEGIN_TITO_VPU_NOM_LFM_1900_VCPU_BISR_VBTR_BT4</v>
      </c>
      <c r="E354" t="s">
        <v>5</v>
      </c>
      <c r="F354" t="s">
        <v>25</v>
      </c>
      <c r="G354" t="s">
        <v>271</v>
      </c>
      <c r="H354" t="s">
        <v>207</v>
      </c>
      <c r="I354" t="s">
        <v>260</v>
      </c>
      <c r="J354" t="s">
        <v>25</v>
      </c>
      <c r="K354" t="s">
        <v>284</v>
      </c>
      <c r="L354" t="s">
        <v>285</v>
      </c>
      <c r="M354">
        <v>1900</v>
      </c>
      <c r="N354" t="s">
        <v>705</v>
      </c>
      <c r="O354" t="s">
        <v>267</v>
      </c>
      <c r="P354" t="s">
        <v>268</v>
      </c>
      <c r="Q354" t="s">
        <v>709</v>
      </c>
      <c r="R354">
        <v>21</v>
      </c>
      <c r="S354">
        <v>30</v>
      </c>
      <c r="T354">
        <v>7</v>
      </c>
      <c r="U354">
        <v>-1</v>
      </c>
      <c r="V354" t="b">
        <v>0</v>
      </c>
      <c r="W354" t="s">
        <v>298</v>
      </c>
      <c r="X354" t="s">
        <v>401</v>
      </c>
      <c r="Y354" t="s">
        <v>272</v>
      </c>
      <c r="Z354">
        <v>0.85</v>
      </c>
      <c r="AA354">
        <v>0.85</v>
      </c>
      <c r="AS354">
        <f t="shared" si="205"/>
        <v>10</v>
      </c>
      <c r="AT354" t="s">
        <v>273</v>
      </c>
      <c r="AU354" t="str">
        <f t="shared" ref="AU354:BD354" si="213">$D356</f>
        <v>SSA_VPU_HRY_E_BEGIN_TITO_VPU_NOM_LFM_1900_TILE0_BHRY_VBTR_BT5</v>
      </c>
      <c r="AV354" t="str">
        <f t="shared" si="213"/>
        <v>SSA_VPU_HRY_E_BEGIN_TITO_VPU_NOM_LFM_1900_TILE0_BHRY_VBTR_BT5</v>
      </c>
      <c r="AW354" t="str">
        <f t="shared" si="213"/>
        <v>SSA_VPU_HRY_E_BEGIN_TITO_VPU_NOM_LFM_1900_TILE0_BHRY_VBTR_BT5</v>
      </c>
      <c r="AX354" t="str">
        <f t="shared" si="213"/>
        <v>SSA_VPU_HRY_E_BEGIN_TITO_VPU_NOM_LFM_1900_TILE0_BHRY_VBTR_BT5</v>
      </c>
      <c r="AY354" t="str">
        <f t="shared" si="213"/>
        <v>SSA_VPU_HRY_E_BEGIN_TITO_VPU_NOM_LFM_1900_TILE0_BHRY_VBTR_BT5</v>
      </c>
      <c r="AZ354" t="str">
        <f t="shared" si="213"/>
        <v>SSA_VPU_HRY_E_BEGIN_TITO_VPU_NOM_LFM_1900_TILE0_BHRY_VBTR_BT5</v>
      </c>
      <c r="BA354" t="str">
        <f t="shared" si="213"/>
        <v>SSA_VPU_HRY_E_BEGIN_TITO_VPU_NOM_LFM_1900_TILE0_BHRY_VBTR_BT5</v>
      </c>
      <c r="BB354" t="str">
        <f t="shared" si="213"/>
        <v>SSA_VPU_HRY_E_BEGIN_TITO_VPU_NOM_LFM_1900_TILE0_BHRY_VBTR_BT5</v>
      </c>
      <c r="BC354" t="str">
        <f t="shared" si="213"/>
        <v>SSA_VPU_HRY_E_BEGIN_TITO_VPU_NOM_LFM_1900_TILE0_BHRY_VBTR_BT5</v>
      </c>
      <c r="BD354" t="str">
        <f t="shared" si="213"/>
        <v>SSA_VPU_HRY_E_BEGIN_TITO_VPU_NOM_LFM_1900_TILE0_BHRY_VBTR_BT5</v>
      </c>
    </row>
    <row r="355" spans="1:56" x14ac:dyDescent="0.35">
      <c r="A355" s="12" t="s">
        <v>12</v>
      </c>
      <c r="B355" s="12" t="s">
        <v>56</v>
      </c>
      <c r="C355" s="12" t="str">
        <f>VLOOKUP(B355,templateLookup!A:B,2,0)</f>
        <v>MbistRasterTC</v>
      </c>
      <c r="D355" s="46" t="str">
        <f t="shared" si="206"/>
        <v>LSA_VPU_RASTER_E_BEGIN_TITO_VPU_NOM_LFM_1900_VCPU_RASTER_VBTR_BT4</v>
      </c>
      <c r="E355" t="s">
        <v>5</v>
      </c>
      <c r="F355" t="s">
        <v>25</v>
      </c>
      <c r="G355" t="s">
        <v>289</v>
      </c>
      <c r="H355" t="s">
        <v>207</v>
      </c>
      <c r="I355" t="s">
        <v>260</v>
      </c>
      <c r="J355" t="s">
        <v>25</v>
      </c>
      <c r="K355" t="s">
        <v>284</v>
      </c>
      <c r="L355" t="s">
        <v>285</v>
      </c>
      <c r="M355">
        <v>1900</v>
      </c>
      <c r="N355" t="s">
        <v>707</v>
      </c>
      <c r="O355" t="s">
        <v>267</v>
      </c>
      <c r="P355" t="s">
        <v>268</v>
      </c>
      <c r="Q355" s="4" t="s">
        <v>710</v>
      </c>
      <c r="R355">
        <v>21</v>
      </c>
      <c r="S355">
        <v>30</v>
      </c>
      <c r="T355">
        <v>8</v>
      </c>
      <c r="U355">
        <v>-1</v>
      </c>
      <c r="V355" s="12" t="b">
        <v>0</v>
      </c>
      <c r="W355" t="s">
        <v>298</v>
      </c>
      <c r="AS355">
        <f t="shared" si="205"/>
        <v>5</v>
      </c>
      <c r="AT355">
        <v>1</v>
      </c>
      <c r="AU355" t="str">
        <f>$D354</f>
        <v>LSA_VPU_HRY_E_BEGIN_TITO_VPU_NOM_LFM_1900_VCPU_BISR_VBTR_BT4</v>
      </c>
      <c r="AV355" t="str">
        <f t="shared" ref="AV355:AY355" si="214">$D354</f>
        <v>LSA_VPU_HRY_E_BEGIN_TITO_VPU_NOM_LFM_1900_VCPU_BISR_VBTR_BT4</v>
      </c>
      <c r="AW355" t="str">
        <f t="shared" si="214"/>
        <v>LSA_VPU_HRY_E_BEGIN_TITO_VPU_NOM_LFM_1900_VCPU_BISR_VBTR_BT4</v>
      </c>
      <c r="AX355" t="str">
        <f t="shared" si="214"/>
        <v>LSA_VPU_HRY_E_BEGIN_TITO_VPU_NOM_LFM_1900_VCPU_BISR_VBTR_BT4</v>
      </c>
      <c r="AY355" t="str">
        <f t="shared" si="214"/>
        <v>LSA_VPU_HRY_E_BEGIN_TITO_VPU_NOM_LFM_1900_VCPU_BISR_VBTR_BT4</v>
      </c>
    </row>
    <row r="356" spans="1:56" x14ac:dyDescent="0.35">
      <c r="A356" s="12" t="s">
        <v>12</v>
      </c>
      <c r="B356" s="12" t="s">
        <v>54</v>
      </c>
      <c r="C356" s="12" t="str">
        <f>VLOOKUP(B356,templateLookup!A:B,2,0)</f>
        <v>PrimeMbistVminSearchTestMethod</v>
      </c>
      <c r="D356" t="str">
        <f t="shared" si="206"/>
        <v>SSA_VPU_HRY_E_BEGIN_TITO_VPU_NOM_LFM_1900_TILE0_BHRY_VBTR_BT5</v>
      </c>
      <c r="E356" t="s">
        <v>4</v>
      </c>
      <c r="F356" t="s">
        <v>25</v>
      </c>
      <c r="G356" t="s">
        <v>271</v>
      </c>
      <c r="H356" t="s">
        <v>207</v>
      </c>
      <c r="I356" t="s">
        <v>260</v>
      </c>
      <c r="J356" t="s">
        <v>25</v>
      </c>
      <c r="K356" t="s">
        <v>284</v>
      </c>
      <c r="L356" t="s">
        <v>285</v>
      </c>
      <c r="M356">
        <v>1900</v>
      </c>
      <c r="N356" t="s">
        <v>711</v>
      </c>
      <c r="O356" t="s">
        <v>267</v>
      </c>
      <c r="P356" t="s">
        <v>268</v>
      </c>
      <c r="Q356" t="s">
        <v>712</v>
      </c>
      <c r="R356">
        <v>61</v>
      </c>
      <c r="S356">
        <v>30</v>
      </c>
      <c r="T356">
        <v>9</v>
      </c>
      <c r="U356">
        <v>-1</v>
      </c>
      <c r="V356" t="b">
        <v>0</v>
      </c>
      <c r="W356" t="s">
        <v>298</v>
      </c>
      <c r="X356" t="s">
        <v>271</v>
      </c>
      <c r="Y356" t="s">
        <v>272</v>
      </c>
      <c r="Z356">
        <v>0.85</v>
      </c>
      <c r="AA356">
        <v>0.85</v>
      </c>
      <c r="AS356">
        <f t="shared" si="205"/>
        <v>10</v>
      </c>
      <c r="AT356" t="s">
        <v>273</v>
      </c>
      <c r="AU356" t="str">
        <f t="shared" si="207"/>
        <v>SSA_VPU_HRY_E_BEGIN_TITO_VPU_NOM_LFM_1900_TILE0_BISR_VBTR_BT5</v>
      </c>
      <c r="AV356" t="str">
        <f>$D359</f>
        <v>LSA_VPU_HRY_E_BEGIN_TITO_VPU_NOM_LFM_1900_TILE0_BHRY_VBTR_BT5</v>
      </c>
      <c r="AW356" t="str">
        <f t="shared" ref="AW356:BB356" si="215">$D357</f>
        <v>SSA_VPU_HRY_E_BEGIN_TITO_VPU_NOM_LFM_1900_TILE0_BISR_VBTR_BT5</v>
      </c>
      <c r="AX356" t="str">
        <f t="shared" si="215"/>
        <v>SSA_VPU_HRY_E_BEGIN_TITO_VPU_NOM_LFM_1900_TILE0_BISR_VBTR_BT5</v>
      </c>
      <c r="AY356" t="str">
        <f t="shared" si="215"/>
        <v>SSA_VPU_HRY_E_BEGIN_TITO_VPU_NOM_LFM_1900_TILE0_BISR_VBTR_BT5</v>
      </c>
      <c r="AZ356" t="str">
        <f t="shared" si="215"/>
        <v>SSA_VPU_HRY_E_BEGIN_TITO_VPU_NOM_LFM_1900_TILE0_BISR_VBTR_BT5</v>
      </c>
      <c r="BA356" t="str">
        <f t="shared" si="215"/>
        <v>SSA_VPU_HRY_E_BEGIN_TITO_VPU_NOM_LFM_1900_TILE0_BISR_VBTR_BT5</v>
      </c>
      <c r="BB356" t="str">
        <f t="shared" si="215"/>
        <v>SSA_VPU_HRY_E_BEGIN_TITO_VPU_NOM_LFM_1900_TILE0_BISR_VBTR_BT5</v>
      </c>
      <c r="BC356" t="str">
        <f>$D359</f>
        <v>LSA_VPU_HRY_E_BEGIN_TITO_VPU_NOM_LFM_1900_TILE0_BHRY_VBTR_BT5</v>
      </c>
      <c r="BD356" t="str">
        <f>$D357</f>
        <v>SSA_VPU_HRY_E_BEGIN_TITO_VPU_NOM_LFM_1900_TILE0_BISR_VBTR_BT5</v>
      </c>
    </row>
    <row r="357" spans="1:56" x14ac:dyDescent="0.35">
      <c r="A357" s="12" t="s">
        <v>12</v>
      </c>
      <c r="B357" s="12" t="s">
        <v>54</v>
      </c>
      <c r="C357" s="12" t="str">
        <f>VLOOKUP(B357,templateLookup!A:B,2,0)</f>
        <v>PrimeMbistVminSearchTestMethod</v>
      </c>
      <c r="D357" t="str">
        <f t="shared" si="206"/>
        <v>SSA_VPU_HRY_E_BEGIN_TITO_VPU_NOM_LFM_1900_TILE0_BISR_VBTR_BT5</v>
      </c>
      <c r="E357" t="s">
        <v>4</v>
      </c>
      <c r="F357" t="s">
        <v>25</v>
      </c>
      <c r="G357" t="s">
        <v>271</v>
      </c>
      <c r="H357" t="s">
        <v>207</v>
      </c>
      <c r="I357" t="s">
        <v>260</v>
      </c>
      <c r="J357" t="s">
        <v>25</v>
      </c>
      <c r="K357" t="s">
        <v>284</v>
      </c>
      <c r="L357" t="s">
        <v>285</v>
      </c>
      <c r="M357">
        <v>1900</v>
      </c>
      <c r="N357" t="s">
        <v>713</v>
      </c>
      <c r="O357" t="s">
        <v>267</v>
      </c>
      <c r="P357" t="s">
        <v>268</v>
      </c>
      <c r="Q357" t="s">
        <v>714</v>
      </c>
      <c r="R357">
        <v>61</v>
      </c>
      <c r="S357">
        <v>30</v>
      </c>
      <c r="T357">
        <v>10</v>
      </c>
      <c r="U357">
        <v>-1</v>
      </c>
      <c r="V357" t="b">
        <v>0</v>
      </c>
      <c r="W357" t="s">
        <v>298</v>
      </c>
      <c r="X357" t="s">
        <v>401</v>
      </c>
      <c r="Y357" t="s">
        <v>272</v>
      </c>
      <c r="Z357">
        <v>0.85</v>
      </c>
      <c r="AA357">
        <v>0.85</v>
      </c>
      <c r="AS357">
        <f t="shared" si="205"/>
        <v>10</v>
      </c>
      <c r="AT357" t="s">
        <v>273</v>
      </c>
      <c r="AU357" t="str">
        <f t="shared" si="207"/>
        <v>SSA_VPU_RASTER_E_BEGIN_TITO_VPU_NOM_LFM_1900_TILE0_RASTER_VBTR_BT5</v>
      </c>
      <c r="AV357" t="str">
        <f t="shared" ref="AV357:BD357" si="216">$D359</f>
        <v>LSA_VPU_HRY_E_BEGIN_TITO_VPU_NOM_LFM_1900_TILE0_BHRY_VBTR_BT5</v>
      </c>
      <c r="AW357" t="str">
        <f t="shared" si="216"/>
        <v>LSA_VPU_HRY_E_BEGIN_TITO_VPU_NOM_LFM_1900_TILE0_BHRY_VBTR_BT5</v>
      </c>
      <c r="AX357" t="str">
        <f t="shared" si="216"/>
        <v>LSA_VPU_HRY_E_BEGIN_TITO_VPU_NOM_LFM_1900_TILE0_BHRY_VBTR_BT5</v>
      </c>
      <c r="AY357" t="str">
        <f t="shared" si="216"/>
        <v>LSA_VPU_HRY_E_BEGIN_TITO_VPU_NOM_LFM_1900_TILE0_BHRY_VBTR_BT5</v>
      </c>
      <c r="AZ357" t="str">
        <f t="shared" si="216"/>
        <v>LSA_VPU_HRY_E_BEGIN_TITO_VPU_NOM_LFM_1900_TILE0_BHRY_VBTR_BT5</v>
      </c>
      <c r="BA357" t="str">
        <f t="shared" si="216"/>
        <v>LSA_VPU_HRY_E_BEGIN_TITO_VPU_NOM_LFM_1900_TILE0_BHRY_VBTR_BT5</v>
      </c>
      <c r="BB357" t="str">
        <f t="shared" si="216"/>
        <v>LSA_VPU_HRY_E_BEGIN_TITO_VPU_NOM_LFM_1900_TILE0_BHRY_VBTR_BT5</v>
      </c>
      <c r="BC357" t="str">
        <f t="shared" si="216"/>
        <v>LSA_VPU_HRY_E_BEGIN_TITO_VPU_NOM_LFM_1900_TILE0_BHRY_VBTR_BT5</v>
      </c>
      <c r="BD357" t="str">
        <f t="shared" si="216"/>
        <v>LSA_VPU_HRY_E_BEGIN_TITO_VPU_NOM_LFM_1900_TILE0_BHRY_VBTR_BT5</v>
      </c>
    </row>
    <row r="358" spans="1:56" x14ac:dyDescent="0.35">
      <c r="A358" s="12" t="s">
        <v>12</v>
      </c>
      <c r="B358" s="12" t="s">
        <v>56</v>
      </c>
      <c r="C358" s="12" t="str">
        <f>VLOOKUP(B358,templateLookup!A:B,2,0)</f>
        <v>MbistRasterTC</v>
      </c>
      <c r="D358" t="str">
        <f t="shared" si="206"/>
        <v>SSA_VPU_RASTER_E_BEGIN_TITO_VPU_NOM_LFM_1900_TILE0_RASTER_VBTR_BT5</v>
      </c>
      <c r="E358" t="s">
        <v>4</v>
      </c>
      <c r="F358" t="s">
        <v>25</v>
      </c>
      <c r="G358" t="s">
        <v>289</v>
      </c>
      <c r="H358" t="s">
        <v>207</v>
      </c>
      <c r="I358" t="s">
        <v>260</v>
      </c>
      <c r="J358" t="s">
        <v>25</v>
      </c>
      <c r="K358" t="s">
        <v>284</v>
      </c>
      <c r="L358" t="s">
        <v>285</v>
      </c>
      <c r="M358">
        <v>1900</v>
      </c>
      <c r="N358" t="s">
        <v>715</v>
      </c>
      <c r="O358" t="s">
        <v>267</v>
      </c>
      <c r="P358" t="s">
        <v>268</v>
      </c>
      <c r="Q358" t="s">
        <v>291</v>
      </c>
      <c r="R358">
        <v>61</v>
      </c>
      <c r="S358">
        <v>30</v>
      </c>
      <c r="T358">
        <v>11</v>
      </c>
      <c r="U358">
        <v>1</v>
      </c>
      <c r="V358" s="12" t="b">
        <v>0</v>
      </c>
      <c r="W358" t="s">
        <v>298</v>
      </c>
      <c r="AS358">
        <f t="shared" si="205"/>
        <v>5</v>
      </c>
      <c r="AT358">
        <v>1</v>
      </c>
      <c r="AU358" t="str">
        <f t="shared" si="207"/>
        <v>LSA_VPU_HRY_E_BEGIN_TITO_VPU_NOM_LFM_1900_TILE0_BHRY_VBTR_BT5</v>
      </c>
      <c r="AV358" t="str">
        <f>$D359</f>
        <v>LSA_VPU_HRY_E_BEGIN_TITO_VPU_NOM_LFM_1900_TILE0_BHRY_VBTR_BT5</v>
      </c>
      <c r="AW358" t="str">
        <f>$D359</f>
        <v>LSA_VPU_HRY_E_BEGIN_TITO_VPU_NOM_LFM_1900_TILE0_BHRY_VBTR_BT5</v>
      </c>
      <c r="AX358" t="str">
        <f>$D359</f>
        <v>LSA_VPU_HRY_E_BEGIN_TITO_VPU_NOM_LFM_1900_TILE0_BHRY_VBTR_BT5</v>
      </c>
      <c r="AY358" t="str">
        <f>$D359</f>
        <v>LSA_VPU_HRY_E_BEGIN_TITO_VPU_NOM_LFM_1900_TILE0_BHRY_VBTR_BT5</v>
      </c>
    </row>
    <row r="359" spans="1:56" x14ac:dyDescent="0.35">
      <c r="A359" s="12" t="s">
        <v>12</v>
      </c>
      <c r="B359" s="12" t="s">
        <v>54</v>
      </c>
      <c r="C359" s="12" t="str">
        <f>VLOOKUP(B359,templateLookup!A:B,2,0)</f>
        <v>PrimeMbistVminSearchTestMethod</v>
      </c>
      <c r="D359" t="str">
        <f t="shared" si="206"/>
        <v>LSA_VPU_HRY_E_BEGIN_TITO_VPU_NOM_LFM_1900_TILE0_BHRY_VBTR_BT5</v>
      </c>
      <c r="E359" t="s">
        <v>5</v>
      </c>
      <c r="F359" t="s">
        <v>25</v>
      </c>
      <c r="G359" t="s">
        <v>271</v>
      </c>
      <c r="H359" t="s">
        <v>207</v>
      </c>
      <c r="I359" t="s">
        <v>260</v>
      </c>
      <c r="J359" t="s">
        <v>25</v>
      </c>
      <c r="K359" t="s">
        <v>284</v>
      </c>
      <c r="L359" t="s">
        <v>285</v>
      </c>
      <c r="M359">
        <v>1900</v>
      </c>
      <c r="N359" t="s">
        <v>711</v>
      </c>
      <c r="O359" t="s">
        <v>267</v>
      </c>
      <c r="P359" t="s">
        <v>268</v>
      </c>
      <c r="Q359" t="s">
        <v>716</v>
      </c>
      <c r="R359">
        <v>21</v>
      </c>
      <c r="S359">
        <v>30</v>
      </c>
      <c r="T359">
        <v>12</v>
      </c>
      <c r="U359">
        <v>-1</v>
      </c>
      <c r="V359" t="b">
        <v>0</v>
      </c>
      <c r="W359" t="s">
        <v>298</v>
      </c>
      <c r="X359" t="s">
        <v>271</v>
      </c>
      <c r="Y359" t="s">
        <v>272</v>
      </c>
      <c r="Z359">
        <v>0.85</v>
      </c>
      <c r="AA359">
        <v>0.85</v>
      </c>
      <c r="AS359">
        <f t="shared" si="205"/>
        <v>10</v>
      </c>
      <c r="AT359" t="s">
        <v>273</v>
      </c>
      <c r="AU359" t="str">
        <f t="shared" si="207"/>
        <v>LSA_VPU_HRY_E_BEGIN_TITO_VPU_NOM_LFM_1900_TILE0_BISR_VBTR_BT5</v>
      </c>
      <c r="AV359" t="str">
        <f>$D362</f>
        <v>SSA_VPU_HRY_E_BEGIN_TITO_VPU_NOM_LFM_1900_TILE1_BHRY_VBTR_BT6</v>
      </c>
      <c r="AW359" t="str">
        <f t="shared" ref="AW359:BB359" si="217">$D360</f>
        <v>LSA_VPU_HRY_E_BEGIN_TITO_VPU_NOM_LFM_1900_TILE0_BISR_VBTR_BT5</v>
      </c>
      <c r="AX359" t="str">
        <f t="shared" si="217"/>
        <v>LSA_VPU_HRY_E_BEGIN_TITO_VPU_NOM_LFM_1900_TILE0_BISR_VBTR_BT5</v>
      </c>
      <c r="AY359" t="str">
        <f t="shared" si="217"/>
        <v>LSA_VPU_HRY_E_BEGIN_TITO_VPU_NOM_LFM_1900_TILE0_BISR_VBTR_BT5</v>
      </c>
      <c r="AZ359" t="str">
        <f t="shared" si="217"/>
        <v>LSA_VPU_HRY_E_BEGIN_TITO_VPU_NOM_LFM_1900_TILE0_BISR_VBTR_BT5</v>
      </c>
      <c r="BA359" t="str">
        <f t="shared" si="217"/>
        <v>LSA_VPU_HRY_E_BEGIN_TITO_VPU_NOM_LFM_1900_TILE0_BISR_VBTR_BT5</v>
      </c>
      <c r="BB359" t="str">
        <f t="shared" si="217"/>
        <v>LSA_VPU_HRY_E_BEGIN_TITO_VPU_NOM_LFM_1900_TILE0_BISR_VBTR_BT5</v>
      </c>
      <c r="BC359" t="str">
        <f>$D362</f>
        <v>SSA_VPU_HRY_E_BEGIN_TITO_VPU_NOM_LFM_1900_TILE1_BHRY_VBTR_BT6</v>
      </c>
      <c r="BD359" t="str">
        <f>$D360</f>
        <v>LSA_VPU_HRY_E_BEGIN_TITO_VPU_NOM_LFM_1900_TILE0_BISR_VBTR_BT5</v>
      </c>
    </row>
    <row r="360" spans="1:56" x14ac:dyDescent="0.35">
      <c r="A360" s="12" t="s">
        <v>12</v>
      </c>
      <c r="B360" s="12" t="s">
        <v>54</v>
      </c>
      <c r="C360" s="12" t="str">
        <f>VLOOKUP(B360,templateLookup!A:B,2,0)</f>
        <v>PrimeMbistVminSearchTestMethod</v>
      </c>
      <c r="D360" t="str">
        <f t="shared" si="206"/>
        <v>LSA_VPU_HRY_E_BEGIN_TITO_VPU_NOM_LFM_1900_TILE0_BISR_VBTR_BT5</v>
      </c>
      <c r="E360" t="s">
        <v>5</v>
      </c>
      <c r="F360" t="s">
        <v>25</v>
      </c>
      <c r="G360" t="s">
        <v>271</v>
      </c>
      <c r="H360" t="s">
        <v>207</v>
      </c>
      <c r="I360" t="s">
        <v>260</v>
      </c>
      <c r="J360" t="s">
        <v>25</v>
      </c>
      <c r="K360" t="s">
        <v>284</v>
      </c>
      <c r="L360" t="s">
        <v>285</v>
      </c>
      <c r="M360">
        <v>1900</v>
      </c>
      <c r="N360" t="s">
        <v>713</v>
      </c>
      <c r="O360" t="s">
        <v>267</v>
      </c>
      <c r="P360" t="s">
        <v>268</v>
      </c>
      <c r="Q360" t="s">
        <v>717</v>
      </c>
      <c r="R360">
        <v>21</v>
      </c>
      <c r="S360">
        <v>30</v>
      </c>
      <c r="T360">
        <v>13</v>
      </c>
      <c r="U360">
        <v>-1</v>
      </c>
      <c r="V360" t="b">
        <v>0</v>
      </c>
      <c r="W360" t="s">
        <v>298</v>
      </c>
      <c r="X360" t="s">
        <v>401</v>
      </c>
      <c r="Y360" t="s">
        <v>272</v>
      </c>
      <c r="Z360">
        <v>0.85</v>
      </c>
      <c r="AA360">
        <v>0.85</v>
      </c>
      <c r="AS360">
        <f t="shared" si="205"/>
        <v>10</v>
      </c>
      <c r="AT360" t="s">
        <v>273</v>
      </c>
      <c r="AU360" t="str">
        <f t="shared" si="207"/>
        <v>LSA_VPU_RASTER_E_BEGIN_TITO_VPU_NOM_LFM_1900_TILE0_RASTER_VBTR_BT5</v>
      </c>
      <c r="AV360" t="str">
        <f t="shared" ref="AV360:BD360" si="218">$D362</f>
        <v>SSA_VPU_HRY_E_BEGIN_TITO_VPU_NOM_LFM_1900_TILE1_BHRY_VBTR_BT6</v>
      </c>
      <c r="AW360" t="str">
        <f t="shared" si="218"/>
        <v>SSA_VPU_HRY_E_BEGIN_TITO_VPU_NOM_LFM_1900_TILE1_BHRY_VBTR_BT6</v>
      </c>
      <c r="AX360" t="str">
        <f t="shared" si="218"/>
        <v>SSA_VPU_HRY_E_BEGIN_TITO_VPU_NOM_LFM_1900_TILE1_BHRY_VBTR_BT6</v>
      </c>
      <c r="AY360" t="str">
        <f t="shared" si="218"/>
        <v>SSA_VPU_HRY_E_BEGIN_TITO_VPU_NOM_LFM_1900_TILE1_BHRY_VBTR_BT6</v>
      </c>
      <c r="AZ360" t="str">
        <f t="shared" si="218"/>
        <v>SSA_VPU_HRY_E_BEGIN_TITO_VPU_NOM_LFM_1900_TILE1_BHRY_VBTR_BT6</v>
      </c>
      <c r="BA360" t="str">
        <f t="shared" si="218"/>
        <v>SSA_VPU_HRY_E_BEGIN_TITO_VPU_NOM_LFM_1900_TILE1_BHRY_VBTR_BT6</v>
      </c>
      <c r="BB360" t="str">
        <f t="shared" si="218"/>
        <v>SSA_VPU_HRY_E_BEGIN_TITO_VPU_NOM_LFM_1900_TILE1_BHRY_VBTR_BT6</v>
      </c>
      <c r="BC360" t="str">
        <f t="shared" si="218"/>
        <v>SSA_VPU_HRY_E_BEGIN_TITO_VPU_NOM_LFM_1900_TILE1_BHRY_VBTR_BT6</v>
      </c>
      <c r="BD360" t="str">
        <f t="shared" si="218"/>
        <v>SSA_VPU_HRY_E_BEGIN_TITO_VPU_NOM_LFM_1900_TILE1_BHRY_VBTR_BT6</v>
      </c>
    </row>
    <row r="361" spans="1:56" x14ac:dyDescent="0.35">
      <c r="A361" s="12" t="s">
        <v>12</v>
      </c>
      <c r="B361" s="12" t="s">
        <v>56</v>
      </c>
      <c r="C361" s="12" t="str">
        <f>VLOOKUP(B361,templateLookup!A:B,2,0)</f>
        <v>MbistRasterTC</v>
      </c>
      <c r="D361" t="str">
        <f t="shared" si="206"/>
        <v>LSA_VPU_RASTER_E_BEGIN_TITO_VPU_NOM_LFM_1900_TILE0_RASTER_VBTR_BT5</v>
      </c>
      <c r="E361" t="s">
        <v>5</v>
      </c>
      <c r="F361" t="s">
        <v>25</v>
      </c>
      <c r="G361" t="s">
        <v>289</v>
      </c>
      <c r="H361" t="s">
        <v>207</v>
      </c>
      <c r="I361" t="s">
        <v>260</v>
      </c>
      <c r="J361" t="s">
        <v>25</v>
      </c>
      <c r="K361" t="s">
        <v>284</v>
      </c>
      <c r="L361" t="s">
        <v>285</v>
      </c>
      <c r="M361">
        <v>1900</v>
      </c>
      <c r="N361" t="s">
        <v>715</v>
      </c>
      <c r="O361" t="s">
        <v>267</v>
      </c>
      <c r="P361" t="s">
        <v>268</v>
      </c>
      <c r="Q361" t="s">
        <v>291</v>
      </c>
      <c r="R361">
        <v>21</v>
      </c>
      <c r="S361">
        <v>30</v>
      </c>
      <c r="T361">
        <v>14</v>
      </c>
      <c r="U361">
        <v>1</v>
      </c>
      <c r="V361" s="12" t="b">
        <v>0</v>
      </c>
      <c r="W361" t="s">
        <v>298</v>
      </c>
      <c r="AS361">
        <f t="shared" si="205"/>
        <v>5</v>
      </c>
      <c r="AT361">
        <v>1</v>
      </c>
      <c r="AU361" t="str">
        <f t="shared" si="207"/>
        <v>SSA_VPU_HRY_E_BEGIN_TITO_VPU_NOM_LFM_1900_TILE1_BHRY_VBTR_BT6</v>
      </c>
      <c r="AV361" t="str">
        <f>$D362</f>
        <v>SSA_VPU_HRY_E_BEGIN_TITO_VPU_NOM_LFM_1900_TILE1_BHRY_VBTR_BT6</v>
      </c>
      <c r="AW361" t="str">
        <f>$D362</f>
        <v>SSA_VPU_HRY_E_BEGIN_TITO_VPU_NOM_LFM_1900_TILE1_BHRY_VBTR_BT6</v>
      </c>
      <c r="AX361" t="str">
        <f>$D362</f>
        <v>SSA_VPU_HRY_E_BEGIN_TITO_VPU_NOM_LFM_1900_TILE1_BHRY_VBTR_BT6</v>
      </c>
      <c r="AY361" t="str">
        <f>$D362</f>
        <v>SSA_VPU_HRY_E_BEGIN_TITO_VPU_NOM_LFM_1900_TILE1_BHRY_VBTR_BT6</v>
      </c>
    </row>
    <row r="362" spans="1:56" x14ac:dyDescent="0.35">
      <c r="A362" s="12" t="s">
        <v>12</v>
      </c>
      <c r="B362" s="12" t="s">
        <v>54</v>
      </c>
      <c r="C362" s="12" t="str">
        <f>VLOOKUP(B362,templateLookup!A:B,2,0)</f>
        <v>PrimeMbistVminSearchTestMethod</v>
      </c>
      <c r="D362" t="str">
        <f t="shared" si="206"/>
        <v>SSA_VPU_HRY_E_BEGIN_TITO_VPU_NOM_LFM_1900_TILE1_BHRY_VBTR_BT6</v>
      </c>
      <c r="E362" t="s">
        <v>4</v>
      </c>
      <c r="F362" t="s">
        <v>25</v>
      </c>
      <c r="G362" t="s">
        <v>271</v>
      </c>
      <c r="H362" t="s">
        <v>207</v>
      </c>
      <c r="I362" t="s">
        <v>260</v>
      </c>
      <c r="J362" t="s">
        <v>25</v>
      </c>
      <c r="K362" t="s">
        <v>284</v>
      </c>
      <c r="L362" t="s">
        <v>285</v>
      </c>
      <c r="M362">
        <v>1900</v>
      </c>
      <c r="N362" t="s">
        <v>718</v>
      </c>
      <c r="O362" t="s">
        <v>267</v>
      </c>
      <c r="P362" t="s">
        <v>268</v>
      </c>
      <c r="Q362" t="s">
        <v>719</v>
      </c>
      <c r="R362">
        <v>61</v>
      </c>
      <c r="S362">
        <v>30</v>
      </c>
      <c r="T362">
        <v>15</v>
      </c>
      <c r="U362">
        <v>-1</v>
      </c>
      <c r="V362" t="b">
        <v>0</v>
      </c>
      <c r="W362" t="s">
        <v>298</v>
      </c>
      <c r="X362" t="s">
        <v>271</v>
      </c>
      <c r="Y362" t="s">
        <v>272</v>
      </c>
      <c r="Z362">
        <v>0.85</v>
      </c>
      <c r="AA362">
        <v>0.85</v>
      </c>
      <c r="AS362">
        <f t="shared" si="205"/>
        <v>10</v>
      </c>
      <c r="AT362" t="s">
        <v>273</v>
      </c>
      <c r="AU362" t="str">
        <f t="shared" si="207"/>
        <v>SSA_VPU_HRY_E_BEGIN_TITO_VPU_NOM_LFM_1900_TILE1_BISR_VBTR_BT6</v>
      </c>
      <c r="AV362" t="str">
        <f>$D365</f>
        <v>LSA_VPU_HRY_E_BEGIN_TITO_VPU_NOM_LFM_1900_TILE1_BHRY_VBTR_BT6</v>
      </c>
      <c r="AW362" t="str">
        <f t="shared" ref="AW362:BB362" si="219">$D363</f>
        <v>SSA_VPU_HRY_E_BEGIN_TITO_VPU_NOM_LFM_1900_TILE1_BISR_VBTR_BT6</v>
      </c>
      <c r="AX362" t="str">
        <f t="shared" si="219"/>
        <v>SSA_VPU_HRY_E_BEGIN_TITO_VPU_NOM_LFM_1900_TILE1_BISR_VBTR_BT6</v>
      </c>
      <c r="AY362" t="str">
        <f t="shared" si="219"/>
        <v>SSA_VPU_HRY_E_BEGIN_TITO_VPU_NOM_LFM_1900_TILE1_BISR_VBTR_BT6</v>
      </c>
      <c r="AZ362" t="str">
        <f t="shared" si="219"/>
        <v>SSA_VPU_HRY_E_BEGIN_TITO_VPU_NOM_LFM_1900_TILE1_BISR_VBTR_BT6</v>
      </c>
      <c r="BA362" t="str">
        <f t="shared" si="219"/>
        <v>SSA_VPU_HRY_E_BEGIN_TITO_VPU_NOM_LFM_1900_TILE1_BISR_VBTR_BT6</v>
      </c>
      <c r="BB362" t="str">
        <f t="shared" si="219"/>
        <v>SSA_VPU_HRY_E_BEGIN_TITO_VPU_NOM_LFM_1900_TILE1_BISR_VBTR_BT6</v>
      </c>
      <c r="BC362" t="str">
        <f>$D365</f>
        <v>LSA_VPU_HRY_E_BEGIN_TITO_VPU_NOM_LFM_1900_TILE1_BHRY_VBTR_BT6</v>
      </c>
      <c r="BD362" t="str">
        <f>$D363</f>
        <v>SSA_VPU_HRY_E_BEGIN_TITO_VPU_NOM_LFM_1900_TILE1_BISR_VBTR_BT6</v>
      </c>
    </row>
    <row r="363" spans="1:56" x14ac:dyDescent="0.35">
      <c r="A363" s="12" t="s">
        <v>12</v>
      </c>
      <c r="B363" s="12" t="s">
        <v>54</v>
      </c>
      <c r="C363" s="12" t="str">
        <f>VLOOKUP(B363,templateLookup!A:B,2,0)</f>
        <v>PrimeMbistVminSearchTestMethod</v>
      </c>
      <c r="D363" t="str">
        <f t="shared" si="206"/>
        <v>SSA_VPU_HRY_E_BEGIN_TITO_VPU_NOM_LFM_1900_TILE1_BISR_VBTR_BT6</v>
      </c>
      <c r="E363" t="s">
        <v>4</v>
      </c>
      <c r="F363" t="s">
        <v>25</v>
      </c>
      <c r="G363" t="s">
        <v>271</v>
      </c>
      <c r="H363" t="s">
        <v>207</v>
      </c>
      <c r="I363" t="s">
        <v>260</v>
      </c>
      <c r="J363" t="s">
        <v>25</v>
      </c>
      <c r="K363" t="s">
        <v>284</v>
      </c>
      <c r="L363" t="s">
        <v>285</v>
      </c>
      <c r="M363">
        <v>1900</v>
      </c>
      <c r="N363" t="s">
        <v>720</v>
      </c>
      <c r="O363" t="s">
        <v>267</v>
      </c>
      <c r="P363" t="s">
        <v>268</v>
      </c>
      <c r="Q363" t="s">
        <v>721</v>
      </c>
      <c r="R363">
        <v>61</v>
      </c>
      <c r="S363">
        <v>30</v>
      </c>
      <c r="T363">
        <v>16</v>
      </c>
      <c r="U363">
        <v>-1</v>
      </c>
      <c r="V363" t="b">
        <v>0</v>
      </c>
      <c r="W363" t="s">
        <v>298</v>
      </c>
      <c r="X363" t="s">
        <v>401</v>
      </c>
      <c r="Y363" t="s">
        <v>272</v>
      </c>
      <c r="Z363">
        <v>0.85</v>
      </c>
      <c r="AA363">
        <v>0.85</v>
      </c>
      <c r="AS363">
        <f t="shared" si="205"/>
        <v>10</v>
      </c>
      <c r="AT363" t="s">
        <v>273</v>
      </c>
      <c r="AU363" t="str">
        <f t="shared" si="207"/>
        <v>SSA_VPU_RASTER_E_BEGIN_TITO_VPU_NOM_LFM_1900_TILE1_RASTER_VBTR_BT6</v>
      </c>
      <c r="AV363" t="str">
        <f t="shared" ref="AV363:BD363" si="220">$D365</f>
        <v>LSA_VPU_HRY_E_BEGIN_TITO_VPU_NOM_LFM_1900_TILE1_BHRY_VBTR_BT6</v>
      </c>
      <c r="AW363" t="str">
        <f t="shared" si="220"/>
        <v>LSA_VPU_HRY_E_BEGIN_TITO_VPU_NOM_LFM_1900_TILE1_BHRY_VBTR_BT6</v>
      </c>
      <c r="AX363" t="str">
        <f t="shared" si="220"/>
        <v>LSA_VPU_HRY_E_BEGIN_TITO_VPU_NOM_LFM_1900_TILE1_BHRY_VBTR_BT6</v>
      </c>
      <c r="AY363" t="str">
        <f t="shared" si="220"/>
        <v>LSA_VPU_HRY_E_BEGIN_TITO_VPU_NOM_LFM_1900_TILE1_BHRY_VBTR_BT6</v>
      </c>
      <c r="AZ363" t="str">
        <f t="shared" si="220"/>
        <v>LSA_VPU_HRY_E_BEGIN_TITO_VPU_NOM_LFM_1900_TILE1_BHRY_VBTR_BT6</v>
      </c>
      <c r="BA363" t="str">
        <f t="shared" si="220"/>
        <v>LSA_VPU_HRY_E_BEGIN_TITO_VPU_NOM_LFM_1900_TILE1_BHRY_VBTR_BT6</v>
      </c>
      <c r="BB363" t="str">
        <f t="shared" si="220"/>
        <v>LSA_VPU_HRY_E_BEGIN_TITO_VPU_NOM_LFM_1900_TILE1_BHRY_VBTR_BT6</v>
      </c>
      <c r="BC363" t="str">
        <f t="shared" si="220"/>
        <v>LSA_VPU_HRY_E_BEGIN_TITO_VPU_NOM_LFM_1900_TILE1_BHRY_VBTR_BT6</v>
      </c>
      <c r="BD363" t="str">
        <f t="shared" si="220"/>
        <v>LSA_VPU_HRY_E_BEGIN_TITO_VPU_NOM_LFM_1900_TILE1_BHRY_VBTR_BT6</v>
      </c>
    </row>
    <row r="364" spans="1:56" x14ac:dyDescent="0.35">
      <c r="A364" s="12" t="s">
        <v>12</v>
      </c>
      <c r="B364" s="12" t="s">
        <v>56</v>
      </c>
      <c r="C364" s="12" t="str">
        <f>VLOOKUP(B364,templateLookup!A:B,2,0)</f>
        <v>MbistRasterTC</v>
      </c>
      <c r="D364" t="str">
        <f t="shared" si="206"/>
        <v>SSA_VPU_RASTER_E_BEGIN_TITO_VPU_NOM_LFM_1900_TILE1_RASTER_VBTR_BT6</v>
      </c>
      <c r="E364" t="s">
        <v>4</v>
      </c>
      <c r="F364" t="s">
        <v>25</v>
      </c>
      <c r="G364" t="s">
        <v>289</v>
      </c>
      <c r="H364" t="s">
        <v>207</v>
      </c>
      <c r="I364" t="s">
        <v>260</v>
      </c>
      <c r="J364" t="s">
        <v>25</v>
      </c>
      <c r="K364" t="s">
        <v>284</v>
      </c>
      <c r="L364" t="s">
        <v>285</v>
      </c>
      <c r="M364">
        <v>1900</v>
      </c>
      <c r="N364" t="s">
        <v>722</v>
      </c>
      <c r="O364" t="s">
        <v>267</v>
      </c>
      <c r="P364" t="s">
        <v>268</v>
      </c>
      <c r="Q364" t="s">
        <v>291</v>
      </c>
      <c r="R364">
        <v>61</v>
      </c>
      <c r="S364">
        <v>30</v>
      </c>
      <c r="T364">
        <v>17</v>
      </c>
      <c r="U364">
        <v>1</v>
      </c>
      <c r="V364" s="12" t="b">
        <v>0</v>
      </c>
      <c r="W364" t="s">
        <v>298</v>
      </c>
      <c r="AS364">
        <f t="shared" si="205"/>
        <v>5</v>
      </c>
      <c r="AT364">
        <v>1</v>
      </c>
      <c r="AU364" t="str">
        <f t="shared" si="207"/>
        <v>LSA_VPU_HRY_E_BEGIN_TITO_VPU_NOM_LFM_1900_TILE1_BHRY_VBTR_BT6</v>
      </c>
      <c r="AV364" t="str">
        <f>$D365</f>
        <v>LSA_VPU_HRY_E_BEGIN_TITO_VPU_NOM_LFM_1900_TILE1_BHRY_VBTR_BT6</v>
      </c>
      <c r="AW364" t="str">
        <f>$D365</f>
        <v>LSA_VPU_HRY_E_BEGIN_TITO_VPU_NOM_LFM_1900_TILE1_BHRY_VBTR_BT6</v>
      </c>
      <c r="AX364" t="str">
        <f>$D365</f>
        <v>LSA_VPU_HRY_E_BEGIN_TITO_VPU_NOM_LFM_1900_TILE1_BHRY_VBTR_BT6</v>
      </c>
      <c r="AY364" t="str">
        <f>$D365</f>
        <v>LSA_VPU_HRY_E_BEGIN_TITO_VPU_NOM_LFM_1900_TILE1_BHRY_VBTR_BT6</v>
      </c>
    </row>
    <row r="365" spans="1:56" x14ac:dyDescent="0.35">
      <c r="A365" s="12" t="s">
        <v>12</v>
      </c>
      <c r="B365" s="12" t="s">
        <v>54</v>
      </c>
      <c r="C365" s="12" t="str">
        <f>VLOOKUP(B365,templateLookup!A:B,2,0)</f>
        <v>PrimeMbistVminSearchTestMethod</v>
      </c>
      <c r="D365" t="str">
        <f t="shared" si="206"/>
        <v>LSA_VPU_HRY_E_BEGIN_TITO_VPU_NOM_LFM_1900_TILE1_BHRY_VBTR_BT6</v>
      </c>
      <c r="E365" t="s">
        <v>5</v>
      </c>
      <c r="F365" t="s">
        <v>25</v>
      </c>
      <c r="G365" t="s">
        <v>271</v>
      </c>
      <c r="H365" t="s">
        <v>207</v>
      </c>
      <c r="I365" t="s">
        <v>260</v>
      </c>
      <c r="J365" t="s">
        <v>25</v>
      </c>
      <c r="K365" t="s">
        <v>284</v>
      </c>
      <c r="L365" t="s">
        <v>285</v>
      </c>
      <c r="M365">
        <v>1900</v>
      </c>
      <c r="N365" t="s">
        <v>718</v>
      </c>
      <c r="O365" t="s">
        <v>267</v>
      </c>
      <c r="P365" t="s">
        <v>268</v>
      </c>
      <c r="Q365" t="s">
        <v>723</v>
      </c>
      <c r="R365">
        <v>21</v>
      </c>
      <c r="S365">
        <v>30</v>
      </c>
      <c r="T365">
        <v>18</v>
      </c>
      <c r="U365">
        <v>-1</v>
      </c>
      <c r="V365" t="b">
        <v>0</v>
      </c>
      <c r="W365" t="s">
        <v>298</v>
      </c>
      <c r="X365" t="s">
        <v>271</v>
      </c>
      <c r="Y365" t="s">
        <v>272</v>
      </c>
      <c r="Z365">
        <v>0.85</v>
      </c>
      <c r="AA365">
        <v>0.85</v>
      </c>
      <c r="AS365">
        <f t="shared" si="205"/>
        <v>10</v>
      </c>
      <c r="AT365" t="s">
        <v>273</v>
      </c>
      <c r="AU365" t="str">
        <f t="shared" si="207"/>
        <v>LSA_VPU_HRY_E_BEGIN_TITO_VPU_NOM_LFM_1900_TILE1_BISR_VBTR_BT6</v>
      </c>
      <c r="AV365" t="str">
        <f>$D368</f>
        <v>SSA_VPU_HRY_E_BEGIN_TITO_VPU_NOM_LFM_1900_TILE2_BHRY_VBTR_BT7</v>
      </c>
      <c r="AW365" t="str">
        <f t="shared" ref="AW365:BB365" si="221">$D366</f>
        <v>LSA_VPU_HRY_E_BEGIN_TITO_VPU_NOM_LFM_1900_TILE1_BISR_VBTR_BT6</v>
      </c>
      <c r="AX365" t="str">
        <f t="shared" si="221"/>
        <v>LSA_VPU_HRY_E_BEGIN_TITO_VPU_NOM_LFM_1900_TILE1_BISR_VBTR_BT6</v>
      </c>
      <c r="AY365" t="str">
        <f t="shared" si="221"/>
        <v>LSA_VPU_HRY_E_BEGIN_TITO_VPU_NOM_LFM_1900_TILE1_BISR_VBTR_BT6</v>
      </c>
      <c r="AZ365" t="str">
        <f t="shared" si="221"/>
        <v>LSA_VPU_HRY_E_BEGIN_TITO_VPU_NOM_LFM_1900_TILE1_BISR_VBTR_BT6</v>
      </c>
      <c r="BA365" t="str">
        <f t="shared" si="221"/>
        <v>LSA_VPU_HRY_E_BEGIN_TITO_VPU_NOM_LFM_1900_TILE1_BISR_VBTR_BT6</v>
      </c>
      <c r="BB365" t="str">
        <f t="shared" si="221"/>
        <v>LSA_VPU_HRY_E_BEGIN_TITO_VPU_NOM_LFM_1900_TILE1_BISR_VBTR_BT6</v>
      </c>
      <c r="BC365" t="str">
        <f>$D368</f>
        <v>SSA_VPU_HRY_E_BEGIN_TITO_VPU_NOM_LFM_1900_TILE2_BHRY_VBTR_BT7</v>
      </c>
      <c r="BD365" t="str">
        <f>$D366</f>
        <v>LSA_VPU_HRY_E_BEGIN_TITO_VPU_NOM_LFM_1900_TILE1_BISR_VBTR_BT6</v>
      </c>
    </row>
    <row r="366" spans="1:56" x14ac:dyDescent="0.35">
      <c r="A366" s="12" t="s">
        <v>12</v>
      </c>
      <c r="B366" s="12" t="s">
        <v>54</v>
      </c>
      <c r="C366" s="12" t="str">
        <f>VLOOKUP(B366,templateLookup!A:B,2,0)</f>
        <v>PrimeMbistVminSearchTestMethod</v>
      </c>
      <c r="D366" t="str">
        <f t="shared" si="206"/>
        <v>LSA_VPU_HRY_E_BEGIN_TITO_VPU_NOM_LFM_1900_TILE1_BISR_VBTR_BT6</v>
      </c>
      <c r="E366" t="s">
        <v>5</v>
      </c>
      <c r="F366" t="s">
        <v>25</v>
      </c>
      <c r="G366" t="s">
        <v>271</v>
      </c>
      <c r="H366" t="s">
        <v>207</v>
      </c>
      <c r="I366" t="s">
        <v>260</v>
      </c>
      <c r="J366" t="s">
        <v>25</v>
      </c>
      <c r="K366" t="s">
        <v>284</v>
      </c>
      <c r="L366" t="s">
        <v>285</v>
      </c>
      <c r="M366">
        <v>1900</v>
      </c>
      <c r="N366" t="s">
        <v>720</v>
      </c>
      <c r="O366" t="s">
        <v>267</v>
      </c>
      <c r="P366" t="s">
        <v>268</v>
      </c>
      <c r="Q366" t="s">
        <v>724</v>
      </c>
      <c r="R366">
        <v>21</v>
      </c>
      <c r="S366">
        <v>30</v>
      </c>
      <c r="T366">
        <v>19</v>
      </c>
      <c r="U366">
        <v>-1</v>
      </c>
      <c r="V366" t="b">
        <v>0</v>
      </c>
      <c r="W366" t="s">
        <v>298</v>
      </c>
      <c r="X366" t="s">
        <v>401</v>
      </c>
      <c r="Y366" t="s">
        <v>272</v>
      </c>
      <c r="Z366">
        <v>0.85</v>
      </c>
      <c r="AA366">
        <v>0.85</v>
      </c>
      <c r="AS366">
        <f t="shared" si="205"/>
        <v>10</v>
      </c>
      <c r="AT366" t="s">
        <v>273</v>
      </c>
      <c r="AU366" t="str">
        <f t="shared" si="207"/>
        <v>LSA_VPU_RASTER_E_BEGIN_TITO_VPU_NOM_LFM_1900_TILE1_RASTER_VBTR_BT6</v>
      </c>
      <c r="AV366" t="str">
        <f t="shared" ref="AV366:BD366" si="222">$D368</f>
        <v>SSA_VPU_HRY_E_BEGIN_TITO_VPU_NOM_LFM_1900_TILE2_BHRY_VBTR_BT7</v>
      </c>
      <c r="AW366" t="str">
        <f t="shared" si="222"/>
        <v>SSA_VPU_HRY_E_BEGIN_TITO_VPU_NOM_LFM_1900_TILE2_BHRY_VBTR_BT7</v>
      </c>
      <c r="AX366" t="str">
        <f t="shared" si="222"/>
        <v>SSA_VPU_HRY_E_BEGIN_TITO_VPU_NOM_LFM_1900_TILE2_BHRY_VBTR_BT7</v>
      </c>
      <c r="AY366" t="str">
        <f t="shared" si="222"/>
        <v>SSA_VPU_HRY_E_BEGIN_TITO_VPU_NOM_LFM_1900_TILE2_BHRY_VBTR_BT7</v>
      </c>
      <c r="AZ366" t="str">
        <f t="shared" si="222"/>
        <v>SSA_VPU_HRY_E_BEGIN_TITO_VPU_NOM_LFM_1900_TILE2_BHRY_VBTR_BT7</v>
      </c>
      <c r="BA366" t="str">
        <f t="shared" si="222"/>
        <v>SSA_VPU_HRY_E_BEGIN_TITO_VPU_NOM_LFM_1900_TILE2_BHRY_VBTR_BT7</v>
      </c>
      <c r="BB366" t="str">
        <f t="shared" si="222"/>
        <v>SSA_VPU_HRY_E_BEGIN_TITO_VPU_NOM_LFM_1900_TILE2_BHRY_VBTR_BT7</v>
      </c>
      <c r="BC366" t="str">
        <f t="shared" si="222"/>
        <v>SSA_VPU_HRY_E_BEGIN_TITO_VPU_NOM_LFM_1900_TILE2_BHRY_VBTR_BT7</v>
      </c>
      <c r="BD366" t="str">
        <f t="shared" si="222"/>
        <v>SSA_VPU_HRY_E_BEGIN_TITO_VPU_NOM_LFM_1900_TILE2_BHRY_VBTR_BT7</v>
      </c>
    </row>
    <row r="367" spans="1:56" x14ac:dyDescent="0.35">
      <c r="A367" s="12" t="s">
        <v>12</v>
      </c>
      <c r="B367" s="12" t="s">
        <v>56</v>
      </c>
      <c r="C367" s="12" t="str">
        <f>VLOOKUP(B367,templateLookup!A:B,2,0)</f>
        <v>MbistRasterTC</v>
      </c>
      <c r="D367" t="str">
        <f t="shared" si="206"/>
        <v>LSA_VPU_RASTER_E_BEGIN_TITO_VPU_NOM_LFM_1900_TILE1_RASTER_VBTR_BT6</v>
      </c>
      <c r="E367" t="s">
        <v>5</v>
      </c>
      <c r="F367" t="s">
        <v>25</v>
      </c>
      <c r="G367" t="s">
        <v>289</v>
      </c>
      <c r="H367" t="s">
        <v>207</v>
      </c>
      <c r="I367" t="s">
        <v>260</v>
      </c>
      <c r="J367" t="s">
        <v>25</v>
      </c>
      <c r="K367" t="s">
        <v>284</v>
      </c>
      <c r="L367" t="s">
        <v>285</v>
      </c>
      <c r="M367">
        <v>1900</v>
      </c>
      <c r="N367" t="s">
        <v>722</v>
      </c>
      <c r="O367" t="s">
        <v>267</v>
      </c>
      <c r="P367" t="s">
        <v>268</v>
      </c>
      <c r="Q367" t="s">
        <v>291</v>
      </c>
      <c r="R367">
        <v>21</v>
      </c>
      <c r="S367">
        <v>30</v>
      </c>
      <c r="T367">
        <v>20</v>
      </c>
      <c r="U367">
        <v>1</v>
      </c>
      <c r="V367" t="b">
        <v>0</v>
      </c>
      <c r="W367" t="s">
        <v>298</v>
      </c>
      <c r="AS367">
        <f t="shared" si="205"/>
        <v>5</v>
      </c>
      <c r="AT367">
        <v>1</v>
      </c>
      <c r="AU367" t="str">
        <f t="shared" si="207"/>
        <v>SSA_VPU_HRY_E_BEGIN_TITO_VPU_NOM_LFM_1900_TILE2_BHRY_VBTR_BT7</v>
      </c>
      <c r="AV367" t="str">
        <f>$D368</f>
        <v>SSA_VPU_HRY_E_BEGIN_TITO_VPU_NOM_LFM_1900_TILE2_BHRY_VBTR_BT7</v>
      </c>
      <c r="AW367" t="str">
        <f>$D368</f>
        <v>SSA_VPU_HRY_E_BEGIN_TITO_VPU_NOM_LFM_1900_TILE2_BHRY_VBTR_BT7</v>
      </c>
      <c r="AX367" t="str">
        <f>$D368</f>
        <v>SSA_VPU_HRY_E_BEGIN_TITO_VPU_NOM_LFM_1900_TILE2_BHRY_VBTR_BT7</v>
      </c>
      <c r="AY367" t="str">
        <f>$D368</f>
        <v>SSA_VPU_HRY_E_BEGIN_TITO_VPU_NOM_LFM_1900_TILE2_BHRY_VBTR_BT7</v>
      </c>
    </row>
    <row r="368" spans="1:56" x14ac:dyDescent="0.35">
      <c r="A368" s="12" t="s">
        <v>12</v>
      </c>
      <c r="B368" s="12" t="s">
        <v>54</v>
      </c>
      <c r="C368" s="12" t="str">
        <f>VLOOKUP(B368,templateLookup!A:B,2,0)</f>
        <v>PrimeMbistVminSearchTestMethod</v>
      </c>
      <c r="D368" t="str">
        <f t="shared" si="206"/>
        <v>SSA_VPU_HRY_E_BEGIN_TITO_VPU_NOM_LFM_1900_TILE2_BHRY_VBTR_BT7</v>
      </c>
      <c r="E368" t="s">
        <v>4</v>
      </c>
      <c r="F368" t="s">
        <v>25</v>
      </c>
      <c r="G368" t="s">
        <v>271</v>
      </c>
      <c r="H368" t="s">
        <v>207</v>
      </c>
      <c r="I368" t="s">
        <v>260</v>
      </c>
      <c r="J368" t="s">
        <v>25</v>
      </c>
      <c r="K368" t="s">
        <v>284</v>
      </c>
      <c r="L368" t="s">
        <v>285</v>
      </c>
      <c r="M368">
        <v>1900</v>
      </c>
      <c r="N368" t="s">
        <v>725</v>
      </c>
      <c r="O368" t="s">
        <v>267</v>
      </c>
      <c r="P368" t="s">
        <v>268</v>
      </c>
      <c r="Q368" t="s">
        <v>726</v>
      </c>
      <c r="R368">
        <v>61</v>
      </c>
      <c r="S368">
        <v>30</v>
      </c>
      <c r="T368">
        <v>21</v>
      </c>
      <c r="U368">
        <v>-1</v>
      </c>
      <c r="V368" s="16" t="b">
        <v>0</v>
      </c>
      <c r="W368" t="s">
        <v>298</v>
      </c>
      <c r="X368" t="s">
        <v>271</v>
      </c>
      <c r="Y368" t="s">
        <v>272</v>
      </c>
      <c r="Z368">
        <v>0.85</v>
      </c>
      <c r="AA368">
        <v>0.85</v>
      </c>
      <c r="AS368">
        <f t="shared" si="205"/>
        <v>10</v>
      </c>
      <c r="AT368" t="s">
        <v>273</v>
      </c>
      <c r="AU368" t="str">
        <f t="shared" si="207"/>
        <v>SSA_VPU_HRY_E_BEGIN_TITO_VPU_NOM_LFM_1900_TILE2_BISR_VBTR_BT7</v>
      </c>
      <c r="AV368" t="str">
        <f>$D371</f>
        <v>LSA_VPU_HRY_E_BEGIN_TITO_VPU_NOM_LFM_1900_TILE2_BHRY_VBTR_BT7</v>
      </c>
      <c r="AW368" t="str">
        <f t="shared" ref="AW368:BB368" si="223">$D369</f>
        <v>SSA_VPU_HRY_E_BEGIN_TITO_VPU_NOM_LFM_1900_TILE2_BISR_VBTR_BT7</v>
      </c>
      <c r="AX368" t="str">
        <f t="shared" si="223"/>
        <v>SSA_VPU_HRY_E_BEGIN_TITO_VPU_NOM_LFM_1900_TILE2_BISR_VBTR_BT7</v>
      </c>
      <c r="AY368" t="str">
        <f t="shared" si="223"/>
        <v>SSA_VPU_HRY_E_BEGIN_TITO_VPU_NOM_LFM_1900_TILE2_BISR_VBTR_BT7</v>
      </c>
      <c r="AZ368" t="str">
        <f t="shared" si="223"/>
        <v>SSA_VPU_HRY_E_BEGIN_TITO_VPU_NOM_LFM_1900_TILE2_BISR_VBTR_BT7</v>
      </c>
      <c r="BA368" t="str">
        <f t="shared" si="223"/>
        <v>SSA_VPU_HRY_E_BEGIN_TITO_VPU_NOM_LFM_1900_TILE2_BISR_VBTR_BT7</v>
      </c>
      <c r="BB368" t="str">
        <f t="shared" si="223"/>
        <v>SSA_VPU_HRY_E_BEGIN_TITO_VPU_NOM_LFM_1900_TILE2_BISR_VBTR_BT7</v>
      </c>
      <c r="BC368" t="str">
        <f>$D371</f>
        <v>LSA_VPU_HRY_E_BEGIN_TITO_VPU_NOM_LFM_1900_TILE2_BHRY_VBTR_BT7</v>
      </c>
      <c r="BD368" t="str">
        <f>$D369</f>
        <v>SSA_VPU_HRY_E_BEGIN_TITO_VPU_NOM_LFM_1900_TILE2_BISR_VBTR_BT7</v>
      </c>
    </row>
    <row r="369" spans="1:56" x14ac:dyDescent="0.35">
      <c r="A369" s="12" t="s">
        <v>12</v>
      </c>
      <c r="B369" s="12" t="s">
        <v>54</v>
      </c>
      <c r="C369" s="12" t="str">
        <f>VLOOKUP(B369,templateLookup!A:B,2,0)</f>
        <v>PrimeMbistVminSearchTestMethod</v>
      </c>
      <c r="D369" t="str">
        <f t="shared" si="206"/>
        <v>SSA_VPU_HRY_E_BEGIN_TITO_VPU_NOM_LFM_1900_TILE2_BISR_VBTR_BT7</v>
      </c>
      <c r="E369" t="s">
        <v>4</v>
      </c>
      <c r="F369" t="s">
        <v>25</v>
      </c>
      <c r="G369" t="s">
        <v>271</v>
      </c>
      <c r="H369" t="s">
        <v>207</v>
      </c>
      <c r="I369" t="s">
        <v>260</v>
      </c>
      <c r="J369" t="s">
        <v>25</v>
      </c>
      <c r="K369" t="s">
        <v>284</v>
      </c>
      <c r="L369" t="s">
        <v>285</v>
      </c>
      <c r="M369">
        <v>1900</v>
      </c>
      <c r="N369" t="s">
        <v>727</v>
      </c>
      <c r="O369" t="s">
        <v>267</v>
      </c>
      <c r="P369" t="s">
        <v>268</v>
      </c>
      <c r="Q369" t="s">
        <v>728</v>
      </c>
      <c r="R369">
        <v>61</v>
      </c>
      <c r="S369">
        <v>30</v>
      </c>
      <c r="T369">
        <v>22</v>
      </c>
      <c r="U369">
        <v>-1</v>
      </c>
      <c r="V369" t="b">
        <v>0</v>
      </c>
      <c r="W369" t="s">
        <v>298</v>
      </c>
      <c r="X369" t="s">
        <v>401</v>
      </c>
      <c r="Y369" t="s">
        <v>272</v>
      </c>
      <c r="Z369">
        <v>0.85</v>
      </c>
      <c r="AA369">
        <v>0.85</v>
      </c>
      <c r="AS369">
        <f t="shared" si="205"/>
        <v>10</v>
      </c>
      <c r="AT369" t="s">
        <v>273</v>
      </c>
      <c r="AU369" t="str">
        <f t="shared" si="207"/>
        <v>SSA_VPU_RASTER_E_BEGIN_TITO_VPU_NOM_LFM_1900_TILE2_RASTER_VBTR_BT7</v>
      </c>
      <c r="AV369" t="str">
        <f t="shared" ref="AV369:BD369" si="224">$D371</f>
        <v>LSA_VPU_HRY_E_BEGIN_TITO_VPU_NOM_LFM_1900_TILE2_BHRY_VBTR_BT7</v>
      </c>
      <c r="AW369" t="str">
        <f t="shared" si="224"/>
        <v>LSA_VPU_HRY_E_BEGIN_TITO_VPU_NOM_LFM_1900_TILE2_BHRY_VBTR_BT7</v>
      </c>
      <c r="AX369" t="str">
        <f t="shared" si="224"/>
        <v>LSA_VPU_HRY_E_BEGIN_TITO_VPU_NOM_LFM_1900_TILE2_BHRY_VBTR_BT7</v>
      </c>
      <c r="AY369" t="str">
        <f t="shared" si="224"/>
        <v>LSA_VPU_HRY_E_BEGIN_TITO_VPU_NOM_LFM_1900_TILE2_BHRY_VBTR_BT7</v>
      </c>
      <c r="AZ369" t="str">
        <f t="shared" si="224"/>
        <v>LSA_VPU_HRY_E_BEGIN_TITO_VPU_NOM_LFM_1900_TILE2_BHRY_VBTR_BT7</v>
      </c>
      <c r="BA369" t="str">
        <f t="shared" si="224"/>
        <v>LSA_VPU_HRY_E_BEGIN_TITO_VPU_NOM_LFM_1900_TILE2_BHRY_VBTR_BT7</v>
      </c>
      <c r="BB369" t="str">
        <f t="shared" si="224"/>
        <v>LSA_VPU_HRY_E_BEGIN_TITO_VPU_NOM_LFM_1900_TILE2_BHRY_VBTR_BT7</v>
      </c>
      <c r="BC369" t="str">
        <f t="shared" si="224"/>
        <v>LSA_VPU_HRY_E_BEGIN_TITO_VPU_NOM_LFM_1900_TILE2_BHRY_VBTR_BT7</v>
      </c>
      <c r="BD369" t="str">
        <f t="shared" si="224"/>
        <v>LSA_VPU_HRY_E_BEGIN_TITO_VPU_NOM_LFM_1900_TILE2_BHRY_VBTR_BT7</v>
      </c>
    </row>
    <row r="370" spans="1:56" x14ac:dyDescent="0.35">
      <c r="A370" s="12" t="s">
        <v>12</v>
      </c>
      <c r="B370" s="12" t="s">
        <v>56</v>
      </c>
      <c r="C370" s="12" t="str">
        <f>VLOOKUP(B370,templateLookup!A:B,2,0)</f>
        <v>MbistRasterTC</v>
      </c>
      <c r="D370" t="str">
        <f t="shared" si="206"/>
        <v>SSA_VPU_RASTER_E_BEGIN_TITO_VPU_NOM_LFM_1900_TILE2_RASTER_VBTR_BT7</v>
      </c>
      <c r="E370" t="s">
        <v>4</v>
      </c>
      <c r="F370" t="s">
        <v>25</v>
      </c>
      <c r="G370" t="s">
        <v>289</v>
      </c>
      <c r="H370" t="s">
        <v>207</v>
      </c>
      <c r="I370" t="s">
        <v>260</v>
      </c>
      <c r="J370" t="s">
        <v>25</v>
      </c>
      <c r="K370" t="s">
        <v>284</v>
      </c>
      <c r="L370" t="s">
        <v>285</v>
      </c>
      <c r="M370">
        <v>1900</v>
      </c>
      <c r="N370" t="s">
        <v>729</v>
      </c>
      <c r="O370" t="s">
        <v>267</v>
      </c>
      <c r="P370" t="s">
        <v>268</v>
      </c>
      <c r="Q370" t="s">
        <v>291</v>
      </c>
      <c r="R370">
        <v>61</v>
      </c>
      <c r="S370">
        <v>30</v>
      </c>
      <c r="T370">
        <v>23</v>
      </c>
      <c r="U370">
        <v>1</v>
      </c>
      <c r="V370" t="b">
        <v>0</v>
      </c>
      <c r="W370" t="s">
        <v>298</v>
      </c>
      <c r="AS370">
        <f t="shared" si="205"/>
        <v>5</v>
      </c>
      <c r="AT370">
        <v>1</v>
      </c>
      <c r="AU370" t="str">
        <f t="shared" si="207"/>
        <v>LSA_VPU_HRY_E_BEGIN_TITO_VPU_NOM_LFM_1900_TILE2_BHRY_VBTR_BT7</v>
      </c>
      <c r="AV370" t="str">
        <f>$D371</f>
        <v>LSA_VPU_HRY_E_BEGIN_TITO_VPU_NOM_LFM_1900_TILE2_BHRY_VBTR_BT7</v>
      </c>
      <c r="AW370" t="str">
        <f>$D371</f>
        <v>LSA_VPU_HRY_E_BEGIN_TITO_VPU_NOM_LFM_1900_TILE2_BHRY_VBTR_BT7</v>
      </c>
      <c r="AX370" t="str">
        <f>$D371</f>
        <v>LSA_VPU_HRY_E_BEGIN_TITO_VPU_NOM_LFM_1900_TILE2_BHRY_VBTR_BT7</v>
      </c>
      <c r="AY370" t="str">
        <f>$D371</f>
        <v>LSA_VPU_HRY_E_BEGIN_TITO_VPU_NOM_LFM_1900_TILE2_BHRY_VBTR_BT7</v>
      </c>
    </row>
    <row r="371" spans="1:56" x14ac:dyDescent="0.35">
      <c r="A371" s="12" t="s">
        <v>12</v>
      </c>
      <c r="B371" s="12" t="s">
        <v>54</v>
      </c>
      <c r="C371" s="12" t="str">
        <f>VLOOKUP(B371,templateLookup!A:B,2,0)</f>
        <v>PrimeMbistVminSearchTestMethod</v>
      </c>
      <c r="D371" t="str">
        <f t="shared" si="206"/>
        <v>LSA_VPU_HRY_E_BEGIN_TITO_VPU_NOM_LFM_1900_TILE2_BHRY_VBTR_BT7</v>
      </c>
      <c r="E371" t="s">
        <v>5</v>
      </c>
      <c r="F371" t="s">
        <v>25</v>
      </c>
      <c r="G371" t="s">
        <v>271</v>
      </c>
      <c r="H371" t="s">
        <v>207</v>
      </c>
      <c r="I371" t="s">
        <v>260</v>
      </c>
      <c r="J371" t="s">
        <v>25</v>
      </c>
      <c r="K371" t="s">
        <v>284</v>
      </c>
      <c r="L371" t="s">
        <v>285</v>
      </c>
      <c r="M371">
        <v>1900</v>
      </c>
      <c r="N371" t="s">
        <v>725</v>
      </c>
      <c r="O371" t="s">
        <v>267</v>
      </c>
      <c r="P371" t="s">
        <v>268</v>
      </c>
      <c r="Q371" t="s">
        <v>730</v>
      </c>
      <c r="R371">
        <v>21</v>
      </c>
      <c r="S371">
        <v>30</v>
      </c>
      <c r="T371">
        <v>24</v>
      </c>
      <c r="U371">
        <v>-1</v>
      </c>
      <c r="V371" t="b">
        <v>0</v>
      </c>
      <c r="W371" t="s">
        <v>298</v>
      </c>
      <c r="X371" t="s">
        <v>271</v>
      </c>
      <c r="Y371" t="s">
        <v>272</v>
      </c>
      <c r="Z371">
        <v>0.85</v>
      </c>
      <c r="AA371">
        <v>0.85</v>
      </c>
      <c r="AS371">
        <f t="shared" si="205"/>
        <v>10</v>
      </c>
      <c r="AT371" t="s">
        <v>273</v>
      </c>
      <c r="AU371" t="str">
        <f t="shared" si="207"/>
        <v>LSA_VPU_HRY_E_BEGIN_TITO_VPU_NOM_LFM_1900_TILE2_BISR_VBTR_BT7</v>
      </c>
      <c r="AV371" t="str">
        <f>$D374</f>
        <v>SSA_VPU_HRY_E_BEGIN_TITO_VPU_NOM_LFM_1900_TILE3_BHRY_VBTR_BT8</v>
      </c>
      <c r="AW371" t="str">
        <f t="shared" ref="AW371:BB371" si="225">$D372</f>
        <v>LSA_VPU_HRY_E_BEGIN_TITO_VPU_NOM_LFM_1900_TILE2_BISR_VBTR_BT7</v>
      </c>
      <c r="AX371" t="str">
        <f t="shared" si="225"/>
        <v>LSA_VPU_HRY_E_BEGIN_TITO_VPU_NOM_LFM_1900_TILE2_BISR_VBTR_BT7</v>
      </c>
      <c r="AY371" t="str">
        <f t="shared" si="225"/>
        <v>LSA_VPU_HRY_E_BEGIN_TITO_VPU_NOM_LFM_1900_TILE2_BISR_VBTR_BT7</v>
      </c>
      <c r="AZ371" t="str">
        <f t="shared" si="225"/>
        <v>LSA_VPU_HRY_E_BEGIN_TITO_VPU_NOM_LFM_1900_TILE2_BISR_VBTR_BT7</v>
      </c>
      <c r="BA371" t="str">
        <f t="shared" si="225"/>
        <v>LSA_VPU_HRY_E_BEGIN_TITO_VPU_NOM_LFM_1900_TILE2_BISR_VBTR_BT7</v>
      </c>
      <c r="BB371" t="str">
        <f t="shared" si="225"/>
        <v>LSA_VPU_HRY_E_BEGIN_TITO_VPU_NOM_LFM_1900_TILE2_BISR_VBTR_BT7</v>
      </c>
      <c r="BC371" t="str">
        <f>$D374</f>
        <v>SSA_VPU_HRY_E_BEGIN_TITO_VPU_NOM_LFM_1900_TILE3_BHRY_VBTR_BT8</v>
      </c>
      <c r="BD371" t="str">
        <f>$D372</f>
        <v>LSA_VPU_HRY_E_BEGIN_TITO_VPU_NOM_LFM_1900_TILE2_BISR_VBTR_BT7</v>
      </c>
    </row>
    <row r="372" spans="1:56" x14ac:dyDescent="0.35">
      <c r="A372" s="12" t="s">
        <v>12</v>
      </c>
      <c r="B372" s="12" t="s">
        <v>54</v>
      </c>
      <c r="C372" s="12" t="str">
        <f>VLOOKUP(B372,templateLookup!A:B,2,0)</f>
        <v>PrimeMbistVminSearchTestMethod</v>
      </c>
      <c r="D372" t="str">
        <f t="shared" si="206"/>
        <v>LSA_VPU_HRY_E_BEGIN_TITO_VPU_NOM_LFM_1900_TILE2_BISR_VBTR_BT7</v>
      </c>
      <c r="E372" t="s">
        <v>5</v>
      </c>
      <c r="F372" t="s">
        <v>25</v>
      </c>
      <c r="G372" t="s">
        <v>271</v>
      </c>
      <c r="H372" t="s">
        <v>207</v>
      </c>
      <c r="I372" t="s">
        <v>260</v>
      </c>
      <c r="J372" t="s">
        <v>25</v>
      </c>
      <c r="K372" t="s">
        <v>284</v>
      </c>
      <c r="L372" t="s">
        <v>285</v>
      </c>
      <c r="M372">
        <v>1900</v>
      </c>
      <c r="N372" t="s">
        <v>727</v>
      </c>
      <c r="O372" t="s">
        <v>267</v>
      </c>
      <c r="P372" t="s">
        <v>268</v>
      </c>
      <c r="Q372" t="s">
        <v>731</v>
      </c>
      <c r="R372">
        <v>21</v>
      </c>
      <c r="S372">
        <v>30</v>
      </c>
      <c r="T372">
        <v>25</v>
      </c>
      <c r="U372">
        <v>-1</v>
      </c>
      <c r="V372" t="b">
        <v>0</v>
      </c>
      <c r="W372" t="s">
        <v>298</v>
      </c>
      <c r="X372" t="s">
        <v>401</v>
      </c>
      <c r="Y372" t="s">
        <v>272</v>
      </c>
      <c r="Z372">
        <v>0.85</v>
      </c>
      <c r="AA372">
        <v>0.85</v>
      </c>
      <c r="AS372">
        <f t="shared" si="205"/>
        <v>10</v>
      </c>
      <c r="AT372" t="s">
        <v>273</v>
      </c>
      <c r="AU372" t="str">
        <f t="shared" si="207"/>
        <v>LSA_VPU_RASTER_E_BEGIN_TITO_VPU_NOM_LFM_1900_TILE2_RASTER_VBTR_BT7</v>
      </c>
      <c r="AV372" t="str">
        <f t="shared" ref="AV372:BD372" si="226">$D374</f>
        <v>SSA_VPU_HRY_E_BEGIN_TITO_VPU_NOM_LFM_1900_TILE3_BHRY_VBTR_BT8</v>
      </c>
      <c r="AW372" t="str">
        <f t="shared" si="226"/>
        <v>SSA_VPU_HRY_E_BEGIN_TITO_VPU_NOM_LFM_1900_TILE3_BHRY_VBTR_BT8</v>
      </c>
      <c r="AX372" t="str">
        <f t="shared" si="226"/>
        <v>SSA_VPU_HRY_E_BEGIN_TITO_VPU_NOM_LFM_1900_TILE3_BHRY_VBTR_BT8</v>
      </c>
      <c r="AY372" t="str">
        <f t="shared" si="226"/>
        <v>SSA_VPU_HRY_E_BEGIN_TITO_VPU_NOM_LFM_1900_TILE3_BHRY_VBTR_BT8</v>
      </c>
      <c r="AZ372" t="str">
        <f t="shared" si="226"/>
        <v>SSA_VPU_HRY_E_BEGIN_TITO_VPU_NOM_LFM_1900_TILE3_BHRY_VBTR_BT8</v>
      </c>
      <c r="BA372" t="str">
        <f t="shared" si="226"/>
        <v>SSA_VPU_HRY_E_BEGIN_TITO_VPU_NOM_LFM_1900_TILE3_BHRY_VBTR_BT8</v>
      </c>
      <c r="BB372" t="str">
        <f t="shared" si="226"/>
        <v>SSA_VPU_HRY_E_BEGIN_TITO_VPU_NOM_LFM_1900_TILE3_BHRY_VBTR_BT8</v>
      </c>
      <c r="BC372" t="str">
        <f t="shared" si="226"/>
        <v>SSA_VPU_HRY_E_BEGIN_TITO_VPU_NOM_LFM_1900_TILE3_BHRY_VBTR_BT8</v>
      </c>
      <c r="BD372" t="str">
        <f t="shared" si="226"/>
        <v>SSA_VPU_HRY_E_BEGIN_TITO_VPU_NOM_LFM_1900_TILE3_BHRY_VBTR_BT8</v>
      </c>
    </row>
    <row r="373" spans="1:56" x14ac:dyDescent="0.35">
      <c r="A373" s="12" t="s">
        <v>12</v>
      </c>
      <c r="B373" s="12" t="s">
        <v>56</v>
      </c>
      <c r="C373" s="12" t="str">
        <f>VLOOKUP(B373,templateLookup!A:B,2,0)</f>
        <v>MbistRasterTC</v>
      </c>
      <c r="D373" t="str">
        <f t="shared" si="206"/>
        <v>LSA_VPU_RASTER_E_BEGIN_TITO_VPU_NOM_LFM_1900_TILE2_RASTER_VBTR_BT7</v>
      </c>
      <c r="E373" t="s">
        <v>5</v>
      </c>
      <c r="F373" t="s">
        <v>25</v>
      </c>
      <c r="G373" t="s">
        <v>289</v>
      </c>
      <c r="H373" t="s">
        <v>207</v>
      </c>
      <c r="I373" t="s">
        <v>260</v>
      </c>
      <c r="J373" t="s">
        <v>25</v>
      </c>
      <c r="K373" t="s">
        <v>284</v>
      </c>
      <c r="L373" t="s">
        <v>285</v>
      </c>
      <c r="M373">
        <v>1900</v>
      </c>
      <c r="N373" t="s">
        <v>729</v>
      </c>
      <c r="O373" t="s">
        <v>267</v>
      </c>
      <c r="P373" t="s">
        <v>268</v>
      </c>
      <c r="Q373" t="s">
        <v>291</v>
      </c>
      <c r="R373">
        <v>21</v>
      </c>
      <c r="S373">
        <v>30</v>
      </c>
      <c r="T373">
        <v>26</v>
      </c>
      <c r="U373">
        <v>1</v>
      </c>
      <c r="V373" t="b">
        <v>0</v>
      </c>
      <c r="W373" t="s">
        <v>298</v>
      </c>
      <c r="AS373">
        <f t="shared" si="205"/>
        <v>5</v>
      </c>
      <c r="AT373">
        <v>1</v>
      </c>
      <c r="AU373" t="str">
        <f t="shared" si="207"/>
        <v>SSA_VPU_HRY_E_BEGIN_TITO_VPU_NOM_LFM_1900_TILE3_BHRY_VBTR_BT8</v>
      </c>
      <c r="AV373" t="str">
        <f>$D374</f>
        <v>SSA_VPU_HRY_E_BEGIN_TITO_VPU_NOM_LFM_1900_TILE3_BHRY_VBTR_BT8</v>
      </c>
      <c r="AW373" t="str">
        <f>$D374</f>
        <v>SSA_VPU_HRY_E_BEGIN_TITO_VPU_NOM_LFM_1900_TILE3_BHRY_VBTR_BT8</v>
      </c>
      <c r="AX373" t="str">
        <f>$D374</f>
        <v>SSA_VPU_HRY_E_BEGIN_TITO_VPU_NOM_LFM_1900_TILE3_BHRY_VBTR_BT8</v>
      </c>
      <c r="AY373" t="str">
        <f>$D374</f>
        <v>SSA_VPU_HRY_E_BEGIN_TITO_VPU_NOM_LFM_1900_TILE3_BHRY_VBTR_BT8</v>
      </c>
    </row>
    <row r="374" spans="1:56" x14ac:dyDescent="0.35">
      <c r="A374" s="12" t="s">
        <v>12</v>
      </c>
      <c r="B374" s="12" t="s">
        <v>54</v>
      </c>
      <c r="C374" s="12" t="str">
        <f>VLOOKUP(B374,templateLookup!A:B,2,0)</f>
        <v>PrimeMbistVminSearchTestMethod</v>
      </c>
      <c r="D374" t="str">
        <f t="shared" si="206"/>
        <v>SSA_VPU_HRY_E_BEGIN_TITO_VPU_NOM_LFM_1900_TILE3_BHRY_VBTR_BT8</v>
      </c>
      <c r="E374" t="s">
        <v>4</v>
      </c>
      <c r="F374" t="s">
        <v>25</v>
      </c>
      <c r="G374" t="s">
        <v>271</v>
      </c>
      <c r="H374" t="s">
        <v>207</v>
      </c>
      <c r="I374" t="s">
        <v>260</v>
      </c>
      <c r="J374" t="s">
        <v>25</v>
      </c>
      <c r="K374" t="s">
        <v>284</v>
      </c>
      <c r="L374" t="s">
        <v>285</v>
      </c>
      <c r="M374">
        <v>1900</v>
      </c>
      <c r="N374" t="s">
        <v>732</v>
      </c>
      <c r="O374" t="s">
        <v>267</v>
      </c>
      <c r="P374" t="s">
        <v>268</v>
      </c>
      <c r="Q374" t="s">
        <v>733</v>
      </c>
      <c r="R374">
        <v>61</v>
      </c>
      <c r="S374">
        <v>30</v>
      </c>
      <c r="T374">
        <v>27</v>
      </c>
      <c r="U374">
        <v>-1</v>
      </c>
      <c r="V374" t="b">
        <v>0</v>
      </c>
      <c r="W374" t="s">
        <v>298</v>
      </c>
      <c r="X374" t="s">
        <v>271</v>
      </c>
      <c r="Y374" t="s">
        <v>272</v>
      </c>
      <c r="Z374">
        <v>0.85</v>
      </c>
      <c r="AA374">
        <v>0.85</v>
      </c>
      <c r="AS374">
        <f t="shared" si="205"/>
        <v>10</v>
      </c>
      <c r="AT374" t="s">
        <v>273</v>
      </c>
      <c r="AU374" t="str">
        <f t="shared" si="207"/>
        <v>SSA_VPU_HRY_E_BEGIN_TITO_VPU_NOM_LFM_1900_TILE3_BISR_VBTR_BT8</v>
      </c>
      <c r="AV374" t="str">
        <f>$D377</f>
        <v>LSA_VPU_HRY_E_BEGIN_TITO_VPU_NOM_LFM_1900_TILE3_BHRY_VBTR_BT8</v>
      </c>
      <c r="AW374" t="str">
        <f t="shared" ref="AW374:BB374" si="227">$D375</f>
        <v>SSA_VPU_HRY_E_BEGIN_TITO_VPU_NOM_LFM_1900_TILE3_BISR_VBTR_BT8</v>
      </c>
      <c r="AX374" t="str">
        <f t="shared" si="227"/>
        <v>SSA_VPU_HRY_E_BEGIN_TITO_VPU_NOM_LFM_1900_TILE3_BISR_VBTR_BT8</v>
      </c>
      <c r="AY374" t="str">
        <f t="shared" si="227"/>
        <v>SSA_VPU_HRY_E_BEGIN_TITO_VPU_NOM_LFM_1900_TILE3_BISR_VBTR_BT8</v>
      </c>
      <c r="AZ374" t="str">
        <f t="shared" si="227"/>
        <v>SSA_VPU_HRY_E_BEGIN_TITO_VPU_NOM_LFM_1900_TILE3_BISR_VBTR_BT8</v>
      </c>
      <c r="BA374" t="str">
        <f t="shared" si="227"/>
        <v>SSA_VPU_HRY_E_BEGIN_TITO_VPU_NOM_LFM_1900_TILE3_BISR_VBTR_BT8</v>
      </c>
      <c r="BB374" t="str">
        <f t="shared" si="227"/>
        <v>SSA_VPU_HRY_E_BEGIN_TITO_VPU_NOM_LFM_1900_TILE3_BISR_VBTR_BT8</v>
      </c>
      <c r="BC374" t="str">
        <f>$D377</f>
        <v>LSA_VPU_HRY_E_BEGIN_TITO_VPU_NOM_LFM_1900_TILE3_BHRY_VBTR_BT8</v>
      </c>
      <c r="BD374" t="str">
        <f>$D375</f>
        <v>SSA_VPU_HRY_E_BEGIN_TITO_VPU_NOM_LFM_1900_TILE3_BISR_VBTR_BT8</v>
      </c>
    </row>
    <row r="375" spans="1:56" x14ac:dyDescent="0.35">
      <c r="A375" s="12" t="s">
        <v>12</v>
      </c>
      <c r="B375" s="12" t="s">
        <v>54</v>
      </c>
      <c r="C375" s="12" t="str">
        <f>VLOOKUP(B375,templateLookup!A:B,2,0)</f>
        <v>PrimeMbistVminSearchTestMethod</v>
      </c>
      <c r="D375" t="str">
        <f t="shared" si="206"/>
        <v>SSA_VPU_HRY_E_BEGIN_TITO_VPU_NOM_LFM_1900_TILE3_BISR_VBTR_BT8</v>
      </c>
      <c r="E375" t="s">
        <v>4</v>
      </c>
      <c r="F375" t="s">
        <v>25</v>
      </c>
      <c r="G375" t="s">
        <v>271</v>
      </c>
      <c r="H375" t="s">
        <v>207</v>
      </c>
      <c r="I375" t="s">
        <v>260</v>
      </c>
      <c r="J375" t="s">
        <v>25</v>
      </c>
      <c r="K375" t="s">
        <v>284</v>
      </c>
      <c r="L375" t="s">
        <v>285</v>
      </c>
      <c r="M375">
        <v>1900</v>
      </c>
      <c r="N375" t="s">
        <v>734</v>
      </c>
      <c r="O375" t="s">
        <v>267</v>
      </c>
      <c r="P375" t="s">
        <v>268</v>
      </c>
      <c r="Q375" t="s">
        <v>735</v>
      </c>
      <c r="R375">
        <v>61</v>
      </c>
      <c r="S375">
        <v>30</v>
      </c>
      <c r="T375">
        <v>28</v>
      </c>
      <c r="U375">
        <v>-1</v>
      </c>
      <c r="V375" t="b">
        <v>0</v>
      </c>
      <c r="W375" t="s">
        <v>298</v>
      </c>
      <c r="X375" t="s">
        <v>401</v>
      </c>
      <c r="Y375" t="s">
        <v>272</v>
      </c>
      <c r="Z375">
        <v>0.85</v>
      </c>
      <c r="AA375">
        <v>0.85</v>
      </c>
      <c r="AS375">
        <f t="shared" si="205"/>
        <v>10</v>
      </c>
      <c r="AT375" t="s">
        <v>273</v>
      </c>
      <c r="AU375" t="str">
        <f t="shared" si="207"/>
        <v>SSA_VPU_RASTER_E_BEGIN_TITO_VPU_NOM_LFM_1900_TILE3_RASTER_VBTR_BT8</v>
      </c>
      <c r="AV375" t="str">
        <f t="shared" ref="AV375:BD375" si="228">$D377</f>
        <v>LSA_VPU_HRY_E_BEGIN_TITO_VPU_NOM_LFM_1900_TILE3_BHRY_VBTR_BT8</v>
      </c>
      <c r="AW375" t="str">
        <f t="shared" si="228"/>
        <v>LSA_VPU_HRY_E_BEGIN_TITO_VPU_NOM_LFM_1900_TILE3_BHRY_VBTR_BT8</v>
      </c>
      <c r="AX375" t="str">
        <f t="shared" si="228"/>
        <v>LSA_VPU_HRY_E_BEGIN_TITO_VPU_NOM_LFM_1900_TILE3_BHRY_VBTR_BT8</v>
      </c>
      <c r="AY375" t="str">
        <f t="shared" si="228"/>
        <v>LSA_VPU_HRY_E_BEGIN_TITO_VPU_NOM_LFM_1900_TILE3_BHRY_VBTR_BT8</v>
      </c>
      <c r="AZ375" t="str">
        <f t="shared" si="228"/>
        <v>LSA_VPU_HRY_E_BEGIN_TITO_VPU_NOM_LFM_1900_TILE3_BHRY_VBTR_BT8</v>
      </c>
      <c r="BA375" t="str">
        <f t="shared" si="228"/>
        <v>LSA_VPU_HRY_E_BEGIN_TITO_VPU_NOM_LFM_1900_TILE3_BHRY_VBTR_BT8</v>
      </c>
      <c r="BB375" t="str">
        <f t="shared" si="228"/>
        <v>LSA_VPU_HRY_E_BEGIN_TITO_VPU_NOM_LFM_1900_TILE3_BHRY_VBTR_BT8</v>
      </c>
      <c r="BC375" t="str">
        <f t="shared" si="228"/>
        <v>LSA_VPU_HRY_E_BEGIN_TITO_VPU_NOM_LFM_1900_TILE3_BHRY_VBTR_BT8</v>
      </c>
      <c r="BD375" t="str">
        <f t="shared" si="228"/>
        <v>LSA_VPU_HRY_E_BEGIN_TITO_VPU_NOM_LFM_1900_TILE3_BHRY_VBTR_BT8</v>
      </c>
    </row>
    <row r="376" spans="1:56" x14ac:dyDescent="0.35">
      <c r="A376" s="12" t="s">
        <v>12</v>
      </c>
      <c r="B376" s="12" t="s">
        <v>56</v>
      </c>
      <c r="C376" s="12" t="str">
        <f>VLOOKUP(B376,templateLookup!A:B,2,0)</f>
        <v>MbistRasterTC</v>
      </c>
      <c r="D376" t="str">
        <f t="shared" si="206"/>
        <v>SSA_VPU_RASTER_E_BEGIN_TITO_VPU_NOM_LFM_1900_TILE3_RASTER_VBTR_BT8</v>
      </c>
      <c r="E376" t="s">
        <v>4</v>
      </c>
      <c r="F376" t="s">
        <v>25</v>
      </c>
      <c r="G376" t="s">
        <v>289</v>
      </c>
      <c r="H376" t="s">
        <v>207</v>
      </c>
      <c r="I376" t="s">
        <v>260</v>
      </c>
      <c r="J376" t="s">
        <v>25</v>
      </c>
      <c r="K376" t="s">
        <v>284</v>
      </c>
      <c r="L376" t="s">
        <v>285</v>
      </c>
      <c r="M376">
        <v>1900</v>
      </c>
      <c r="N376" t="s">
        <v>736</v>
      </c>
      <c r="O376" t="s">
        <v>267</v>
      </c>
      <c r="P376" t="s">
        <v>268</v>
      </c>
      <c r="Q376" t="s">
        <v>291</v>
      </c>
      <c r="R376">
        <v>61</v>
      </c>
      <c r="S376">
        <v>30</v>
      </c>
      <c r="T376">
        <v>29</v>
      </c>
      <c r="U376">
        <v>1</v>
      </c>
      <c r="V376" t="b">
        <v>0</v>
      </c>
      <c r="W376" t="s">
        <v>298</v>
      </c>
      <c r="AS376">
        <f t="shared" si="205"/>
        <v>5</v>
      </c>
      <c r="AT376">
        <v>1</v>
      </c>
      <c r="AU376" t="str">
        <f t="shared" si="207"/>
        <v>LSA_VPU_HRY_E_BEGIN_TITO_VPU_NOM_LFM_1900_TILE3_BHRY_VBTR_BT8</v>
      </c>
      <c r="AV376" t="str">
        <f>$D377</f>
        <v>LSA_VPU_HRY_E_BEGIN_TITO_VPU_NOM_LFM_1900_TILE3_BHRY_VBTR_BT8</v>
      </c>
      <c r="AW376" t="str">
        <f>$D377</f>
        <v>LSA_VPU_HRY_E_BEGIN_TITO_VPU_NOM_LFM_1900_TILE3_BHRY_VBTR_BT8</v>
      </c>
      <c r="AX376" t="str">
        <f>$D377</f>
        <v>LSA_VPU_HRY_E_BEGIN_TITO_VPU_NOM_LFM_1900_TILE3_BHRY_VBTR_BT8</v>
      </c>
      <c r="AY376" t="str">
        <f>$D377</f>
        <v>LSA_VPU_HRY_E_BEGIN_TITO_VPU_NOM_LFM_1900_TILE3_BHRY_VBTR_BT8</v>
      </c>
    </row>
    <row r="377" spans="1:56" x14ac:dyDescent="0.35">
      <c r="A377" s="12" t="s">
        <v>12</v>
      </c>
      <c r="B377" s="12" t="s">
        <v>54</v>
      </c>
      <c r="C377" s="12" t="str">
        <f>VLOOKUP(B377,templateLookup!A:B,2,0)</f>
        <v>PrimeMbistVminSearchTestMethod</v>
      </c>
      <c r="D377" t="str">
        <f t="shared" si="206"/>
        <v>LSA_VPU_HRY_E_BEGIN_TITO_VPU_NOM_LFM_1900_TILE3_BHRY_VBTR_BT8</v>
      </c>
      <c r="E377" t="s">
        <v>5</v>
      </c>
      <c r="F377" t="s">
        <v>25</v>
      </c>
      <c r="G377" t="s">
        <v>271</v>
      </c>
      <c r="H377" t="s">
        <v>207</v>
      </c>
      <c r="I377" t="s">
        <v>260</v>
      </c>
      <c r="J377" t="s">
        <v>25</v>
      </c>
      <c r="K377" t="s">
        <v>284</v>
      </c>
      <c r="L377" t="s">
        <v>285</v>
      </c>
      <c r="M377">
        <v>1900</v>
      </c>
      <c r="N377" t="s">
        <v>732</v>
      </c>
      <c r="O377" t="s">
        <v>267</v>
      </c>
      <c r="P377" t="s">
        <v>268</v>
      </c>
      <c r="Q377" t="s">
        <v>737</v>
      </c>
      <c r="R377">
        <v>21</v>
      </c>
      <c r="S377">
        <v>30</v>
      </c>
      <c r="T377">
        <v>30</v>
      </c>
      <c r="U377">
        <v>-1</v>
      </c>
      <c r="V377" t="b">
        <v>0</v>
      </c>
      <c r="W377" t="s">
        <v>298</v>
      </c>
      <c r="X377" t="s">
        <v>271</v>
      </c>
      <c r="Y377" t="s">
        <v>272</v>
      </c>
      <c r="Z377">
        <v>0.85</v>
      </c>
      <c r="AA377">
        <v>0.85</v>
      </c>
      <c r="AS377">
        <f t="shared" si="205"/>
        <v>10</v>
      </c>
      <c r="AT377" t="s">
        <v>273</v>
      </c>
      <c r="AU377" t="str">
        <f t="shared" si="207"/>
        <v>LSA_VPU_HRY_E_BEGIN_TITO_VPU_NOM_LFM_1900_TILE3_BISR_VBTR_BT8</v>
      </c>
      <c r="AV377" t="str">
        <f>$D380</f>
        <v>SSA_VPU_HRY_E_BEGIN_TITO_VPU_NOM_LFM_1900_TILE4_BHRY_VBTR_BT9</v>
      </c>
      <c r="AW377" t="str">
        <f t="shared" ref="AW377:BB377" si="229">$D378</f>
        <v>LSA_VPU_HRY_E_BEGIN_TITO_VPU_NOM_LFM_1900_TILE3_BISR_VBTR_BT8</v>
      </c>
      <c r="AX377" t="str">
        <f t="shared" si="229"/>
        <v>LSA_VPU_HRY_E_BEGIN_TITO_VPU_NOM_LFM_1900_TILE3_BISR_VBTR_BT8</v>
      </c>
      <c r="AY377" t="str">
        <f t="shared" si="229"/>
        <v>LSA_VPU_HRY_E_BEGIN_TITO_VPU_NOM_LFM_1900_TILE3_BISR_VBTR_BT8</v>
      </c>
      <c r="AZ377" t="str">
        <f t="shared" si="229"/>
        <v>LSA_VPU_HRY_E_BEGIN_TITO_VPU_NOM_LFM_1900_TILE3_BISR_VBTR_BT8</v>
      </c>
      <c r="BA377" t="str">
        <f t="shared" si="229"/>
        <v>LSA_VPU_HRY_E_BEGIN_TITO_VPU_NOM_LFM_1900_TILE3_BISR_VBTR_BT8</v>
      </c>
      <c r="BB377" t="str">
        <f t="shared" si="229"/>
        <v>LSA_VPU_HRY_E_BEGIN_TITO_VPU_NOM_LFM_1900_TILE3_BISR_VBTR_BT8</v>
      </c>
      <c r="BC377" t="str">
        <f>$D380</f>
        <v>SSA_VPU_HRY_E_BEGIN_TITO_VPU_NOM_LFM_1900_TILE4_BHRY_VBTR_BT9</v>
      </c>
      <c r="BD377" t="str">
        <f>$D378</f>
        <v>LSA_VPU_HRY_E_BEGIN_TITO_VPU_NOM_LFM_1900_TILE3_BISR_VBTR_BT8</v>
      </c>
    </row>
    <row r="378" spans="1:56" x14ac:dyDescent="0.35">
      <c r="A378" s="12" t="s">
        <v>12</v>
      </c>
      <c r="B378" s="12" t="s">
        <v>54</v>
      </c>
      <c r="C378" s="12" t="str">
        <f>VLOOKUP(B378,templateLookup!A:B,2,0)</f>
        <v>PrimeMbistVminSearchTestMethod</v>
      </c>
      <c r="D378" t="str">
        <f t="shared" si="206"/>
        <v>LSA_VPU_HRY_E_BEGIN_TITO_VPU_NOM_LFM_1900_TILE3_BISR_VBTR_BT8</v>
      </c>
      <c r="E378" t="s">
        <v>5</v>
      </c>
      <c r="F378" t="s">
        <v>25</v>
      </c>
      <c r="G378" t="s">
        <v>271</v>
      </c>
      <c r="H378" t="s">
        <v>207</v>
      </c>
      <c r="I378" t="s">
        <v>260</v>
      </c>
      <c r="J378" t="s">
        <v>25</v>
      </c>
      <c r="K378" t="s">
        <v>284</v>
      </c>
      <c r="L378" t="s">
        <v>285</v>
      </c>
      <c r="M378">
        <v>1900</v>
      </c>
      <c r="N378" t="s">
        <v>734</v>
      </c>
      <c r="O378" t="s">
        <v>267</v>
      </c>
      <c r="P378" t="s">
        <v>268</v>
      </c>
      <c r="Q378" t="s">
        <v>738</v>
      </c>
      <c r="R378">
        <v>21</v>
      </c>
      <c r="S378">
        <v>30</v>
      </c>
      <c r="T378">
        <v>31</v>
      </c>
      <c r="U378">
        <v>-1</v>
      </c>
      <c r="V378" s="12" t="b">
        <v>0</v>
      </c>
      <c r="W378" t="s">
        <v>298</v>
      </c>
      <c r="X378" t="s">
        <v>401</v>
      </c>
      <c r="Y378" t="s">
        <v>272</v>
      </c>
      <c r="Z378">
        <v>0.85</v>
      </c>
      <c r="AA378">
        <v>0.85</v>
      </c>
      <c r="AS378">
        <f t="shared" si="205"/>
        <v>10</v>
      </c>
      <c r="AT378" t="s">
        <v>273</v>
      </c>
      <c r="AU378" t="str">
        <f t="shared" si="207"/>
        <v>LSA_VPU_RASTER_E_BEGIN_TITO_VPU_NOM_LFM_1900_TILE3_RASTER_VBTR_BT8</v>
      </c>
      <c r="AV378" t="str">
        <f t="shared" ref="AV378:BD378" si="230">$D380</f>
        <v>SSA_VPU_HRY_E_BEGIN_TITO_VPU_NOM_LFM_1900_TILE4_BHRY_VBTR_BT9</v>
      </c>
      <c r="AW378" t="str">
        <f t="shared" si="230"/>
        <v>SSA_VPU_HRY_E_BEGIN_TITO_VPU_NOM_LFM_1900_TILE4_BHRY_VBTR_BT9</v>
      </c>
      <c r="AX378" t="str">
        <f t="shared" si="230"/>
        <v>SSA_VPU_HRY_E_BEGIN_TITO_VPU_NOM_LFM_1900_TILE4_BHRY_VBTR_BT9</v>
      </c>
      <c r="AY378" t="str">
        <f t="shared" si="230"/>
        <v>SSA_VPU_HRY_E_BEGIN_TITO_VPU_NOM_LFM_1900_TILE4_BHRY_VBTR_BT9</v>
      </c>
      <c r="AZ378" t="str">
        <f t="shared" si="230"/>
        <v>SSA_VPU_HRY_E_BEGIN_TITO_VPU_NOM_LFM_1900_TILE4_BHRY_VBTR_BT9</v>
      </c>
      <c r="BA378" t="str">
        <f t="shared" si="230"/>
        <v>SSA_VPU_HRY_E_BEGIN_TITO_VPU_NOM_LFM_1900_TILE4_BHRY_VBTR_BT9</v>
      </c>
      <c r="BB378" t="str">
        <f t="shared" si="230"/>
        <v>SSA_VPU_HRY_E_BEGIN_TITO_VPU_NOM_LFM_1900_TILE4_BHRY_VBTR_BT9</v>
      </c>
      <c r="BC378" t="str">
        <f t="shared" si="230"/>
        <v>SSA_VPU_HRY_E_BEGIN_TITO_VPU_NOM_LFM_1900_TILE4_BHRY_VBTR_BT9</v>
      </c>
      <c r="BD378" t="str">
        <f t="shared" si="230"/>
        <v>SSA_VPU_HRY_E_BEGIN_TITO_VPU_NOM_LFM_1900_TILE4_BHRY_VBTR_BT9</v>
      </c>
    </row>
    <row r="379" spans="1:56" x14ac:dyDescent="0.35">
      <c r="A379" s="12" t="s">
        <v>12</v>
      </c>
      <c r="B379" s="12" t="s">
        <v>56</v>
      </c>
      <c r="C379" s="12" t="str">
        <f>VLOOKUP(B379,templateLookup!A:B,2,0)</f>
        <v>MbistRasterTC</v>
      </c>
      <c r="D379" t="str">
        <f t="shared" si="206"/>
        <v>LSA_VPU_RASTER_E_BEGIN_TITO_VPU_NOM_LFM_1900_TILE3_RASTER_VBTR_BT8</v>
      </c>
      <c r="E379" t="s">
        <v>5</v>
      </c>
      <c r="F379" t="s">
        <v>25</v>
      </c>
      <c r="G379" t="s">
        <v>289</v>
      </c>
      <c r="H379" t="s">
        <v>207</v>
      </c>
      <c r="I379" t="s">
        <v>260</v>
      </c>
      <c r="J379" t="s">
        <v>25</v>
      </c>
      <c r="K379" t="s">
        <v>284</v>
      </c>
      <c r="L379" t="s">
        <v>285</v>
      </c>
      <c r="M379">
        <v>1900</v>
      </c>
      <c r="N379" t="s">
        <v>736</v>
      </c>
      <c r="O379" t="s">
        <v>267</v>
      </c>
      <c r="P379" t="s">
        <v>268</v>
      </c>
      <c r="Q379" t="s">
        <v>291</v>
      </c>
      <c r="R379">
        <v>21</v>
      </c>
      <c r="S379">
        <v>30</v>
      </c>
      <c r="T379">
        <v>32</v>
      </c>
      <c r="U379">
        <v>1</v>
      </c>
      <c r="V379" t="b">
        <v>0</v>
      </c>
      <c r="W379" t="s">
        <v>298</v>
      </c>
      <c r="AS379">
        <f t="shared" si="205"/>
        <v>5</v>
      </c>
      <c r="AT379">
        <v>1</v>
      </c>
      <c r="AU379" t="str">
        <f t="shared" si="207"/>
        <v>SSA_VPU_HRY_E_BEGIN_TITO_VPU_NOM_LFM_1900_TILE4_BHRY_VBTR_BT9</v>
      </c>
      <c r="AV379" t="str">
        <f>$D380</f>
        <v>SSA_VPU_HRY_E_BEGIN_TITO_VPU_NOM_LFM_1900_TILE4_BHRY_VBTR_BT9</v>
      </c>
      <c r="AW379" t="str">
        <f>$D380</f>
        <v>SSA_VPU_HRY_E_BEGIN_TITO_VPU_NOM_LFM_1900_TILE4_BHRY_VBTR_BT9</v>
      </c>
      <c r="AX379" t="str">
        <f>$D380</f>
        <v>SSA_VPU_HRY_E_BEGIN_TITO_VPU_NOM_LFM_1900_TILE4_BHRY_VBTR_BT9</v>
      </c>
      <c r="AY379" t="str">
        <f>$D380</f>
        <v>SSA_VPU_HRY_E_BEGIN_TITO_VPU_NOM_LFM_1900_TILE4_BHRY_VBTR_BT9</v>
      </c>
    </row>
    <row r="380" spans="1:56" x14ac:dyDescent="0.35">
      <c r="A380" s="12" t="s">
        <v>12</v>
      </c>
      <c r="B380" s="12" t="s">
        <v>54</v>
      </c>
      <c r="C380" s="12" t="str">
        <f>VLOOKUP(B380,templateLookup!A:B,2,0)</f>
        <v>PrimeMbistVminSearchTestMethod</v>
      </c>
      <c r="D380" t="str">
        <f t="shared" si="206"/>
        <v>SSA_VPU_HRY_E_BEGIN_TITO_VPU_NOM_LFM_1900_TILE4_BHRY_VBTR_BT9</v>
      </c>
      <c r="E380" t="s">
        <v>4</v>
      </c>
      <c r="F380" t="s">
        <v>25</v>
      </c>
      <c r="G380" t="s">
        <v>271</v>
      </c>
      <c r="H380" t="s">
        <v>207</v>
      </c>
      <c r="I380" t="s">
        <v>260</v>
      </c>
      <c r="J380" t="s">
        <v>25</v>
      </c>
      <c r="K380" t="s">
        <v>284</v>
      </c>
      <c r="L380" t="s">
        <v>285</v>
      </c>
      <c r="M380">
        <v>1900</v>
      </c>
      <c r="N380" t="s">
        <v>739</v>
      </c>
      <c r="O380" t="s">
        <v>267</v>
      </c>
      <c r="P380" t="s">
        <v>268</v>
      </c>
      <c r="Q380" t="s">
        <v>740</v>
      </c>
      <c r="R380">
        <v>61</v>
      </c>
      <c r="S380">
        <v>30</v>
      </c>
      <c r="T380">
        <v>33</v>
      </c>
      <c r="U380">
        <v>-1</v>
      </c>
      <c r="V380" t="b">
        <v>0</v>
      </c>
      <c r="W380" t="s">
        <v>298</v>
      </c>
      <c r="X380" t="s">
        <v>271</v>
      </c>
      <c r="Y380" t="s">
        <v>272</v>
      </c>
      <c r="Z380">
        <v>0.85</v>
      </c>
      <c r="AA380">
        <v>0.85</v>
      </c>
      <c r="AS380">
        <f t="shared" si="205"/>
        <v>10</v>
      </c>
      <c r="AT380" t="s">
        <v>273</v>
      </c>
      <c r="AU380" t="str">
        <f t="shared" si="207"/>
        <v>SSA_VPU_HRY_E_BEGIN_TITO_VPU_NOM_LFM_1900_TILE4_BISR_VBTR_BT9</v>
      </c>
      <c r="AV380" t="str">
        <f>$D383</f>
        <v>LSA_VPU_HRY_E_BEGIN_TITO_VPU_NOM_LFM_1900_TILE4_BHRY_VBTR_BT9</v>
      </c>
      <c r="AW380" t="str">
        <f t="shared" ref="AW380:BB380" si="231">$D381</f>
        <v>SSA_VPU_HRY_E_BEGIN_TITO_VPU_NOM_LFM_1900_TILE4_BISR_VBTR_BT9</v>
      </c>
      <c r="AX380" t="str">
        <f t="shared" si="231"/>
        <v>SSA_VPU_HRY_E_BEGIN_TITO_VPU_NOM_LFM_1900_TILE4_BISR_VBTR_BT9</v>
      </c>
      <c r="AY380" t="str">
        <f t="shared" si="231"/>
        <v>SSA_VPU_HRY_E_BEGIN_TITO_VPU_NOM_LFM_1900_TILE4_BISR_VBTR_BT9</v>
      </c>
      <c r="AZ380" t="str">
        <f t="shared" si="231"/>
        <v>SSA_VPU_HRY_E_BEGIN_TITO_VPU_NOM_LFM_1900_TILE4_BISR_VBTR_BT9</v>
      </c>
      <c r="BA380" t="str">
        <f t="shared" si="231"/>
        <v>SSA_VPU_HRY_E_BEGIN_TITO_VPU_NOM_LFM_1900_TILE4_BISR_VBTR_BT9</v>
      </c>
      <c r="BB380" t="str">
        <f t="shared" si="231"/>
        <v>SSA_VPU_HRY_E_BEGIN_TITO_VPU_NOM_LFM_1900_TILE4_BISR_VBTR_BT9</v>
      </c>
      <c r="BC380" t="str">
        <f>$D383</f>
        <v>LSA_VPU_HRY_E_BEGIN_TITO_VPU_NOM_LFM_1900_TILE4_BHRY_VBTR_BT9</v>
      </c>
      <c r="BD380" t="str">
        <f>$D381</f>
        <v>SSA_VPU_HRY_E_BEGIN_TITO_VPU_NOM_LFM_1900_TILE4_BISR_VBTR_BT9</v>
      </c>
    </row>
    <row r="381" spans="1:56" x14ac:dyDescent="0.35">
      <c r="A381" s="12" t="s">
        <v>12</v>
      </c>
      <c r="B381" s="12" t="s">
        <v>54</v>
      </c>
      <c r="C381" s="12" t="str">
        <f>VLOOKUP(B381,templateLookup!A:B,2,0)</f>
        <v>PrimeMbistVminSearchTestMethod</v>
      </c>
      <c r="D381" t="str">
        <f t="shared" si="206"/>
        <v>SSA_VPU_HRY_E_BEGIN_TITO_VPU_NOM_LFM_1900_TILE4_BISR_VBTR_BT9</v>
      </c>
      <c r="E381" t="s">
        <v>4</v>
      </c>
      <c r="F381" t="s">
        <v>25</v>
      </c>
      <c r="G381" t="s">
        <v>271</v>
      </c>
      <c r="H381" t="s">
        <v>207</v>
      </c>
      <c r="I381" t="s">
        <v>260</v>
      </c>
      <c r="J381" t="s">
        <v>25</v>
      </c>
      <c r="K381" t="s">
        <v>284</v>
      </c>
      <c r="L381" t="s">
        <v>285</v>
      </c>
      <c r="M381">
        <v>1900</v>
      </c>
      <c r="N381" t="s">
        <v>741</v>
      </c>
      <c r="O381" t="s">
        <v>267</v>
      </c>
      <c r="P381" t="s">
        <v>268</v>
      </c>
      <c r="Q381" t="s">
        <v>742</v>
      </c>
      <c r="R381">
        <v>61</v>
      </c>
      <c r="S381">
        <v>30</v>
      </c>
      <c r="T381">
        <v>34</v>
      </c>
      <c r="U381">
        <v>-1</v>
      </c>
      <c r="V381" t="b">
        <v>0</v>
      </c>
      <c r="W381" t="s">
        <v>298</v>
      </c>
      <c r="X381" t="s">
        <v>401</v>
      </c>
      <c r="Y381" t="s">
        <v>272</v>
      </c>
      <c r="Z381">
        <v>0.85</v>
      </c>
      <c r="AA381">
        <v>0.85</v>
      </c>
      <c r="AS381">
        <f t="shared" si="205"/>
        <v>10</v>
      </c>
      <c r="AT381" t="s">
        <v>273</v>
      </c>
      <c r="AU381" t="str">
        <f t="shared" si="207"/>
        <v>SSA_VPU_RASTER_E_BEGIN_TITO_VPU_NOM_LFM_1900_TILE4_RASTER_VBTR_BT9</v>
      </c>
      <c r="AV381" t="str">
        <f t="shared" ref="AV381:BD381" si="232">$D383</f>
        <v>LSA_VPU_HRY_E_BEGIN_TITO_VPU_NOM_LFM_1900_TILE4_BHRY_VBTR_BT9</v>
      </c>
      <c r="AW381" t="str">
        <f t="shared" si="232"/>
        <v>LSA_VPU_HRY_E_BEGIN_TITO_VPU_NOM_LFM_1900_TILE4_BHRY_VBTR_BT9</v>
      </c>
      <c r="AX381" t="str">
        <f t="shared" si="232"/>
        <v>LSA_VPU_HRY_E_BEGIN_TITO_VPU_NOM_LFM_1900_TILE4_BHRY_VBTR_BT9</v>
      </c>
      <c r="AY381" t="str">
        <f t="shared" si="232"/>
        <v>LSA_VPU_HRY_E_BEGIN_TITO_VPU_NOM_LFM_1900_TILE4_BHRY_VBTR_BT9</v>
      </c>
      <c r="AZ381" t="str">
        <f t="shared" si="232"/>
        <v>LSA_VPU_HRY_E_BEGIN_TITO_VPU_NOM_LFM_1900_TILE4_BHRY_VBTR_BT9</v>
      </c>
      <c r="BA381" t="str">
        <f t="shared" si="232"/>
        <v>LSA_VPU_HRY_E_BEGIN_TITO_VPU_NOM_LFM_1900_TILE4_BHRY_VBTR_BT9</v>
      </c>
      <c r="BB381" t="str">
        <f t="shared" si="232"/>
        <v>LSA_VPU_HRY_E_BEGIN_TITO_VPU_NOM_LFM_1900_TILE4_BHRY_VBTR_BT9</v>
      </c>
      <c r="BC381" t="str">
        <f t="shared" si="232"/>
        <v>LSA_VPU_HRY_E_BEGIN_TITO_VPU_NOM_LFM_1900_TILE4_BHRY_VBTR_BT9</v>
      </c>
      <c r="BD381" t="str">
        <f t="shared" si="232"/>
        <v>LSA_VPU_HRY_E_BEGIN_TITO_VPU_NOM_LFM_1900_TILE4_BHRY_VBTR_BT9</v>
      </c>
    </row>
    <row r="382" spans="1:56" x14ac:dyDescent="0.35">
      <c r="A382" s="12" t="s">
        <v>12</v>
      </c>
      <c r="B382" s="12" t="s">
        <v>56</v>
      </c>
      <c r="C382" s="12" t="str">
        <f>VLOOKUP(B382,templateLookup!A:B,2,0)</f>
        <v>MbistRasterTC</v>
      </c>
      <c r="D382" t="str">
        <f t="shared" si="206"/>
        <v>SSA_VPU_RASTER_E_BEGIN_TITO_VPU_NOM_LFM_1900_TILE4_RASTER_VBTR_BT9</v>
      </c>
      <c r="E382" t="s">
        <v>4</v>
      </c>
      <c r="F382" t="s">
        <v>25</v>
      </c>
      <c r="G382" t="s">
        <v>289</v>
      </c>
      <c r="H382" t="s">
        <v>207</v>
      </c>
      <c r="I382" t="s">
        <v>260</v>
      </c>
      <c r="J382" t="s">
        <v>25</v>
      </c>
      <c r="K382" t="s">
        <v>284</v>
      </c>
      <c r="L382" t="s">
        <v>285</v>
      </c>
      <c r="M382">
        <v>1900</v>
      </c>
      <c r="N382" t="s">
        <v>743</v>
      </c>
      <c r="O382" t="s">
        <v>267</v>
      </c>
      <c r="P382" t="s">
        <v>268</v>
      </c>
      <c r="Q382" t="s">
        <v>291</v>
      </c>
      <c r="R382">
        <v>61</v>
      </c>
      <c r="S382">
        <v>30</v>
      </c>
      <c r="T382">
        <v>35</v>
      </c>
      <c r="U382">
        <v>1</v>
      </c>
      <c r="V382" t="b">
        <v>0</v>
      </c>
      <c r="W382" t="s">
        <v>298</v>
      </c>
      <c r="AS382">
        <f t="shared" si="205"/>
        <v>5</v>
      </c>
      <c r="AT382">
        <v>1</v>
      </c>
      <c r="AU382" t="str">
        <f t="shared" si="207"/>
        <v>LSA_VPU_HRY_E_BEGIN_TITO_VPU_NOM_LFM_1900_TILE4_BHRY_VBTR_BT9</v>
      </c>
      <c r="AV382" t="str">
        <f>$D383</f>
        <v>LSA_VPU_HRY_E_BEGIN_TITO_VPU_NOM_LFM_1900_TILE4_BHRY_VBTR_BT9</v>
      </c>
      <c r="AW382" t="str">
        <f>$D383</f>
        <v>LSA_VPU_HRY_E_BEGIN_TITO_VPU_NOM_LFM_1900_TILE4_BHRY_VBTR_BT9</v>
      </c>
      <c r="AX382" t="str">
        <f>$D383</f>
        <v>LSA_VPU_HRY_E_BEGIN_TITO_VPU_NOM_LFM_1900_TILE4_BHRY_VBTR_BT9</v>
      </c>
      <c r="AY382" t="str">
        <f>$D383</f>
        <v>LSA_VPU_HRY_E_BEGIN_TITO_VPU_NOM_LFM_1900_TILE4_BHRY_VBTR_BT9</v>
      </c>
    </row>
    <row r="383" spans="1:56" x14ac:dyDescent="0.35">
      <c r="A383" s="12" t="s">
        <v>12</v>
      </c>
      <c r="B383" s="12" t="s">
        <v>54</v>
      </c>
      <c r="C383" s="12" t="str">
        <f>VLOOKUP(B383,templateLookup!A:B,2,0)</f>
        <v>PrimeMbistVminSearchTestMethod</v>
      </c>
      <c r="D383" t="str">
        <f t="shared" si="206"/>
        <v>LSA_VPU_HRY_E_BEGIN_TITO_VPU_NOM_LFM_1900_TILE4_BHRY_VBTR_BT9</v>
      </c>
      <c r="E383" t="s">
        <v>5</v>
      </c>
      <c r="F383" t="s">
        <v>25</v>
      </c>
      <c r="G383" t="s">
        <v>271</v>
      </c>
      <c r="H383" t="s">
        <v>207</v>
      </c>
      <c r="I383" t="s">
        <v>260</v>
      </c>
      <c r="J383" t="s">
        <v>25</v>
      </c>
      <c r="K383" t="s">
        <v>284</v>
      </c>
      <c r="L383" t="s">
        <v>285</v>
      </c>
      <c r="M383">
        <v>1900</v>
      </c>
      <c r="N383" t="s">
        <v>739</v>
      </c>
      <c r="O383" t="s">
        <v>267</v>
      </c>
      <c r="P383" t="s">
        <v>268</v>
      </c>
      <c r="Q383" t="s">
        <v>744</v>
      </c>
      <c r="R383">
        <v>21</v>
      </c>
      <c r="S383">
        <v>30</v>
      </c>
      <c r="T383">
        <v>36</v>
      </c>
      <c r="U383">
        <v>-1</v>
      </c>
      <c r="V383" t="b">
        <v>0</v>
      </c>
      <c r="W383" t="s">
        <v>298</v>
      </c>
      <c r="X383" t="s">
        <v>271</v>
      </c>
      <c r="Y383" t="s">
        <v>272</v>
      </c>
      <c r="Z383">
        <v>0.85</v>
      </c>
      <c r="AA383">
        <v>0.85</v>
      </c>
      <c r="AS383">
        <f t="shared" si="205"/>
        <v>10</v>
      </c>
      <c r="AT383" t="s">
        <v>273</v>
      </c>
      <c r="AU383" t="str">
        <f t="shared" si="207"/>
        <v>LSA_VPU_HRY_E_BEGIN_TITO_VPU_NOM_LFM_1900_TILE4_BISR_VBTR_BT9</v>
      </c>
      <c r="AV383" t="str">
        <f>$D386</f>
        <v>SSA_VPU_HRY_E_BEGIN_TITO_VPU_NOM_LFM_1900_TILE5_BHRY_VBTR_BT10</v>
      </c>
      <c r="AW383" t="str">
        <f t="shared" ref="AW383:BB383" si="233">$D384</f>
        <v>LSA_VPU_HRY_E_BEGIN_TITO_VPU_NOM_LFM_1900_TILE4_BISR_VBTR_BT9</v>
      </c>
      <c r="AX383" t="str">
        <f t="shared" si="233"/>
        <v>LSA_VPU_HRY_E_BEGIN_TITO_VPU_NOM_LFM_1900_TILE4_BISR_VBTR_BT9</v>
      </c>
      <c r="AY383" t="str">
        <f t="shared" si="233"/>
        <v>LSA_VPU_HRY_E_BEGIN_TITO_VPU_NOM_LFM_1900_TILE4_BISR_VBTR_BT9</v>
      </c>
      <c r="AZ383" t="str">
        <f t="shared" si="233"/>
        <v>LSA_VPU_HRY_E_BEGIN_TITO_VPU_NOM_LFM_1900_TILE4_BISR_VBTR_BT9</v>
      </c>
      <c r="BA383" t="str">
        <f t="shared" si="233"/>
        <v>LSA_VPU_HRY_E_BEGIN_TITO_VPU_NOM_LFM_1900_TILE4_BISR_VBTR_BT9</v>
      </c>
      <c r="BB383" t="str">
        <f t="shared" si="233"/>
        <v>LSA_VPU_HRY_E_BEGIN_TITO_VPU_NOM_LFM_1900_TILE4_BISR_VBTR_BT9</v>
      </c>
      <c r="BC383" t="str">
        <f>$D386</f>
        <v>SSA_VPU_HRY_E_BEGIN_TITO_VPU_NOM_LFM_1900_TILE5_BHRY_VBTR_BT10</v>
      </c>
      <c r="BD383" t="str">
        <f>$D384</f>
        <v>LSA_VPU_HRY_E_BEGIN_TITO_VPU_NOM_LFM_1900_TILE4_BISR_VBTR_BT9</v>
      </c>
    </row>
    <row r="384" spans="1:56" x14ac:dyDescent="0.35">
      <c r="A384" s="12" t="s">
        <v>12</v>
      </c>
      <c r="B384" s="12" t="s">
        <v>54</v>
      </c>
      <c r="C384" s="12" t="str">
        <f>VLOOKUP(B384,templateLookup!A:B,2,0)</f>
        <v>PrimeMbistVminSearchTestMethod</v>
      </c>
      <c r="D384" t="str">
        <f t="shared" si="206"/>
        <v>LSA_VPU_HRY_E_BEGIN_TITO_VPU_NOM_LFM_1900_TILE4_BISR_VBTR_BT9</v>
      </c>
      <c r="E384" t="s">
        <v>5</v>
      </c>
      <c r="F384" t="s">
        <v>25</v>
      </c>
      <c r="G384" t="s">
        <v>271</v>
      </c>
      <c r="H384" t="s">
        <v>207</v>
      </c>
      <c r="I384" t="s">
        <v>260</v>
      </c>
      <c r="J384" t="s">
        <v>25</v>
      </c>
      <c r="K384" t="s">
        <v>284</v>
      </c>
      <c r="L384" t="s">
        <v>285</v>
      </c>
      <c r="M384">
        <v>1900</v>
      </c>
      <c r="N384" t="s">
        <v>741</v>
      </c>
      <c r="O384" t="s">
        <v>267</v>
      </c>
      <c r="P384" t="s">
        <v>268</v>
      </c>
      <c r="Q384" t="s">
        <v>745</v>
      </c>
      <c r="R384">
        <v>21</v>
      </c>
      <c r="S384">
        <v>30</v>
      </c>
      <c r="T384">
        <v>37</v>
      </c>
      <c r="U384">
        <v>-1</v>
      </c>
      <c r="V384" t="b">
        <v>0</v>
      </c>
      <c r="W384" t="s">
        <v>298</v>
      </c>
      <c r="X384" t="s">
        <v>401</v>
      </c>
      <c r="Y384" t="s">
        <v>272</v>
      </c>
      <c r="Z384">
        <v>0.85</v>
      </c>
      <c r="AA384">
        <v>0.85</v>
      </c>
      <c r="AS384">
        <f t="shared" si="205"/>
        <v>10</v>
      </c>
      <c r="AT384" t="s">
        <v>273</v>
      </c>
      <c r="AU384" t="str">
        <f t="shared" si="207"/>
        <v>LSA_VPU_RASTER_E_BEGIN_TITO_VPU_NOM_LFM_1900_TILE4_RASTER_VBTR_BT9</v>
      </c>
      <c r="AV384" t="str">
        <f t="shared" ref="AV384:BD384" si="234">$D386</f>
        <v>SSA_VPU_HRY_E_BEGIN_TITO_VPU_NOM_LFM_1900_TILE5_BHRY_VBTR_BT10</v>
      </c>
      <c r="AW384" t="str">
        <f t="shared" si="234"/>
        <v>SSA_VPU_HRY_E_BEGIN_TITO_VPU_NOM_LFM_1900_TILE5_BHRY_VBTR_BT10</v>
      </c>
      <c r="AX384" t="str">
        <f t="shared" si="234"/>
        <v>SSA_VPU_HRY_E_BEGIN_TITO_VPU_NOM_LFM_1900_TILE5_BHRY_VBTR_BT10</v>
      </c>
      <c r="AY384" t="str">
        <f t="shared" si="234"/>
        <v>SSA_VPU_HRY_E_BEGIN_TITO_VPU_NOM_LFM_1900_TILE5_BHRY_VBTR_BT10</v>
      </c>
      <c r="AZ384" t="str">
        <f t="shared" si="234"/>
        <v>SSA_VPU_HRY_E_BEGIN_TITO_VPU_NOM_LFM_1900_TILE5_BHRY_VBTR_BT10</v>
      </c>
      <c r="BA384" t="str">
        <f t="shared" si="234"/>
        <v>SSA_VPU_HRY_E_BEGIN_TITO_VPU_NOM_LFM_1900_TILE5_BHRY_VBTR_BT10</v>
      </c>
      <c r="BB384" t="str">
        <f t="shared" si="234"/>
        <v>SSA_VPU_HRY_E_BEGIN_TITO_VPU_NOM_LFM_1900_TILE5_BHRY_VBTR_BT10</v>
      </c>
      <c r="BC384" t="str">
        <f t="shared" si="234"/>
        <v>SSA_VPU_HRY_E_BEGIN_TITO_VPU_NOM_LFM_1900_TILE5_BHRY_VBTR_BT10</v>
      </c>
      <c r="BD384" t="str">
        <f t="shared" si="234"/>
        <v>SSA_VPU_HRY_E_BEGIN_TITO_VPU_NOM_LFM_1900_TILE5_BHRY_VBTR_BT10</v>
      </c>
    </row>
    <row r="385" spans="1:56" x14ac:dyDescent="0.35">
      <c r="A385" s="12" t="s">
        <v>12</v>
      </c>
      <c r="B385" s="12" t="s">
        <v>56</v>
      </c>
      <c r="C385" s="12" t="str">
        <f>VLOOKUP(B385,templateLookup!A:B,2,0)</f>
        <v>MbistRasterTC</v>
      </c>
      <c r="D385" t="str">
        <f t="shared" si="206"/>
        <v>LSA_VPU_RASTER_E_BEGIN_TITO_VPU_NOM_LFM_1900_TILE4_RASTER_VBTR_BT9</v>
      </c>
      <c r="E385" t="s">
        <v>5</v>
      </c>
      <c r="F385" t="s">
        <v>25</v>
      </c>
      <c r="G385" t="s">
        <v>289</v>
      </c>
      <c r="H385" t="s">
        <v>207</v>
      </c>
      <c r="I385" t="s">
        <v>260</v>
      </c>
      <c r="J385" t="s">
        <v>25</v>
      </c>
      <c r="K385" t="s">
        <v>284</v>
      </c>
      <c r="L385" t="s">
        <v>285</v>
      </c>
      <c r="M385">
        <v>1900</v>
      </c>
      <c r="N385" t="s">
        <v>743</v>
      </c>
      <c r="O385" t="s">
        <v>267</v>
      </c>
      <c r="P385" t="s">
        <v>268</v>
      </c>
      <c r="Q385" t="s">
        <v>291</v>
      </c>
      <c r="R385">
        <v>21</v>
      </c>
      <c r="S385">
        <v>30</v>
      </c>
      <c r="T385">
        <v>38</v>
      </c>
      <c r="U385">
        <v>1</v>
      </c>
      <c r="V385" t="b">
        <v>0</v>
      </c>
      <c r="W385" t="s">
        <v>298</v>
      </c>
      <c r="AS385">
        <f t="shared" si="205"/>
        <v>5</v>
      </c>
      <c r="AT385">
        <v>1</v>
      </c>
      <c r="AU385" t="str">
        <f t="shared" si="207"/>
        <v>SSA_VPU_HRY_E_BEGIN_TITO_VPU_NOM_LFM_1900_TILE5_BHRY_VBTR_BT10</v>
      </c>
      <c r="AV385" t="str">
        <f>$D386</f>
        <v>SSA_VPU_HRY_E_BEGIN_TITO_VPU_NOM_LFM_1900_TILE5_BHRY_VBTR_BT10</v>
      </c>
      <c r="AW385" t="str">
        <f>$D386</f>
        <v>SSA_VPU_HRY_E_BEGIN_TITO_VPU_NOM_LFM_1900_TILE5_BHRY_VBTR_BT10</v>
      </c>
      <c r="AX385" t="str">
        <f>$D386</f>
        <v>SSA_VPU_HRY_E_BEGIN_TITO_VPU_NOM_LFM_1900_TILE5_BHRY_VBTR_BT10</v>
      </c>
      <c r="AY385" t="str">
        <f>$D386</f>
        <v>SSA_VPU_HRY_E_BEGIN_TITO_VPU_NOM_LFM_1900_TILE5_BHRY_VBTR_BT10</v>
      </c>
    </row>
    <row r="386" spans="1:56" x14ac:dyDescent="0.35">
      <c r="A386" s="12" t="s">
        <v>12</v>
      </c>
      <c r="B386" s="12" t="s">
        <v>54</v>
      </c>
      <c r="C386" s="12" t="str">
        <f>VLOOKUP(B386,templateLookup!A:B,2,0)</f>
        <v>PrimeMbistVminSearchTestMethod</v>
      </c>
      <c r="D386" t="str">
        <f t="shared" si="206"/>
        <v>SSA_VPU_HRY_E_BEGIN_TITO_VPU_NOM_LFM_1900_TILE5_BHRY_VBTR_BT10</v>
      </c>
      <c r="E386" t="s">
        <v>4</v>
      </c>
      <c r="F386" t="s">
        <v>25</v>
      </c>
      <c r="G386" t="s">
        <v>271</v>
      </c>
      <c r="H386" t="s">
        <v>207</v>
      </c>
      <c r="I386" t="s">
        <v>260</v>
      </c>
      <c r="J386" t="s">
        <v>25</v>
      </c>
      <c r="K386" t="s">
        <v>284</v>
      </c>
      <c r="L386" t="s">
        <v>285</v>
      </c>
      <c r="M386">
        <v>1900</v>
      </c>
      <c r="N386" t="s">
        <v>746</v>
      </c>
      <c r="O386" t="s">
        <v>267</v>
      </c>
      <c r="P386" t="s">
        <v>268</v>
      </c>
      <c r="Q386" t="s">
        <v>747</v>
      </c>
      <c r="R386">
        <v>61</v>
      </c>
      <c r="S386">
        <v>30</v>
      </c>
      <c r="T386">
        <v>39</v>
      </c>
      <c r="U386">
        <v>-1</v>
      </c>
      <c r="V386" s="12" t="b">
        <v>0</v>
      </c>
      <c r="W386" t="s">
        <v>298</v>
      </c>
      <c r="X386" t="s">
        <v>271</v>
      </c>
      <c r="Y386" t="s">
        <v>272</v>
      </c>
      <c r="Z386">
        <v>0.85</v>
      </c>
      <c r="AA386">
        <v>0.85</v>
      </c>
      <c r="AS386">
        <f t="shared" si="205"/>
        <v>10</v>
      </c>
      <c r="AT386" t="s">
        <v>273</v>
      </c>
      <c r="AU386" t="str">
        <f t="shared" si="207"/>
        <v>SSA_VPU_HRY_E_BEGIN_TITO_VPU_NOM_LFM_1900_TILE5_BISR_VBTR_BT10</v>
      </c>
      <c r="AV386" t="str">
        <f>$D389</f>
        <v>LSA_VPU_HRY_E_BEGIN_TITO_VPU_NOM_LFM_1900_TILE5_BHRY_VBTR_BT10</v>
      </c>
      <c r="AW386" t="str">
        <f t="shared" ref="AW386:BB386" si="235">$D387</f>
        <v>SSA_VPU_HRY_E_BEGIN_TITO_VPU_NOM_LFM_1900_TILE5_BISR_VBTR_BT10</v>
      </c>
      <c r="AX386" t="str">
        <f t="shared" si="235"/>
        <v>SSA_VPU_HRY_E_BEGIN_TITO_VPU_NOM_LFM_1900_TILE5_BISR_VBTR_BT10</v>
      </c>
      <c r="AY386" t="str">
        <f t="shared" si="235"/>
        <v>SSA_VPU_HRY_E_BEGIN_TITO_VPU_NOM_LFM_1900_TILE5_BISR_VBTR_BT10</v>
      </c>
      <c r="AZ386" t="str">
        <f t="shared" si="235"/>
        <v>SSA_VPU_HRY_E_BEGIN_TITO_VPU_NOM_LFM_1900_TILE5_BISR_VBTR_BT10</v>
      </c>
      <c r="BA386" t="str">
        <f t="shared" si="235"/>
        <v>SSA_VPU_HRY_E_BEGIN_TITO_VPU_NOM_LFM_1900_TILE5_BISR_VBTR_BT10</v>
      </c>
      <c r="BB386" t="str">
        <f t="shared" si="235"/>
        <v>SSA_VPU_HRY_E_BEGIN_TITO_VPU_NOM_LFM_1900_TILE5_BISR_VBTR_BT10</v>
      </c>
      <c r="BC386" t="str">
        <f>$D389</f>
        <v>LSA_VPU_HRY_E_BEGIN_TITO_VPU_NOM_LFM_1900_TILE5_BHRY_VBTR_BT10</v>
      </c>
      <c r="BD386" t="str">
        <f>$D387</f>
        <v>SSA_VPU_HRY_E_BEGIN_TITO_VPU_NOM_LFM_1900_TILE5_BISR_VBTR_BT10</v>
      </c>
    </row>
    <row r="387" spans="1:56" x14ac:dyDescent="0.35">
      <c r="A387" s="12" t="s">
        <v>12</v>
      </c>
      <c r="B387" s="12" t="s">
        <v>54</v>
      </c>
      <c r="C387" s="12" t="str">
        <f>VLOOKUP(B387,templateLookup!A:B,2,0)</f>
        <v>PrimeMbistVminSearchTestMethod</v>
      </c>
      <c r="D387" t="str">
        <f t="shared" si="206"/>
        <v>SSA_VPU_HRY_E_BEGIN_TITO_VPU_NOM_LFM_1900_TILE5_BISR_VBTR_BT10</v>
      </c>
      <c r="E387" t="s">
        <v>4</v>
      </c>
      <c r="F387" t="s">
        <v>25</v>
      </c>
      <c r="G387" t="s">
        <v>271</v>
      </c>
      <c r="H387" t="s">
        <v>207</v>
      </c>
      <c r="I387" t="s">
        <v>260</v>
      </c>
      <c r="J387" t="s">
        <v>25</v>
      </c>
      <c r="K387" t="s">
        <v>284</v>
      </c>
      <c r="L387" t="s">
        <v>285</v>
      </c>
      <c r="M387">
        <v>1900</v>
      </c>
      <c r="N387" t="s">
        <v>748</v>
      </c>
      <c r="O387" t="s">
        <v>267</v>
      </c>
      <c r="P387" t="s">
        <v>268</v>
      </c>
      <c r="Q387" t="s">
        <v>749</v>
      </c>
      <c r="R387">
        <v>61</v>
      </c>
      <c r="S387">
        <v>30</v>
      </c>
      <c r="T387">
        <v>40</v>
      </c>
      <c r="U387">
        <v>-1</v>
      </c>
      <c r="V387" t="b">
        <v>0</v>
      </c>
      <c r="W387" t="s">
        <v>298</v>
      </c>
      <c r="X387" t="s">
        <v>401</v>
      </c>
      <c r="Y387" t="s">
        <v>272</v>
      </c>
      <c r="Z387">
        <v>0.85</v>
      </c>
      <c r="AA387">
        <v>0.85</v>
      </c>
      <c r="AS387">
        <f t="shared" si="205"/>
        <v>10</v>
      </c>
      <c r="AT387" t="s">
        <v>273</v>
      </c>
      <c r="AU387" t="str">
        <f t="shared" si="207"/>
        <v>SSA_VPU_RASTER_E_BEGIN_TITO_VPU_NOM_LFM_1900_TILE5_RASTER_VBTR_BT10</v>
      </c>
      <c r="AV387" t="str">
        <f t="shared" ref="AV387:BD387" si="236">$D389</f>
        <v>LSA_VPU_HRY_E_BEGIN_TITO_VPU_NOM_LFM_1900_TILE5_BHRY_VBTR_BT10</v>
      </c>
      <c r="AW387" t="str">
        <f t="shared" si="236"/>
        <v>LSA_VPU_HRY_E_BEGIN_TITO_VPU_NOM_LFM_1900_TILE5_BHRY_VBTR_BT10</v>
      </c>
      <c r="AX387" t="str">
        <f t="shared" si="236"/>
        <v>LSA_VPU_HRY_E_BEGIN_TITO_VPU_NOM_LFM_1900_TILE5_BHRY_VBTR_BT10</v>
      </c>
      <c r="AY387" t="str">
        <f t="shared" si="236"/>
        <v>LSA_VPU_HRY_E_BEGIN_TITO_VPU_NOM_LFM_1900_TILE5_BHRY_VBTR_BT10</v>
      </c>
      <c r="AZ387" t="str">
        <f t="shared" si="236"/>
        <v>LSA_VPU_HRY_E_BEGIN_TITO_VPU_NOM_LFM_1900_TILE5_BHRY_VBTR_BT10</v>
      </c>
      <c r="BA387" t="str">
        <f t="shared" si="236"/>
        <v>LSA_VPU_HRY_E_BEGIN_TITO_VPU_NOM_LFM_1900_TILE5_BHRY_VBTR_BT10</v>
      </c>
      <c r="BB387" t="str">
        <f t="shared" si="236"/>
        <v>LSA_VPU_HRY_E_BEGIN_TITO_VPU_NOM_LFM_1900_TILE5_BHRY_VBTR_BT10</v>
      </c>
      <c r="BC387" t="str">
        <f t="shared" si="236"/>
        <v>LSA_VPU_HRY_E_BEGIN_TITO_VPU_NOM_LFM_1900_TILE5_BHRY_VBTR_BT10</v>
      </c>
      <c r="BD387" t="str">
        <f t="shared" si="236"/>
        <v>LSA_VPU_HRY_E_BEGIN_TITO_VPU_NOM_LFM_1900_TILE5_BHRY_VBTR_BT10</v>
      </c>
    </row>
    <row r="388" spans="1:56" x14ac:dyDescent="0.35">
      <c r="A388" s="12" t="s">
        <v>12</v>
      </c>
      <c r="B388" s="12" t="s">
        <v>56</v>
      </c>
      <c r="C388" s="12" t="str">
        <f>VLOOKUP(B388,templateLookup!A:B,2,0)</f>
        <v>MbistRasterTC</v>
      </c>
      <c r="D388" t="str">
        <f t="shared" si="206"/>
        <v>SSA_VPU_RASTER_E_BEGIN_TITO_VPU_NOM_LFM_1900_TILE5_RASTER_VBTR_BT10</v>
      </c>
      <c r="E388" t="s">
        <v>4</v>
      </c>
      <c r="F388" t="s">
        <v>25</v>
      </c>
      <c r="G388" t="s">
        <v>289</v>
      </c>
      <c r="H388" t="s">
        <v>207</v>
      </c>
      <c r="I388" t="s">
        <v>260</v>
      </c>
      <c r="J388" t="s">
        <v>25</v>
      </c>
      <c r="K388" t="s">
        <v>284</v>
      </c>
      <c r="L388" t="s">
        <v>285</v>
      </c>
      <c r="M388">
        <v>1900</v>
      </c>
      <c r="N388" t="s">
        <v>750</v>
      </c>
      <c r="O388" t="s">
        <v>267</v>
      </c>
      <c r="P388" t="s">
        <v>268</v>
      </c>
      <c r="Q388" t="s">
        <v>291</v>
      </c>
      <c r="R388">
        <v>61</v>
      </c>
      <c r="S388">
        <v>30</v>
      </c>
      <c r="T388">
        <v>41</v>
      </c>
      <c r="U388">
        <v>1</v>
      </c>
      <c r="V388" t="b">
        <v>0</v>
      </c>
      <c r="W388" t="s">
        <v>298</v>
      </c>
      <c r="AS388">
        <f t="shared" si="205"/>
        <v>5</v>
      </c>
      <c r="AT388">
        <v>1</v>
      </c>
      <c r="AU388" t="str">
        <f t="shared" si="207"/>
        <v>LSA_VPU_HRY_E_BEGIN_TITO_VPU_NOM_LFM_1900_TILE5_BHRY_VBTR_BT10</v>
      </c>
      <c r="AV388" t="str">
        <f>$D389</f>
        <v>LSA_VPU_HRY_E_BEGIN_TITO_VPU_NOM_LFM_1900_TILE5_BHRY_VBTR_BT10</v>
      </c>
      <c r="AW388" t="str">
        <f>$D389</f>
        <v>LSA_VPU_HRY_E_BEGIN_TITO_VPU_NOM_LFM_1900_TILE5_BHRY_VBTR_BT10</v>
      </c>
      <c r="AX388" t="str">
        <f>$D389</f>
        <v>LSA_VPU_HRY_E_BEGIN_TITO_VPU_NOM_LFM_1900_TILE5_BHRY_VBTR_BT10</v>
      </c>
      <c r="AY388" t="str">
        <f>$D389</f>
        <v>LSA_VPU_HRY_E_BEGIN_TITO_VPU_NOM_LFM_1900_TILE5_BHRY_VBTR_BT10</v>
      </c>
    </row>
    <row r="389" spans="1:56" x14ac:dyDescent="0.35">
      <c r="A389" s="12" t="s">
        <v>12</v>
      </c>
      <c r="B389" s="12" t="s">
        <v>54</v>
      </c>
      <c r="C389" s="12" t="str">
        <f>VLOOKUP(B389,templateLookup!A:B,2,0)</f>
        <v>PrimeMbistVminSearchTestMethod</v>
      </c>
      <c r="D389" t="str">
        <f t="shared" si="206"/>
        <v>LSA_VPU_HRY_E_BEGIN_TITO_VPU_NOM_LFM_1900_TILE5_BHRY_VBTR_BT10</v>
      </c>
      <c r="E389" t="s">
        <v>5</v>
      </c>
      <c r="F389" t="s">
        <v>25</v>
      </c>
      <c r="G389" t="s">
        <v>271</v>
      </c>
      <c r="H389" t="s">
        <v>207</v>
      </c>
      <c r="I389" t="s">
        <v>260</v>
      </c>
      <c r="J389" t="s">
        <v>25</v>
      </c>
      <c r="K389" t="s">
        <v>284</v>
      </c>
      <c r="L389" t="s">
        <v>285</v>
      </c>
      <c r="M389">
        <v>1900</v>
      </c>
      <c r="N389" t="s">
        <v>746</v>
      </c>
      <c r="O389" t="s">
        <v>267</v>
      </c>
      <c r="P389" t="s">
        <v>268</v>
      </c>
      <c r="Q389" t="s">
        <v>751</v>
      </c>
      <c r="R389">
        <v>21</v>
      </c>
      <c r="S389">
        <v>30</v>
      </c>
      <c r="T389">
        <v>42</v>
      </c>
      <c r="U389">
        <v>-1</v>
      </c>
      <c r="V389" t="b">
        <v>0</v>
      </c>
      <c r="W389" t="s">
        <v>298</v>
      </c>
      <c r="X389" t="s">
        <v>271</v>
      </c>
      <c r="Y389" t="s">
        <v>272</v>
      </c>
      <c r="Z389">
        <v>0.85</v>
      </c>
      <c r="AA389">
        <v>0.85</v>
      </c>
      <c r="AS389">
        <f t="shared" si="205"/>
        <v>10</v>
      </c>
      <c r="AT389" t="s">
        <v>273</v>
      </c>
      <c r="AU389" t="str">
        <f t="shared" si="207"/>
        <v>LSA_VPU_HRY_E_BEGIN_TITO_VPU_NOM_LFM_1900_TILE5_BISR_VBTR_BT10</v>
      </c>
      <c r="AV389">
        <v>1</v>
      </c>
      <c r="AW389" t="str">
        <f t="shared" ref="AW389:BB389" si="237">$D390</f>
        <v>LSA_VPU_HRY_E_BEGIN_TITO_VPU_NOM_LFM_1900_TILE5_BISR_VBTR_BT10</v>
      </c>
      <c r="AX389" t="str">
        <f t="shared" si="237"/>
        <v>LSA_VPU_HRY_E_BEGIN_TITO_VPU_NOM_LFM_1900_TILE5_BISR_VBTR_BT10</v>
      </c>
      <c r="AY389" t="str">
        <f t="shared" si="237"/>
        <v>LSA_VPU_HRY_E_BEGIN_TITO_VPU_NOM_LFM_1900_TILE5_BISR_VBTR_BT10</v>
      </c>
      <c r="AZ389" t="str">
        <f t="shared" si="237"/>
        <v>LSA_VPU_HRY_E_BEGIN_TITO_VPU_NOM_LFM_1900_TILE5_BISR_VBTR_BT10</v>
      </c>
      <c r="BA389" t="str">
        <f t="shared" si="237"/>
        <v>LSA_VPU_HRY_E_BEGIN_TITO_VPU_NOM_LFM_1900_TILE5_BISR_VBTR_BT10</v>
      </c>
      <c r="BB389" t="str">
        <f t="shared" si="237"/>
        <v>LSA_VPU_HRY_E_BEGIN_TITO_VPU_NOM_LFM_1900_TILE5_BISR_VBTR_BT10</v>
      </c>
      <c r="BC389">
        <v>1</v>
      </c>
      <c r="BD389" t="str">
        <f>$D390</f>
        <v>LSA_VPU_HRY_E_BEGIN_TITO_VPU_NOM_LFM_1900_TILE5_BISR_VBTR_BT10</v>
      </c>
    </row>
    <row r="390" spans="1:56" x14ac:dyDescent="0.35">
      <c r="A390" s="12" t="s">
        <v>12</v>
      </c>
      <c r="B390" s="12" t="s">
        <v>54</v>
      </c>
      <c r="C390" s="12" t="str">
        <f>VLOOKUP(B390,templateLookup!A:B,2,0)</f>
        <v>PrimeMbistVminSearchTestMethod</v>
      </c>
      <c r="D390" t="str">
        <f t="shared" si="206"/>
        <v>LSA_VPU_HRY_E_BEGIN_TITO_VPU_NOM_LFM_1900_TILE5_BISR_VBTR_BT10</v>
      </c>
      <c r="E390" t="s">
        <v>5</v>
      </c>
      <c r="F390" t="s">
        <v>25</v>
      </c>
      <c r="G390" t="s">
        <v>271</v>
      </c>
      <c r="H390" t="s">
        <v>207</v>
      </c>
      <c r="I390" t="s">
        <v>260</v>
      </c>
      <c r="J390" t="s">
        <v>25</v>
      </c>
      <c r="K390" t="s">
        <v>284</v>
      </c>
      <c r="L390" t="s">
        <v>285</v>
      </c>
      <c r="M390">
        <v>1900</v>
      </c>
      <c r="N390" t="s">
        <v>748</v>
      </c>
      <c r="O390" t="s">
        <v>267</v>
      </c>
      <c r="P390" t="s">
        <v>268</v>
      </c>
      <c r="Q390" t="s">
        <v>752</v>
      </c>
      <c r="R390">
        <v>21</v>
      </c>
      <c r="S390">
        <v>30</v>
      </c>
      <c r="T390">
        <v>43</v>
      </c>
      <c r="U390">
        <v>-1</v>
      </c>
      <c r="V390" t="b">
        <v>0</v>
      </c>
      <c r="W390" t="s">
        <v>298</v>
      </c>
      <c r="X390" t="s">
        <v>401</v>
      </c>
      <c r="Y390" t="s">
        <v>272</v>
      </c>
      <c r="Z390">
        <v>0.85</v>
      </c>
      <c r="AA390">
        <v>0.85</v>
      </c>
      <c r="AS390">
        <f t="shared" si="205"/>
        <v>10</v>
      </c>
      <c r="AT390" t="s">
        <v>273</v>
      </c>
      <c r="AU390" t="str">
        <f t="shared" si="207"/>
        <v>LSA_VPU_RASTER_E_BEGIN_TITO_VPU_NOM_LFM_1900_TILE5_RASTER_VBTR_BT10</v>
      </c>
      <c r="AV390">
        <v>1</v>
      </c>
      <c r="AW390">
        <v>1</v>
      </c>
      <c r="AX390">
        <v>1</v>
      </c>
      <c r="AY390">
        <v>1</v>
      </c>
      <c r="AZ390">
        <v>1</v>
      </c>
      <c r="BA390">
        <v>1</v>
      </c>
      <c r="BB390">
        <v>1</v>
      </c>
      <c r="BC390">
        <v>1</v>
      </c>
      <c r="BD390">
        <v>1</v>
      </c>
    </row>
    <row r="391" spans="1:56" x14ac:dyDescent="0.35">
      <c r="A391" s="12" t="s">
        <v>12</v>
      </c>
      <c r="B391" s="12" t="s">
        <v>56</v>
      </c>
      <c r="C391" s="12" t="str">
        <f>VLOOKUP(B391,templateLookup!A:B,2,0)</f>
        <v>MbistRasterTC</v>
      </c>
      <c r="D391" t="str">
        <f t="shared" si="206"/>
        <v>LSA_VPU_RASTER_E_BEGIN_TITO_VPU_NOM_LFM_1900_TILE5_RASTER_VBTR_BT10</v>
      </c>
      <c r="E391" t="s">
        <v>5</v>
      </c>
      <c r="F391" t="s">
        <v>25</v>
      </c>
      <c r="G391" t="s">
        <v>289</v>
      </c>
      <c r="H391" t="s">
        <v>207</v>
      </c>
      <c r="I391" t="s">
        <v>260</v>
      </c>
      <c r="J391" t="s">
        <v>25</v>
      </c>
      <c r="K391" t="s">
        <v>284</v>
      </c>
      <c r="L391" t="s">
        <v>285</v>
      </c>
      <c r="M391">
        <v>1900</v>
      </c>
      <c r="N391" t="s">
        <v>750</v>
      </c>
      <c r="O391" t="s">
        <v>267</v>
      </c>
      <c r="P391" t="s">
        <v>268</v>
      </c>
      <c r="Q391" t="s">
        <v>291</v>
      </c>
      <c r="R391">
        <v>21</v>
      </c>
      <c r="S391">
        <v>30</v>
      </c>
      <c r="T391">
        <v>44</v>
      </c>
      <c r="U391">
        <v>1</v>
      </c>
      <c r="V391" t="b">
        <v>0</v>
      </c>
      <c r="W391" t="s">
        <v>298</v>
      </c>
      <c r="AS391">
        <f t="shared" si="205"/>
        <v>5</v>
      </c>
      <c r="AT391">
        <v>1</v>
      </c>
      <c r="AU391">
        <v>1</v>
      </c>
      <c r="AV391">
        <v>1</v>
      </c>
      <c r="AW391">
        <v>1</v>
      </c>
      <c r="AX391">
        <v>1</v>
      </c>
      <c r="AY391">
        <v>1</v>
      </c>
    </row>
    <row r="392" spans="1:56" x14ac:dyDescent="0.35">
      <c r="A392" s="40" t="s">
        <v>12</v>
      </c>
      <c r="B392" s="40" t="s">
        <v>50</v>
      </c>
      <c r="C392" s="40" t="str">
        <f>VLOOKUP(B392,templateLookup!A:B,2,0)</f>
        <v>COMPOSITE</v>
      </c>
      <c r="D392" s="10" t="s">
        <v>753</v>
      </c>
      <c r="V392" s="12"/>
    </row>
    <row r="393" spans="1:56" x14ac:dyDescent="0.35">
      <c r="A393" s="40" t="s">
        <v>12</v>
      </c>
      <c r="B393" s="40" t="s">
        <v>49</v>
      </c>
      <c r="C393" s="40" t="str">
        <f>VLOOKUP(B393,templateLookup!A:B,2,0)</f>
        <v>COMPOSITE</v>
      </c>
      <c r="D393" s="10" t="s">
        <v>754</v>
      </c>
      <c r="F393" t="s">
        <v>30</v>
      </c>
      <c r="V393" s="12"/>
      <c r="AS393">
        <f>COUNTA(AU393:BD393)</f>
        <v>3</v>
      </c>
      <c r="AT393" t="s">
        <v>218</v>
      </c>
      <c r="AU393" t="str">
        <f>$D399</f>
        <v>VPU_POST_REPAIR</v>
      </c>
      <c r="AV393" t="str">
        <f>$D399</f>
        <v>VPU_POST_REPAIR</v>
      </c>
      <c r="AW393">
        <v>1</v>
      </c>
    </row>
    <row r="394" spans="1:56" x14ac:dyDescent="0.35">
      <c r="A394" s="12" t="s">
        <v>12</v>
      </c>
      <c r="B394" s="12" t="s">
        <v>97</v>
      </c>
      <c r="C394" s="12" t="str">
        <f>VLOOKUP(B394,templateLookup!A:B,2,0)</f>
        <v>iCScreenTest</v>
      </c>
      <c r="D394" t="str">
        <f>E394&amp;"_"&amp;F394&amp;"_"&amp;G394&amp;"_"&amp;H394&amp;"_"&amp;A394&amp;"_"&amp;I394&amp;"_"&amp;J394&amp;"_"&amp;K394&amp;"_"&amp;L394&amp;"_"&amp;M394&amp;"_"&amp;N394</f>
        <v>ALL_COMMON_SCREEN_E_BEGIN_TITO_VPU_NOM_LFM_1900_JOIN_BISR</v>
      </c>
      <c r="E394" t="s">
        <v>7</v>
      </c>
      <c r="F394" t="s">
        <v>30</v>
      </c>
      <c r="G394" t="s">
        <v>206</v>
      </c>
      <c r="H394" t="s">
        <v>207</v>
      </c>
      <c r="I394" t="s">
        <v>260</v>
      </c>
      <c r="J394" t="s">
        <v>25</v>
      </c>
      <c r="K394" t="s">
        <v>284</v>
      </c>
      <c r="L394" t="s">
        <v>285</v>
      </c>
      <c r="M394">
        <v>1900</v>
      </c>
      <c r="N394" t="s">
        <v>348</v>
      </c>
      <c r="O394" t="s">
        <v>267</v>
      </c>
      <c r="P394" t="s">
        <v>268</v>
      </c>
      <c r="Q394" t="s">
        <v>444</v>
      </c>
      <c r="R394">
        <v>61</v>
      </c>
      <c r="S394">
        <v>30</v>
      </c>
      <c r="T394">
        <v>50</v>
      </c>
      <c r="U394">
        <v>-1</v>
      </c>
      <c r="V394" t="b">
        <v>0</v>
      </c>
      <c r="AD394" t="s">
        <v>755</v>
      </c>
      <c r="AE394" t="s">
        <v>756</v>
      </c>
      <c r="AS394">
        <f>COUNTA(AU394:BD394)</f>
        <v>3</v>
      </c>
      <c r="AT394">
        <v>1</v>
      </c>
      <c r="AU394" t="str">
        <f>$D395</f>
        <v>XSA_VPU_VFDM_E_BEGIN_TITO_VPU_NOM_LFM_1900_ALL</v>
      </c>
      <c r="AV394" t="str">
        <f>$D395</f>
        <v>XSA_VPU_VFDM_E_BEGIN_TITO_VPU_NOM_LFM_1900_ALL</v>
      </c>
      <c r="AW394" t="str">
        <f>$D395</f>
        <v>XSA_VPU_VFDM_E_BEGIN_TITO_VPU_NOM_LFM_1900_ALL</v>
      </c>
    </row>
    <row r="395" spans="1:56" x14ac:dyDescent="0.35">
      <c r="A395" s="12" t="s">
        <v>12</v>
      </c>
      <c r="B395" s="12" t="s">
        <v>87</v>
      </c>
      <c r="C395" s="12" t="str">
        <f>VLOOKUP(B395,templateLookup!A:B,2,0)</f>
        <v>iCVFDMTest</v>
      </c>
      <c r="D395" t="str">
        <f>E395&amp;"_"&amp;F395&amp;"_"&amp;G395&amp;"_"&amp;H395&amp;"_"&amp;A395&amp;"_"&amp;I395&amp;"_"&amp;J395&amp;"_"&amp;K395&amp;"_"&amp;L395&amp;"_"&amp;M395&amp;"_"&amp;N395</f>
        <v>XSA_VPU_VFDM_E_BEGIN_TITO_VPU_NOM_LFM_1900_ALL</v>
      </c>
      <c r="E395" t="s">
        <v>205</v>
      </c>
      <c r="F395" t="s">
        <v>25</v>
      </c>
      <c r="G395" t="s">
        <v>178</v>
      </c>
      <c r="H395" t="s">
        <v>207</v>
      </c>
      <c r="I395" t="s">
        <v>260</v>
      </c>
      <c r="J395" t="s">
        <v>25</v>
      </c>
      <c r="K395" t="s">
        <v>284</v>
      </c>
      <c r="L395" t="s">
        <v>285</v>
      </c>
      <c r="M395">
        <v>1900</v>
      </c>
      <c r="N395" t="s">
        <v>7</v>
      </c>
      <c r="O395" t="s">
        <v>267</v>
      </c>
      <c r="P395" t="s">
        <v>268</v>
      </c>
      <c r="Q395" t="s">
        <v>444</v>
      </c>
      <c r="R395">
        <v>61</v>
      </c>
      <c r="S395">
        <v>30</v>
      </c>
      <c r="T395">
        <v>51</v>
      </c>
      <c r="U395">
        <v>-1</v>
      </c>
      <c r="V395" t="b">
        <v>0</v>
      </c>
      <c r="AF395" t="s">
        <v>250</v>
      </c>
      <c r="AG395" t="s">
        <v>249</v>
      </c>
      <c r="AS395">
        <f>COUNTA(AU395:BD395)</f>
        <v>3</v>
      </c>
      <c r="AT395" t="s">
        <v>218</v>
      </c>
      <c r="AU395" t="str">
        <f>$D396</f>
        <v>XSA_VPU_UF_E_BEGIN_TITO_VPU_NOM_LFM_1900_VFDM_UF</v>
      </c>
      <c r="AV395" t="str">
        <f>$D396</f>
        <v>XSA_VPU_UF_E_BEGIN_TITO_VPU_NOM_LFM_1900_VFDM_UF</v>
      </c>
      <c r="AW395">
        <v>2</v>
      </c>
    </row>
    <row r="396" spans="1:56" x14ac:dyDescent="0.35">
      <c r="A396" s="12" t="s">
        <v>12</v>
      </c>
      <c r="B396" s="12" t="s">
        <v>85</v>
      </c>
      <c r="C396" s="12" t="str">
        <f>VLOOKUP(B396,templateLookup!A:B,2,0)</f>
        <v>iCUserFuncTest</v>
      </c>
      <c r="D396" t="str">
        <f>E396&amp;"_"&amp;F396&amp;"_"&amp;G396&amp;"_"&amp;H396&amp;"_"&amp;A396&amp;"_"&amp;I396&amp;"_"&amp;J396&amp;"_"&amp;K396&amp;"_"&amp;L396&amp;"_"&amp;M396&amp;"_"&amp;N396</f>
        <v>XSA_VPU_UF_E_BEGIN_TITO_VPU_NOM_LFM_1900_VFDM_UF</v>
      </c>
      <c r="E396" t="s">
        <v>205</v>
      </c>
      <c r="F396" t="s">
        <v>25</v>
      </c>
      <c r="G396" t="s">
        <v>353</v>
      </c>
      <c r="H396" t="s">
        <v>207</v>
      </c>
      <c r="I396" t="s">
        <v>260</v>
      </c>
      <c r="J396" t="s">
        <v>25</v>
      </c>
      <c r="K396" t="s">
        <v>284</v>
      </c>
      <c r="L396" t="s">
        <v>285</v>
      </c>
      <c r="M396">
        <v>1900</v>
      </c>
      <c r="N396" t="s">
        <v>354</v>
      </c>
      <c r="O396" t="s">
        <v>267</v>
      </c>
      <c r="P396" t="s">
        <v>268</v>
      </c>
      <c r="Q396" t="s">
        <v>444</v>
      </c>
      <c r="R396">
        <v>21</v>
      </c>
      <c r="S396">
        <v>30</v>
      </c>
      <c r="T396">
        <v>52</v>
      </c>
      <c r="U396">
        <v>-1</v>
      </c>
      <c r="V396" t="b">
        <v>0</v>
      </c>
      <c r="AJ396" t="s">
        <v>356</v>
      </c>
      <c r="AS396">
        <f>COUNTA(AU396:BD396)</f>
        <v>3</v>
      </c>
      <c r="AT396" t="s">
        <v>218</v>
      </c>
      <c r="AU396" t="str">
        <f>$D397</f>
        <v>XSA_VPU_FUSECONFIG_E_BEGIN_TITO_VPU_NOM_LFM_1900_REPAIR</v>
      </c>
      <c r="AV396" t="str">
        <f>$D397</f>
        <v>XSA_VPU_FUSECONFIG_E_BEGIN_TITO_VPU_NOM_LFM_1900_REPAIR</v>
      </c>
      <c r="AW396" t="str">
        <f>$D397</f>
        <v>XSA_VPU_FUSECONFIG_E_BEGIN_TITO_VPU_NOM_LFM_1900_REPAIR</v>
      </c>
    </row>
    <row r="397" spans="1:56" x14ac:dyDescent="0.35">
      <c r="A397" s="12" t="s">
        <v>12</v>
      </c>
      <c r="B397" s="12" t="s">
        <v>59</v>
      </c>
      <c r="C397" s="12" t="str">
        <f>VLOOKUP(B397,templateLookup!A:B,2,0)</f>
        <v>PrimePatConfigTestMethod</v>
      </c>
      <c r="D397" t="str">
        <f>E397&amp;"_"&amp;F397&amp;"_"&amp;G397&amp;"_"&amp;H397&amp;"_"&amp;A397&amp;"_"&amp;I397&amp;"_"&amp;J397&amp;"_"&amp;K397&amp;"_"&amp;L397&amp;"_"&amp;M397&amp;"_"&amp;N397</f>
        <v>XSA_VPU_FUSECONFIG_E_BEGIN_TITO_VPU_NOM_LFM_1900_REPAIR</v>
      </c>
      <c r="E397" t="s">
        <v>205</v>
      </c>
      <c r="F397" t="s">
        <v>25</v>
      </c>
      <c r="G397" t="s">
        <v>259</v>
      </c>
      <c r="H397" t="s">
        <v>207</v>
      </c>
      <c r="I397" t="s">
        <v>260</v>
      </c>
      <c r="J397" t="s">
        <v>25</v>
      </c>
      <c r="K397" t="s">
        <v>284</v>
      </c>
      <c r="L397" t="s">
        <v>285</v>
      </c>
      <c r="M397">
        <v>1900</v>
      </c>
      <c r="N397" t="s">
        <v>261</v>
      </c>
      <c r="O397" t="s">
        <v>267</v>
      </c>
      <c r="P397" t="s">
        <v>268</v>
      </c>
      <c r="Q397" t="s">
        <v>444</v>
      </c>
      <c r="R397">
        <v>21</v>
      </c>
      <c r="S397">
        <v>30</v>
      </c>
      <c r="T397">
        <v>53</v>
      </c>
      <c r="U397">
        <v>-1</v>
      </c>
      <c r="V397" t="b">
        <v>0</v>
      </c>
      <c r="AH397" t="s">
        <v>358</v>
      </c>
      <c r="AI397" s="13" t="s">
        <v>757</v>
      </c>
      <c r="AS397">
        <f>COUNTA(AU397:BD397)</f>
        <v>3</v>
      </c>
      <c r="AT397">
        <v>1</v>
      </c>
      <c r="AU397">
        <v>1</v>
      </c>
      <c r="AV397">
        <v>1</v>
      </c>
      <c r="AW397">
        <v>1</v>
      </c>
    </row>
    <row r="398" spans="1:56" x14ac:dyDescent="0.35">
      <c r="A398" s="40" t="s">
        <v>12</v>
      </c>
      <c r="B398" s="40" t="s">
        <v>50</v>
      </c>
      <c r="C398" s="40" t="str">
        <f>VLOOKUP(B398,templateLookup!A:B,2,0)</f>
        <v>COMPOSITE</v>
      </c>
      <c r="D398" s="10" t="s">
        <v>758</v>
      </c>
      <c r="V398" s="12"/>
    </row>
    <row r="399" spans="1:56" x14ac:dyDescent="0.35">
      <c r="A399" s="40" t="s">
        <v>12</v>
      </c>
      <c r="B399" s="40" t="s">
        <v>49</v>
      </c>
      <c r="C399" s="40" t="str">
        <f>VLOOKUP(B399,templateLookup!A:B,2,0)</f>
        <v>COMPOSITE</v>
      </c>
      <c r="D399" s="10" t="s">
        <v>759</v>
      </c>
      <c r="F399" t="s">
        <v>30</v>
      </c>
      <c r="V399" s="12"/>
      <c r="AS399">
        <f t="shared" ref="AS399:AS414" si="238">COUNTA(AU399:BD399)</f>
        <v>2</v>
      </c>
      <c r="AT399">
        <v>1</v>
      </c>
      <c r="AU399">
        <v>1</v>
      </c>
      <c r="AV399">
        <v>1</v>
      </c>
    </row>
    <row r="400" spans="1:56" x14ac:dyDescent="0.35">
      <c r="A400" s="12" t="s">
        <v>12</v>
      </c>
      <c r="B400" s="12" t="s">
        <v>55</v>
      </c>
      <c r="C400" s="12" t="str">
        <f>VLOOKUP(B400,templateLookup!A:B,2,0)</f>
        <v>PrimeMbistVminSearchTestMethod</v>
      </c>
      <c r="D400" t="str">
        <f t="shared" ref="D400:D414" si="239">E400&amp;"_"&amp;F400&amp;"_"&amp;G400&amp;"_"&amp;H400&amp;"_"&amp;A400&amp;"_"&amp;I400&amp;"_"&amp;J400&amp;"_"&amp;K400&amp;"_"&amp;L400&amp;"_"&amp;M400&amp;"_"&amp;N400</f>
        <v>LSA_VPU_HRY_E_BEGIN_TITO_VPU_NOM_LFM_1900_POSTHRY_BUTTRESS_VBTR_BT3</v>
      </c>
      <c r="E400" t="s">
        <v>5</v>
      </c>
      <c r="F400" t="s">
        <v>25</v>
      </c>
      <c r="G400" t="s">
        <v>271</v>
      </c>
      <c r="H400" t="s">
        <v>207</v>
      </c>
      <c r="I400" t="s">
        <v>260</v>
      </c>
      <c r="J400" t="s">
        <v>25</v>
      </c>
      <c r="K400" t="s">
        <v>284</v>
      </c>
      <c r="L400" t="s">
        <v>285</v>
      </c>
      <c r="M400">
        <v>1900</v>
      </c>
      <c r="N400" t="s">
        <v>760</v>
      </c>
      <c r="O400" t="s">
        <v>267</v>
      </c>
      <c r="P400" t="s">
        <v>268</v>
      </c>
      <c r="Q400" t="s">
        <v>699</v>
      </c>
      <c r="R400">
        <v>21</v>
      </c>
      <c r="S400">
        <v>30</v>
      </c>
      <c r="T400">
        <v>60</v>
      </c>
      <c r="U400">
        <v>-1</v>
      </c>
      <c r="V400" t="b">
        <v>0</v>
      </c>
      <c r="W400" t="s">
        <v>298</v>
      </c>
      <c r="X400" t="s">
        <v>363</v>
      </c>
      <c r="Y400" t="s">
        <v>272</v>
      </c>
      <c r="Z400">
        <v>0.85</v>
      </c>
      <c r="AA400">
        <v>0.85</v>
      </c>
      <c r="AS400">
        <f t="shared" si="238"/>
        <v>10</v>
      </c>
      <c r="AT400" t="s">
        <v>273</v>
      </c>
      <c r="AU400" t="str">
        <f t="shared" ref="AU400:BD413" si="240">$D401</f>
        <v>SSA_VPU_HRY_E_BEGIN_TITO_VPU_NOM_LFM_1900_POSTHRY_SPINE_VBTR_BT4</v>
      </c>
      <c r="AV400" t="str">
        <f t="shared" si="240"/>
        <v>SSA_VPU_HRY_E_BEGIN_TITO_VPU_NOM_LFM_1900_POSTHRY_SPINE_VBTR_BT4</v>
      </c>
      <c r="AW400" t="str">
        <f t="shared" si="240"/>
        <v>SSA_VPU_HRY_E_BEGIN_TITO_VPU_NOM_LFM_1900_POSTHRY_SPINE_VBTR_BT4</v>
      </c>
      <c r="AX400" t="str">
        <f t="shared" si="240"/>
        <v>SSA_VPU_HRY_E_BEGIN_TITO_VPU_NOM_LFM_1900_POSTHRY_SPINE_VBTR_BT4</v>
      </c>
      <c r="AY400" t="str">
        <f t="shared" si="240"/>
        <v>SSA_VPU_HRY_E_BEGIN_TITO_VPU_NOM_LFM_1900_POSTHRY_SPINE_VBTR_BT4</v>
      </c>
      <c r="AZ400" t="str">
        <f t="shared" si="240"/>
        <v>SSA_VPU_HRY_E_BEGIN_TITO_VPU_NOM_LFM_1900_POSTHRY_SPINE_VBTR_BT4</v>
      </c>
      <c r="BA400" t="str">
        <f t="shared" si="240"/>
        <v>SSA_VPU_HRY_E_BEGIN_TITO_VPU_NOM_LFM_1900_POSTHRY_SPINE_VBTR_BT4</v>
      </c>
      <c r="BB400" t="str">
        <f t="shared" si="240"/>
        <v>SSA_VPU_HRY_E_BEGIN_TITO_VPU_NOM_LFM_1900_POSTHRY_SPINE_VBTR_BT4</v>
      </c>
      <c r="BC400" t="str">
        <f t="shared" si="240"/>
        <v>SSA_VPU_HRY_E_BEGIN_TITO_VPU_NOM_LFM_1900_POSTHRY_SPINE_VBTR_BT4</v>
      </c>
      <c r="BD400" t="str">
        <f t="shared" si="240"/>
        <v>SSA_VPU_HRY_E_BEGIN_TITO_VPU_NOM_LFM_1900_POSTHRY_SPINE_VBTR_BT4</v>
      </c>
    </row>
    <row r="401" spans="1:56" x14ac:dyDescent="0.35">
      <c r="A401" s="12" t="s">
        <v>12</v>
      </c>
      <c r="B401" s="12" t="s">
        <v>55</v>
      </c>
      <c r="C401" s="12" t="str">
        <f>VLOOKUP(B401,templateLookup!A:B,2,0)</f>
        <v>PrimeMbistVminSearchTestMethod</v>
      </c>
      <c r="D401" t="str">
        <f t="shared" si="239"/>
        <v>SSA_VPU_HRY_E_BEGIN_TITO_VPU_NOM_LFM_1900_POSTHRY_SPINE_VBTR_BT4</v>
      </c>
      <c r="E401" t="s">
        <v>4</v>
      </c>
      <c r="F401" t="s">
        <v>25</v>
      </c>
      <c r="G401" t="s">
        <v>271</v>
      </c>
      <c r="H401" t="s">
        <v>207</v>
      </c>
      <c r="I401" t="s">
        <v>260</v>
      </c>
      <c r="J401" t="s">
        <v>25</v>
      </c>
      <c r="K401" t="s">
        <v>284</v>
      </c>
      <c r="L401" t="s">
        <v>285</v>
      </c>
      <c r="M401">
        <v>1900</v>
      </c>
      <c r="N401" t="s">
        <v>761</v>
      </c>
      <c r="O401" t="s">
        <v>267</v>
      </c>
      <c r="P401" t="s">
        <v>268</v>
      </c>
      <c r="Q401" t="s">
        <v>704</v>
      </c>
      <c r="R401">
        <v>61</v>
      </c>
      <c r="S401">
        <v>30</v>
      </c>
      <c r="T401">
        <v>61</v>
      </c>
      <c r="U401">
        <v>-1</v>
      </c>
      <c r="V401" t="b">
        <v>0</v>
      </c>
      <c r="W401" t="s">
        <v>298</v>
      </c>
      <c r="X401" t="s">
        <v>363</v>
      </c>
      <c r="Y401" t="s">
        <v>272</v>
      </c>
      <c r="Z401">
        <v>0.85</v>
      </c>
      <c r="AA401">
        <v>0.85</v>
      </c>
      <c r="AS401">
        <f t="shared" si="238"/>
        <v>10</v>
      </c>
      <c r="AT401" t="s">
        <v>273</v>
      </c>
      <c r="AU401" t="str">
        <f t="shared" si="240"/>
        <v>LSA_VPU_HRY_E_BEGIN_TITO_VPU_NOM_LFM_1900_POSTHRY_SPINE_VBTR_BT4</v>
      </c>
      <c r="AV401" t="str">
        <f t="shared" si="240"/>
        <v>LSA_VPU_HRY_E_BEGIN_TITO_VPU_NOM_LFM_1900_POSTHRY_SPINE_VBTR_BT4</v>
      </c>
      <c r="AW401" t="str">
        <f t="shared" si="240"/>
        <v>LSA_VPU_HRY_E_BEGIN_TITO_VPU_NOM_LFM_1900_POSTHRY_SPINE_VBTR_BT4</v>
      </c>
      <c r="AX401" t="str">
        <f t="shared" si="240"/>
        <v>LSA_VPU_HRY_E_BEGIN_TITO_VPU_NOM_LFM_1900_POSTHRY_SPINE_VBTR_BT4</v>
      </c>
      <c r="AY401" t="str">
        <f t="shared" si="240"/>
        <v>LSA_VPU_HRY_E_BEGIN_TITO_VPU_NOM_LFM_1900_POSTHRY_SPINE_VBTR_BT4</v>
      </c>
      <c r="AZ401" t="str">
        <f t="shared" si="240"/>
        <v>LSA_VPU_HRY_E_BEGIN_TITO_VPU_NOM_LFM_1900_POSTHRY_SPINE_VBTR_BT4</v>
      </c>
      <c r="BA401" t="str">
        <f t="shared" si="240"/>
        <v>LSA_VPU_HRY_E_BEGIN_TITO_VPU_NOM_LFM_1900_POSTHRY_SPINE_VBTR_BT4</v>
      </c>
      <c r="BB401" t="str">
        <f t="shared" si="240"/>
        <v>LSA_VPU_HRY_E_BEGIN_TITO_VPU_NOM_LFM_1900_POSTHRY_SPINE_VBTR_BT4</v>
      </c>
      <c r="BC401" t="str">
        <f t="shared" si="240"/>
        <v>LSA_VPU_HRY_E_BEGIN_TITO_VPU_NOM_LFM_1900_POSTHRY_SPINE_VBTR_BT4</v>
      </c>
      <c r="BD401" t="str">
        <f t="shared" si="240"/>
        <v>LSA_VPU_HRY_E_BEGIN_TITO_VPU_NOM_LFM_1900_POSTHRY_SPINE_VBTR_BT4</v>
      </c>
    </row>
    <row r="402" spans="1:56" x14ac:dyDescent="0.35">
      <c r="A402" s="12" t="s">
        <v>12</v>
      </c>
      <c r="B402" s="12" t="s">
        <v>55</v>
      </c>
      <c r="C402" s="12" t="str">
        <f>VLOOKUP(B402,templateLookup!A:B,2,0)</f>
        <v>PrimeMbistVminSearchTestMethod</v>
      </c>
      <c r="D402" t="str">
        <f t="shared" si="239"/>
        <v>LSA_VPU_HRY_E_BEGIN_TITO_VPU_NOM_LFM_1900_POSTHRY_SPINE_VBTR_BT4</v>
      </c>
      <c r="E402" t="s">
        <v>5</v>
      </c>
      <c r="F402" t="s">
        <v>25</v>
      </c>
      <c r="G402" t="s">
        <v>271</v>
      </c>
      <c r="H402" t="s">
        <v>207</v>
      </c>
      <c r="I402" t="s">
        <v>260</v>
      </c>
      <c r="J402" t="s">
        <v>25</v>
      </c>
      <c r="K402" t="s">
        <v>284</v>
      </c>
      <c r="L402" t="s">
        <v>285</v>
      </c>
      <c r="M402">
        <v>1900</v>
      </c>
      <c r="N402" t="s">
        <v>761</v>
      </c>
      <c r="O402" t="s">
        <v>267</v>
      </c>
      <c r="P402" t="s">
        <v>268</v>
      </c>
      <c r="Q402" t="s">
        <v>708</v>
      </c>
      <c r="R402">
        <v>21</v>
      </c>
      <c r="S402">
        <v>30</v>
      </c>
      <c r="T402">
        <v>62</v>
      </c>
      <c r="U402">
        <v>-1</v>
      </c>
      <c r="V402" t="b">
        <v>0</v>
      </c>
      <c r="W402" t="s">
        <v>298</v>
      </c>
      <c r="X402" t="s">
        <v>363</v>
      </c>
      <c r="Y402" t="s">
        <v>272</v>
      </c>
      <c r="Z402">
        <v>0.85</v>
      </c>
      <c r="AA402">
        <v>0.85</v>
      </c>
      <c r="AS402">
        <f t="shared" si="238"/>
        <v>10</v>
      </c>
      <c r="AT402" t="s">
        <v>273</v>
      </c>
      <c r="AU402" t="str">
        <f t="shared" si="240"/>
        <v>SSA_VPU_HRY_E_BEGIN_TITO_VPU_NOM_LFM_1900_POSTHRY_TILE0_VBTR_BT5</v>
      </c>
      <c r="AV402" t="str">
        <f t="shared" si="240"/>
        <v>SSA_VPU_HRY_E_BEGIN_TITO_VPU_NOM_LFM_1900_POSTHRY_TILE0_VBTR_BT5</v>
      </c>
      <c r="AW402" t="str">
        <f t="shared" si="240"/>
        <v>SSA_VPU_HRY_E_BEGIN_TITO_VPU_NOM_LFM_1900_POSTHRY_TILE0_VBTR_BT5</v>
      </c>
      <c r="AX402" t="str">
        <f t="shared" si="240"/>
        <v>SSA_VPU_HRY_E_BEGIN_TITO_VPU_NOM_LFM_1900_POSTHRY_TILE0_VBTR_BT5</v>
      </c>
      <c r="AY402" t="str">
        <f t="shared" si="240"/>
        <v>SSA_VPU_HRY_E_BEGIN_TITO_VPU_NOM_LFM_1900_POSTHRY_TILE0_VBTR_BT5</v>
      </c>
      <c r="AZ402" t="str">
        <f t="shared" si="240"/>
        <v>SSA_VPU_HRY_E_BEGIN_TITO_VPU_NOM_LFM_1900_POSTHRY_TILE0_VBTR_BT5</v>
      </c>
      <c r="BA402" t="str">
        <f t="shared" si="240"/>
        <v>SSA_VPU_HRY_E_BEGIN_TITO_VPU_NOM_LFM_1900_POSTHRY_TILE0_VBTR_BT5</v>
      </c>
      <c r="BB402" t="str">
        <f t="shared" si="240"/>
        <v>SSA_VPU_HRY_E_BEGIN_TITO_VPU_NOM_LFM_1900_POSTHRY_TILE0_VBTR_BT5</v>
      </c>
      <c r="BC402" t="str">
        <f t="shared" si="240"/>
        <v>SSA_VPU_HRY_E_BEGIN_TITO_VPU_NOM_LFM_1900_POSTHRY_TILE0_VBTR_BT5</v>
      </c>
      <c r="BD402" t="str">
        <f t="shared" si="240"/>
        <v>SSA_VPU_HRY_E_BEGIN_TITO_VPU_NOM_LFM_1900_POSTHRY_TILE0_VBTR_BT5</v>
      </c>
    </row>
    <row r="403" spans="1:56" x14ac:dyDescent="0.35">
      <c r="A403" s="12" t="s">
        <v>12</v>
      </c>
      <c r="B403" s="12" t="s">
        <v>55</v>
      </c>
      <c r="C403" s="12" t="str">
        <f>VLOOKUP(B403,templateLookup!A:B,2,0)</f>
        <v>PrimeMbistVminSearchTestMethod</v>
      </c>
      <c r="D403" t="str">
        <f t="shared" si="239"/>
        <v>SSA_VPU_HRY_E_BEGIN_TITO_VPU_NOM_LFM_1900_POSTHRY_TILE0_VBTR_BT5</v>
      </c>
      <c r="E403" t="s">
        <v>4</v>
      </c>
      <c r="F403" t="s">
        <v>25</v>
      </c>
      <c r="G403" t="s">
        <v>271</v>
      </c>
      <c r="H403" t="s">
        <v>207</v>
      </c>
      <c r="I403" t="s">
        <v>260</v>
      </c>
      <c r="J403" t="s">
        <v>25</v>
      </c>
      <c r="K403" t="s">
        <v>284</v>
      </c>
      <c r="L403" t="s">
        <v>285</v>
      </c>
      <c r="M403">
        <v>1900</v>
      </c>
      <c r="N403" t="s">
        <v>762</v>
      </c>
      <c r="O403" t="s">
        <v>267</v>
      </c>
      <c r="P403" t="s">
        <v>268</v>
      </c>
      <c r="Q403" t="s">
        <v>712</v>
      </c>
      <c r="R403">
        <v>61</v>
      </c>
      <c r="S403">
        <v>30</v>
      </c>
      <c r="T403">
        <v>63</v>
      </c>
      <c r="U403">
        <v>-1</v>
      </c>
      <c r="V403" t="b">
        <v>0</v>
      </c>
      <c r="W403" t="s">
        <v>298</v>
      </c>
      <c r="X403" t="s">
        <v>363</v>
      </c>
      <c r="Y403" t="s">
        <v>272</v>
      </c>
      <c r="Z403">
        <v>0.85</v>
      </c>
      <c r="AA403">
        <v>0.85</v>
      </c>
      <c r="AS403">
        <f t="shared" si="238"/>
        <v>10</v>
      </c>
      <c r="AT403" t="s">
        <v>273</v>
      </c>
      <c r="AU403" t="str">
        <f t="shared" si="240"/>
        <v>LSA_VPU_HRY_E_BEGIN_TITO_VPU_NOM_LFM_1900_POSTHRY_TILE0_VBTR_BT5</v>
      </c>
      <c r="AV403" t="str">
        <f t="shared" si="240"/>
        <v>LSA_VPU_HRY_E_BEGIN_TITO_VPU_NOM_LFM_1900_POSTHRY_TILE0_VBTR_BT5</v>
      </c>
      <c r="AW403" t="str">
        <f t="shared" si="240"/>
        <v>LSA_VPU_HRY_E_BEGIN_TITO_VPU_NOM_LFM_1900_POSTHRY_TILE0_VBTR_BT5</v>
      </c>
      <c r="AX403" t="str">
        <f t="shared" si="240"/>
        <v>LSA_VPU_HRY_E_BEGIN_TITO_VPU_NOM_LFM_1900_POSTHRY_TILE0_VBTR_BT5</v>
      </c>
      <c r="AY403" t="str">
        <f t="shared" si="240"/>
        <v>LSA_VPU_HRY_E_BEGIN_TITO_VPU_NOM_LFM_1900_POSTHRY_TILE0_VBTR_BT5</v>
      </c>
      <c r="AZ403" t="str">
        <f t="shared" si="240"/>
        <v>LSA_VPU_HRY_E_BEGIN_TITO_VPU_NOM_LFM_1900_POSTHRY_TILE0_VBTR_BT5</v>
      </c>
      <c r="BA403" t="str">
        <f t="shared" si="240"/>
        <v>LSA_VPU_HRY_E_BEGIN_TITO_VPU_NOM_LFM_1900_POSTHRY_TILE0_VBTR_BT5</v>
      </c>
      <c r="BB403" t="str">
        <f t="shared" si="240"/>
        <v>LSA_VPU_HRY_E_BEGIN_TITO_VPU_NOM_LFM_1900_POSTHRY_TILE0_VBTR_BT5</v>
      </c>
      <c r="BC403" t="str">
        <f t="shared" si="240"/>
        <v>LSA_VPU_HRY_E_BEGIN_TITO_VPU_NOM_LFM_1900_POSTHRY_TILE0_VBTR_BT5</v>
      </c>
      <c r="BD403" t="str">
        <f t="shared" si="240"/>
        <v>LSA_VPU_HRY_E_BEGIN_TITO_VPU_NOM_LFM_1900_POSTHRY_TILE0_VBTR_BT5</v>
      </c>
    </row>
    <row r="404" spans="1:56" x14ac:dyDescent="0.35">
      <c r="A404" s="12" t="s">
        <v>12</v>
      </c>
      <c r="B404" s="12" t="s">
        <v>55</v>
      </c>
      <c r="C404" s="12" t="str">
        <f>VLOOKUP(B404,templateLookup!A:B,2,0)</f>
        <v>PrimeMbistVminSearchTestMethod</v>
      </c>
      <c r="D404" t="str">
        <f t="shared" si="239"/>
        <v>LSA_VPU_HRY_E_BEGIN_TITO_VPU_NOM_LFM_1900_POSTHRY_TILE0_VBTR_BT5</v>
      </c>
      <c r="E404" t="s">
        <v>5</v>
      </c>
      <c r="F404" t="s">
        <v>25</v>
      </c>
      <c r="G404" t="s">
        <v>271</v>
      </c>
      <c r="H404" t="s">
        <v>207</v>
      </c>
      <c r="I404" t="s">
        <v>260</v>
      </c>
      <c r="J404" t="s">
        <v>25</v>
      </c>
      <c r="K404" t="s">
        <v>284</v>
      </c>
      <c r="L404" t="s">
        <v>285</v>
      </c>
      <c r="M404">
        <v>1900</v>
      </c>
      <c r="N404" t="s">
        <v>762</v>
      </c>
      <c r="O404" t="s">
        <v>267</v>
      </c>
      <c r="P404" t="s">
        <v>268</v>
      </c>
      <c r="Q404" t="s">
        <v>716</v>
      </c>
      <c r="R404">
        <v>21</v>
      </c>
      <c r="S404">
        <v>30</v>
      </c>
      <c r="T404">
        <v>64</v>
      </c>
      <c r="U404">
        <v>-1</v>
      </c>
      <c r="V404" t="b">
        <v>0</v>
      </c>
      <c r="W404" t="s">
        <v>298</v>
      </c>
      <c r="X404" t="s">
        <v>363</v>
      </c>
      <c r="Y404" t="s">
        <v>272</v>
      </c>
      <c r="Z404">
        <v>0.85</v>
      </c>
      <c r="AA404">
        <v>0.85</v>
      </c>
      <c r="AS404">
        <f t="shared" si="238"/>
        <v>10</v>
      </c>
      <c r="AT404" t="s">
        <v>273</v>
      </c>
      <c r="AU404" t="str">
        <f t="shared" si="240"/>
        <v>SSA_VPU_HRY_E_BEGIN_TITO_VPU_NOM_LFM_1900_POSTHRY_TILE1_VBTR_BT6</v>
      </c>
      <c r="AV404" t="str">
        <f t="shared" si="240"/>
        <v>SSA_VPU_HRY_E_BEGIN_TITO_VPU_NOM_LFM_1900_POSTHRY_TILE1_VBTR_BT6</v>
      </c>
      <c r="AW404" t="str">
        <f t="shared" si="240"/>
        <v>SSA_VPU_HRY_E_BEGIN_TITO_VPU_NOM_LFM_1900_POSTHRY_TILE1_VBTR_BT6</v>
      </c>
      <c r="AX404" t="str">
        <f t="shared" si="240"/>
        <v>SSA_VPU_HRY_E_BEGIN_TITO_VPU_NOM_LFM_1900_POSTHRY_TILE1_VBTR_BT6</v>
      </c>
      <c r="AY404" t="str">
        <f t="shared" si="240"/>
        <v>SSA_VPU_HRY_E_BEGIN_TITO_VPU_NOM_LFM_1900_POSTHRY_TILE1_VBTR_BT6</v>
      </c>
      <c r="AZ404" t="str">
        <f t="shared" si="240"/>
        <v>SSA_VPU_HRY_E_BEGIN_TITO_VPU_NOM_LFM_1900_POSTHRY_TILE1_VBTR_BT6</v>
      </c>
      <c r="BA404" t="str">
        <f t="shared" si="240"/>
        <v>SSA_VPU_HRY_E_BEGIN_TITO_VPU_NOM_LFM_1900_POSTHRY_TILE1_VBTR_BT6</v>
      </c>
      <c r="BB404" t="str">
        <f t="shared" si="240"/>
        <v>SSA_VPU_HRY_E_BEGIN_TITO_VPU_NOM_LFM_1900_POSTHRY_TILE1_VBTR_BT6</v>
      </c>
      <c r="BC404" t="str">
        <f t="shared" si="240"/>
        <v>SSA_VPU_HRY_E_BEGIN_TITO_VPU_NOM_LFM_1900_POSTHRY_TILE1_VBTR_BT6</v>
      </c>
      <c r="BD404" t="str">
        <f t="shared" si="240"/>
        <v>SSA_VPU_HRY_E_BEGIN_TITO_VPU_NOM_LFM_1900_POSTHRY_TILE1_VBTR_BT6</v>
      </c>
    </row>
    <row r="405" spans="1:56" x14ac:dyDescent="0.35">
      <c r="A405" s="12" t="s">
        <v>12</v>
      </c>
      <c r="B405" s="12" t="s">
        <v>55</v>
      </c>
      <c r="C405" s="12" t="str">
        <f>VLOOKUP(B405,templateLookup!A:B,2,0)</f>
        <v>PrimeMbistVminSearchTestMethod</v>
      </c>
      <c r="D405" t="str">
        <f t="shared" si="239"/>
        <v>SSA_VPU_HRY_E_BEGIN_TITO_VPU_NOM_LFM_1900_POSTHRY_TILE1_VBTR_BT6</v>
      </c>
      <c r="E405" t="s">
        <v>4</v>
      </c>
      <c r="F405" t="s">
        <v>25</v>
      </c>
      <c r="G405" t="s">
        <v>271</v>
      </c>
      <c r="H405" t="s">
        <v>207</v>
      </c>
      <c r="I405" t="s">
        <v>260</v>
      </c>
      <c r="J405" t="s">
        <v>25</v>
      </c>
      <c r="K405" t="s">
        <v>284</v>
      </c>
      <c r="L405" t="s">
        <v>285</v>
      </c>
      <c r="M405">
        <v>1900</v>
      </c>
      <c r="N405" t="s">
        <v>763</v>
      </c>
      <c r="O405" t="s">
        <v>267</v>
      </c>
      <c r="P405" t="s">
        <v>268</v>
      </c>
      <c r="Q405" t="s">
        <v>719</v>
      </c>
      <c r="R405">
        <v>61</v>
      </c>
      <c r="S405">
        <v>30</v>
      </c>
      <c r="T405">
        <v>65</v>
      </c>
      <c r="U405">
        <v>-1</v>
      </c>
      <c r="V405" t="b">
        <v>0</v>
      </c>
      <c r="W405" t="s">
        <v>298</v>
      </c>
      <c r="X405" t="s">
        <v>363</v>
      </c>
      <c r="Y405" t="s">
        <v>272</v>
      </c>
      <c r="Z405">
        <v>0.85</v>
      </c>
      <c r="AA405">
        <v>0.85</v>
      </c>
      <c r="AS405">
        <f t="shared" si="238"/>
        <v>10</v>
      </c>
      <c r="AT405" t="s">
        <v>273</v>
      </c>
      <c r="AU405" t="str">
        <f t="shared" si="240"/>
        <v>LSA_VPU_HRY_E_BEGIN_TITO_VPU_NOM_LFM_1900_POSTHRY_TILE1_VBTR_BT6</v>
      </c>
      <c r="AV405" t="str">
        <f t="shared" si="240"/>
        <v>LSA_VPU_HRY_E_BEGIN_TITO_VPU_NOM_LFM_1900_POSTHRY_TILE1_VBTR_BT6</v>
      </c>
      <c r="AW405" t="str">
        <f t="shared" si="240"/>
        <v>LSA_VPU_HRY_E_BEGIN_TITO_VPU_NOM_LFM_1900_POSTHRY_TILE1_VBTR_BT6</v>
      </c>
      <c r="AX405" t="str">
        <f t="shared" si="240"/>
        <v>LSA_VPU_HRY_E_BEGIN_TITO_VPU_NOM_LFM_1900_POSTHRY_TILE1_VBTR_BT6</v>
      </c>
      <c r="AY405" t="str">
        <f t="shared" si="240"/>
        <v>LSA_VPU_HRY_E_BEGIN_TITO_VPU_NOM_LFM_1900_POSTHRY_TILE1_VBTR_BT6</v>
      </c>
      <c r="AZ405" t="str">
        <f t="shared" si="240"/>
        <v>LSA_VPU_HRY_E_BEGIN_TITO_VPU_NOM_LFM_1900_POSTHRY_TILE1_VBTR_BT6</v>
      </c>
      <c r="BA405" t="str">
        <f t="shared" si="240"/>
        <v>LSA_VPU_HRY_E_BEGIN_TITO_VPU_NOM_LFM_1900_POSTHRY_TILE1_VBTR_BT6</v>
      </c>
      <c r="BB405" t="str">
        <f t="shared" si="240"/>
        <v>LSA_VPU_HRY_E_BEGIN_TITO_VPU_NOM_LFM_1900_POSTHRY_TILE1_VBTR_BT6</v>
      </c>
      <c r="BC405" t="str">
        <f t="shared" si="240"/>
        <v>LSA_VPU_HRY_E_BEGIN_TITO_VPU_NOM_LFM_1900_POSTHRY_TILE1_VBTR_BT6</v>
      </c>
      <c r="BD405" t="str">
        <f t="shared" si="240"/>
        <v>LSA_VPU_HRY_E_BEGIN_TITO_VPU_NOM_LFM_1900_POSTHRY_TILE1_VBTR_BT6</v>
      </c>
    </row>
    <row r="406" spans="1:56" x14ac:dyDescent="0.35">
      <c r="A406" s="12" t="s">
        <v>12</v>
      </c>
      <c r="B406" s="12" t="s">
        <v>55</v>
      </c>
      <c r="C406" s="12" t="str">
        <f>VLOOKUP(B406,templateLookup!A:B,2,0)</f>
        <v>PrimeMbistVminSearchTestMethod</v>
      </c>
      <c r="D406" t="str">
        <f t="shared" si="239"/>
        <v>LSA_VPU_HRY_E_BEGIN_TITO_VPU_NOM_LFM_1900_POSTHRY_TILE1_VBTR_BT6</v>
      </c>
      <c r="E406" t="s">
        <v>5</v>
      </c>
      <c r="F406" t="s">
        <v>25</v>
      </c>
      <c r="G406" t="s">
        <v>271</v>
      </c>
      <c r="H406" t="s">
        <v>207</v>
      </c>
      <c r="I406" t="s">
        <v>260</v>
      </c>
      <c r="J406" t="s">
        <v>25</v>
      </c>
      <c r="K406" t="s">
        <v>284</v>
      </c>
      <c r="L406" t="s">
        <v>285</v>
      </c>
      <c r="M406">
        <v>1900</v>
      </c>
      <c r="N406" t="s">
        <v>763</v>
      </c>
      <c r="O406" t="s">
        <v>267</v>
      </c>
      <c r="P406" t="s">
        <v>268</v>
      </c>
      <c r="Q406" t="s">
        <v>723</v>
      </c>
      <c r="R406">
        <v>21</v>
      </c>
      <c r="S406">
        <v>30</v>
      </c>
      <c r="T406">
        <v>66</v>
      </c>
      <c r="U406">
        <v>-1</v>
      </c>
      <c r="V406" t="b">
        <v>0</v>
      </c>
      <c r="W406" t="s">
        <v>298</v>
      </c>
      <c r="X406" t="s">
        <v>363</v>
      </c>
      <c r="Y406" t="s">
        <v>272</v>
      </c>
      <c r="Z406">
        <v>0.85</v>
      </c>
      <c r="AA406">
        <v>0.85</v>
      </c>
      <c r="AS406">
        <f t="shared" si="238"/>
        <v>10</v>
      </c>
      <c r="AT406" t="s">
        <v>273</v>
      </c>
      <c r="AU406" t="str">
        <f t="shared" si="240"/>
        <v>SSA_VPU_HRY_E_BEGIN_TITO_VPU_NOM_LFM_1900_POSTHRY_TILE2_VBTR_BT7</v>
      </c>
      <c r="AV406" t="str">
        <f t="shared" si="240"/>
        <v>SSA_VPU_HRY_E_BEGIN_TITO_VPU_NOM_LFM_1900_POSTHRY_TILE2_VBTR_BT7</v>
      </c>
      <c r="AW406" t="str">
        <f t="shared" si="240"/>
        <v>SSA_VPU_HRY_E_BEGIN_TITO_VPU_NOM_LFM_1900_POSTHRY_TILE2_VBTR_BT7</v>
      </c>
      <c r="AX406" t="str">
        <f t="shared" si="240"/>
        <v>SSA_VPU_HRY_E_BEGIN_TITO_VPU_NOM_LFM_1900_POSTHRY_TILE2_VBTR_BT7</v>
      </c>
      <c r="AY406" t="str">
        <f t="shared" si="240"/>
        <v>SSA_VPU_HRY_E_BEGIN_TITO_VPU_NOM_LFM_1900_POSTHRY_TILE2_VBTR_BT7</v>
      </c>
      <c r="AZ406" t="str">
        <f t="shared" si="240"/>
        <v>SSA_VPU_HRY_E_BEGIN_TITO_VPU_NOM_LFM_1900_POSTHRY_TILE2_VBTR_BT7</v>
      </c>
      <c r="BA406" t="str">
        <f t="shared" si="240"/>
        <v>SSA_VPU_HRY_E_BEGIN_TITO_VPU_NOM_LFM_1900_POSTHRY_TILE2_VBTR_BT7</v>
      </c>
      <c r="BB406" t="str">
        <f t="shared" si="240"/>
        <v>SSA_VPU_HRY_E_BEGIN_TITO_VPU_NOM_LFM_1900_POSTHRY_TILE2_VBTR_BT7</v>
      </c>
      <c r="BC406" t="str">
        <f t="shared" si="240"/>
        <v>SSA_VPU_HRY_E_BEGIN_TITO_VPU_NOM_LFM_1900_POSTHRY_TILE2_VBTR_BT7</v>
      </c>
      <c r="BD406" t="str">
        <f t="shared" si="240"/>
        <v>SSA_VPU_HRY_E_BEGIN_TITO_VPU_NOM_LFM_1900_POSTHRY_TILE2_VBTR_BT7</v>
      </c>
    </row>
    <row r="407" spans="1:56" x14ac:dyDescent="0.35">
      <c r="A407" s="12" t="s">
        <v>12</v>
      </c>
      <c r="B407" s="12" t="s">
        <v>55</v>
      </c>
      <c r="C407" s="12" t="str">
        <f>VLOOKUP(B407,templateLookup!A:B,2,0)</f>
        <v>PrimeMbistVminSearchTestMethod</v>
      </c>
      <c r="D407" t="str">
        <f t="shared" si="239"/>
        <v>SSA_VPU_HRY_E_BEGIN_TITO_VPU_NOM_LFM_1900_POSTHRY_TILE2_VBTR_BT7</v>
      </c>
      <c r="E407" t="s">
        <v>4</v>
      </c>
      <c r="F407" t="s">
        <v>25</v>
      </c>
      <c r="G407" t="s">
        <v>271</v>
      </c>
      <c r="H407" t="s">
        <v>207</v>
      </c>
      <c r="I407" t="s">
        <v>260</v>
      </c>
      <c r="J407" t="s">
        <v>25</v>
      </c>
      <c r="K407" t="s">
        <v>284</v>
      </c>
      <c r="L407" t="s">
        <v>285</v>
      </c>
      <c r="M407">
        <v>1900</v>
      </c>
      <c r="N407" t="s">
        <v>764</v>
      </c>
      <c r="O407" t="s">
        <v>267</v>
      </c>
      <c r="P407" t="s">
        <v>268</v>
      </c>
      <c r="Q407" t="s">
        <v>726</v>
      </c>
      <c r="R407">
        <v>61</v>
      </c>
      <c r="S407">
        <v>30</v>
      </c>
      <c r="T407">
        <v>67</v>
      </c>
      <c r="U407">
        <v>-1</v>
      </c>
      <c r="V407" t="b">
        <v>0</v>
      </c>
      <c r="W407" t="s">
        <v>298</v>
      </c>
      <c r="X407" t="s">
        <v>363</v>
      </c>
      <c r="Y407" t="s">
        <v>272</v>
      </c>
      <c r="Z407">
        <v>0.85</v>
      </c>
      <c r="AA407">
        <v>0.85</v>
      </c>
      <c r="AS407">
        <f t="shared" si="238"/>
        <v>10</v>
      </c>
      <c r="AT407" t="s">
        <v>273</v>
      </c>
      <c r="AU407" t="str">
        <f t="shared" si="240"/>
        <v>LSA_VPU_HRY_E_BEGIN_TITO_VPU_NOM_LFM_1900_POSTHRY_TILE2_VBTR_BT7</v>
      </c>
      <c r="AV407" t="str">
        <f t="shared" si="240"/>
        <v>LSA_VPU_HRY_E_BEGIN_TITO_VPU_NOM_LFM_1900_POSTHRY_TILE2_VBTR_BT7</v>
      </c>
      <c r="AW407" t="str">
        <f t="shared" si="240"/>
        <v>LSA_VPU_HRY_E_BEGIN_TITO_VPU_NOM_LFM_1900_POSTHRY_TILE2_VBTR_BT7</v>
      </c>
      <c r="AX407" t="str">
        <f t="shared" si="240"/>
        <v>LSA_VPU_HRY_E_BEGIN_TITO_VPU_NOM_LFM_1900_POSTHRY_TILE2_VBTR_BT7</v>
      </c>
      <c r="AY407" t="str">
        <f t="shared" si="240"/>
        <v>LSA_VPU_HRY_E_BEGIN_TITO_VPU_NOM_LFM_1900_POSTHRY_TILE2_VBTR_BT7</v>
      </c>
      <c r="AZ407" t="str">
        <f t="shared" si="240"/>
        <v>LSA_VPU_HRY_E_BEGIN_TITO_VPU_NOM_LFM_1900_POSTHRY_TILE2_VBTR_BT7</v>
      </c>
      <c r="BA407" t="str">
        <f t="shared" si="240"/>
        <v>LSA_VPU_HRY_E_BEGIN_TITO_VPU_NOM_LFM_1900_POSTHRY_TILE2_VBTR_BT7</v>
      </c>
      <c r="BB407" t="str">
        <f t="shared" si="240"/>
        <v>LSA_VPU_HRY_E_BEGIN_TITO_VPU_NOM_LFM_1900_POSTHRY_TILE2_VBTR_BT7</v>
      </c>
      <c r="BC407" t="str">
        <f t="shared" si="240"/>
        <v>LSA_VPU_HRY_E_BEGIN_TITO_VPU_NOM_LFM_1900_POSTHRY_TILE2_VBTR_BT7</v>
      </c>
      <c r="BD407" t="str">
        <f t="shared" si="240"/>
        <v>LSA_VPU_HRY_E_BEGIN_TITO_VPU_NOM_LFM_1900_POSTHRY_TILE2_VBTR_BT7</v>
      </c>
    </row>
    <row r="408" spans="1:56" x14ac:dyDescent="0.35">
      <c r="A408" s="12" t="s">
        <v>12</v>
      </c>
      <c r="B408" s="12" t="s">
        <v>55</v>
      </c>
      <c r="C408" s="12" t="str">
        <f>VLOOKUP(B408,templateLookup!A:B,2,0)</f>
        <v>PrimeMbistVminSearchTestMethod</v>
      </c>
      <c r="D408" t="str">
        <f t="shared" si="239"/>
        <v>LSA_VPU_HRY_E_BEGIN_TITO_VPU_NOM_LFM_1900_POSTHRY_TILE2_VBTR_BT7</v>
      </c>
      <c r="E408" t="s">
        <v>5</v>
      </c>
      <c r="F408" t="s">
        <v>25</v>
      </c>
      <c r="G408" t="s">
        <v>271</v>
      </c>
      <c r="H408" t="s">
        <v>207</v>
      </c>
      <c r="I408" t="s">
        <v>260</v>
      </c>
      <c r="J408" t="s">
        <v>25</v>
      </c>
      <c r="K408" t="s">
        <v>284</v>
      </c>
      <c r="L408" t="s">
        <v>285</v>
      </c>
      <c r="M408">
        <v>1900</v>
      </c>
      <c r="N408" t="s">
        <v>764</v>
      </c>
      <c r="O408" t="s">
        <v>267</v>
      </c>
      <c r="P408" t="s">
        <v>268</v>
      </c>
      <c r="Q408" t="s">
        <v>730</v>
      </c>
      <c r="R408">
        <v>21</v>
      </c>
      <c r="S408">
        <v>30</v>
      </c>
      <c r="T408">
        <v>68</v>
      </c>
      <c r="U408">
        <v>-1</v>
      </c>
      <c r="V408" t="b">
        <v>0</v>
      </c>
      <c r="W408" t="s">
        <v>298</v>
      </c>
      <c r="X408" t="s">
        <v>363</v>
      </c>
      <c r="Y408" t="s">
        <v>272</v>
      </c>
      <c r="Z408">
        <v>0.85</v>
      </c>
      <c r="AA408">
        <v>0.85</v>
      </c>
      <c r="AS408">
        <f t="shared" si="238"/>
        <v>10</v>
      </c>
      <c r="AT408" t="s">
        <v>273</v>
      </c>
      <c r="AU408" t="str">
        <f t="shared" si="240"/>
        <v>SSA_VPU_HRY_E_BEGIN_TITO_VPU_NOM_LFM_1900_POSTHRY_TILE3_VBTR_BT8</v>
      </c>
      <c r="AV408" t="str">
        <f t="shared" si="240"/>
        <v>SSA_VPU_HRY_E_BEGIN_TITO_VPU_NOM_LFM_1900_POSTHRY_TILE3_VBTR_BT8</v>
      </c>
      <c r="AW408" t="str">
        <f t="shared" si="240"/>
        <v>SSA_VPU_HRY_E_BEGIN_TITO_VPU_NOM_LFM_1900_POSTHRY_TILE3_VBTR_BT8</v>
      </c>
      <c r="AX408" t="str">
        <f t="shared" si="240"/>
        <v>SSA_VPU_HRY_E_BEGIN_TITO_VPU_NOM_LFM_1900_POSTHRY_TILE3_VBTR_BT8</v>
      </c>
      <c r="AY408" t="str">
        <f t="shared" si="240"/>
        <v>SSA_VPU_HRY_E_BEGIN_TITO_VPU_NOM_LFM_1900_POSTHRY_TILE3_VBTR_BT8</v>
      </c>
      <c r="AZ408" t="str">
        <f t="shared" si="240"/>
        <v>SSA_VPU_HRY_E_BEGIN_TITO_VPU_NOM_LFM_1900_POSTHRY_TILE3_VBTR_BT8</v>
      </c>
      <c r="BA408" t="str">
        <f t="shared" si="240"/>
        <v>SSA_VPU_HRY_E_BEGIN_TITO_VPU_NOM_LFM_1900_POSTHRY_TILE3_VBTR_BT8</v>
      </c>
      <c r="BB408" t="str">
        <f t="shared" si="240"/>
        <v>SSA_VPU_HRY_E_BEGIN_TITO_VPU_NOM_LFM_1900_POSTHRY_TILE3_VBTR_BT8</v>
      </c>
      <c r="BC408" t="str">
        <f t="shared" si="240"/>
        <v>SSA_VPU_HRY_E_BEGIN_TITO_VPU_NOM_LFM_1900_POSTHRY_TILE3_VBTR_BT8</v>
      </c>
      <c r="BD408" t="str">
        <f t="shared" si="240"/>
        <v>SSA_VPU_HRY_E_BEGIN_TITO_VPU_NOM_LFM_1900_POSTHRY_TILE3_VBTR_BT8</v>
      </c>
    </row>
    <row r="409" spans="1:56" x14ac:dyDescent="0.35">
      <c r="A409" s="12" t="s">
        <v>12</v>
      </c>
      <c r="B409" s="12" t="s">
        <v>55</v>
      </c>
      <c r="C409" s="12" t="str">
        <f>VLOOKUP(B409,templateLookup!A:B,2,0)</f>
        <v>PrimeMbistVminSearchTestMethod</v>
      </c>
      <c r="D409" t="str">
        <f t="shared" si="239"/>
        <v>SSA_VPU_HRY_E_BEGIN_TITO_VPU_NOM_LFM_1900_POSTHRY_TILE3_VBTR_BT8</v>
      </c>
      <c r="E409" t="s">
        <v>4</v>
      </c>
      <c r="F409" t="s">
        <v>25</v>
      </c>
      <c r="G409" t="s">
        <v>271</v>
      </c>
      <c r="H409" t="s">
        <v>207</v>
      </c>
      <c r="I409" t="s">
        <v>260</v>
      </c>
      <c r="J409" t="s">
        <v>25</v>
      </c>
      <c r="K409" t="s">
        <v>284</v>
      </c>
      <c r="L409" t="s">
        <v>285</v>
      </c>
      <c r="M409">
        <v>1900</v>
      </c>
      <c r="N409" t="s">
        <v>765</v>
      </c>
      <c r="O409" t="s">
        <v>267</v>
      </c>
      <c r="P409" t="s">
        <v>268</v>
      </c>
      <c r="Q409" t="s">
        <v>733</v>
      </c>
      <c r="R409">
        <v>61</v>
      </c>
      <c r="S409">
        <v>30</v>
      </c>
      <c r="T409">
        <v>69</v>
      </c>
      <c r="U409">
        <v>-1</v>
      </c>
      <c r="V409" t="b">
        <v>0</v>
      </c>
      <c r="W409" t="s">
        <v>298</v>
      </c>
      <c r="X409" t="s">
        <v>363</v>
      </c>
      <c r="Y409" t="s">
        <v>272</v>
      </c>
      <c r="Z409">
        <v>0.85</v>
      </c>
      <c r="AA409">
        <v>0.85</v>
      </c>
      <c r="AS409">
        <f t="shared" si="238"/>
        <v>10</v>
      </c>
      <c r="AT409" t="s">
        <v>273</v>
      </c>
      <c r="AU409" t="str">
        <f t="shared" si="240"/>
        <v>LSA_VPU_HRY_E_BEGIN_TITO_VPU_NOM_LFM_1900_POSTHRY_TILE3_VBTR_BT8</v>
      </c>
      <c r="AV409" t="str">
        <f t="shared" si="240"/>
        <v>LSA_VPU_HRY_E_BEGIN_TITO_VPU_NOM_LFM_1900_POSTHRY_TILE3_VBTR_BT8</v>
      </c>
      <c r="AW409" t="str">
        <f t="shared" si="240"/>
        <v>LSA_VPU_HRY_E_BEGIN_TITO_VPU_NOM_LFM_1900_POSTHRY_TILE3_VBTR_BT8</v>
      </c>
      <c r="AX409" t="str">
        <f t="shared" si="240"/>
        <v>LSA_VPU_HRY_E_BEGIN_TITO_VPU_NOM_LFM_1900_POSTHRY_TILE3_VBTR_BT8</v>
      </c>
      <c r="AY409" t="str">
        <f t="shared" si="240"/>
        <v>LSA_VPU_HRY_E_BEGIN_TITO_VPU_NOM_LFM_1900_POSTHRY_TILE3_VBTR_BT8</v>
      </c>
      <c r="AZ409" t="str">
        <f t="shared" si="240"/>
        <v>LSA_VPU_HRY_E_BEGIN_TITO_VPU_NOM_LFM_1900_POSTHRY_TILE3_VBTR_BT8</v>
      </c>
      <c r="BA409" t="str">
        <f t="shared" si="240"/>
        <v>LSA_VPU_HRY_E_BEGIN_TITO_VPU_NOM_LFM_1900_POSTHRY_TILE3_VBTR_BT8</v>
      </c>
      <c r="BB409" t="str">
        <f t="shared" si="240"/>
        <v>LSA_VPU_HRY_E_BEGIN_TITO_VPU_NOM_LFM_1900_POSTHRY_TILE3_VBTR_BT8</v>
      </c>
      <c r="BC409" t="str">
        <f t="shared" si="240"/>
        <v>LSA_VPU_HRY_E_BEGIN_TITO_VPU_NOM_LFM_1900_POSTHRY_TILE3_VBTR_BT8</v>
      </c>
      <c r="BD409" t="str">
        <f t="shared" si="240"/>
        <v>LSA_VPU_HRY_E_BEGIN_TITO_VPU_NOM_LFM_1900_POSTHRY_TILE3_VBTR_BT8</v>
      </c>
    </row>
    <row r="410" spans="1:56" x14ac:dyDescent="0.35">
      <c r="A410" s="12" t="s">
        <v>12</v>
      </c>
      <c r="B410" s="12" t="s">
        <v>55</v>
      </c>
      <c r="C410" s="12" t="str">
        <f>VLOOKUP(B410,templateLookup!A:B,2,0)</f>
        <v>PrimeMbistVminSearchTestMethod</v>
      </c>
      <c r="D410" t="str">
        <f t="shared" si="239"/>
        <v>LSA_VPU_HRY_E_BEGIN_TITO_VPU_NOM_LFM_1900_POSTHRY_TILE3_VBTR_BT8</v>
      </c>
      <c r="E410" t="s">
        <v>5</v>
      </c>
      <c r="F410" t="s">
        <v>25</v>
      </c>
      <c r="G410" t="s">
        <v>271</v>
      </c>
      <c r="H410" t="s">
        <v>207</v>
      </c>
      <c r="I410" t="s">
        <v>260</v>
      </c>
      <c r="J410" t="s">
        <v>25</v>
      </c>
      <c r="K410" t="s">
        <v>284</v>
      </c>
      <c r="L410" t="s">
        <v>285</v>
      </c>
      <c r="M410">
        <v>1900</v>
      </c>
      <c r="N410" t="s">
        <v>765</v>
      </c>
      <c r="O410" t="s">
        <v>267</v>
      </c>
      <c r="P410" t="s">
        <v>268</v>
      </c>
      <c r="Q410" t="s">
        <v>737</v>
      </c>
      <c r="R410">
        <v>21</v>
      </c>
      <c r="S410">
        <v>30</v>
      </c>
      <c r="T410">
        <v>70</v>
      </c>
      <c r="U410">
        <v>-1</v>
      </c>
      <c r="V410" t="b">
        <v>0</v>
      </c>
      <c r="W410" t="s">
        <v>298</v>
      </c>
      <c r="X410" t="s">
        <v>363</v>
      </c>
      <c r="Y410" t="s">
        <v>272</v>
      </c>
      <c r="Z410">
        <v>0.85</v>
      </c>
      <c r="AA410">
        <v>0.85</v>
      </c>
      <c r="AS410">
        <f t="shared" si="238"/>
        <v>10</v>
      </c>
      <c r="AT410" t="s">
        <v>273</v>
      </c>
      <c r="AU410" t="str">
        <f t="shared" si="240"/>
        <v>SSA_VPU_HRY_E_BEGIN_TITO_VPU_NOM_LFM_1900_POSTHRY_TILE4_VBTR_BT9</v>
      </c>
      <c r="AV410" t="str">
        <f t="shared" si="240"/>
        <v>SSA_VPU_HRY_E_BEGIN_TITO_VPU_NOM_LFM_1900_POSTHRY_TILE4_VBTR_BT9</v>
      </c>
      <c r="AW410" t="str">
        <f t="shared" si="240"/>
        <v>SSA_VPU_HRY_E_BEGIN_TITO_VPU_NOM_LFM_1900_POSTHRY_TILE4_VBTR_BT9</v>
      </c>
      <c r="AX410" t="str">
        <f t="shared" si="240"/>
        <v>SSA_VPU_HRY_E_BEGIN_TITO_VPU_NOM_LFM_1900_POSTHRY_TILE4_VBTR_BT9</v>
      </c>
      <c r="AY410" t="str">
        <f t="shared" si="240"/>
        <v>SSA_VPU_HRY_E_BEGIN_TITO_VPU_NOM_LFM_1900_POSTHRY_TILE4_VBTR_BT9</v>
      </c>
      <c r="AZ410" t="str">
        <f t="shared" si="240"/>
        <v>SSA_VPU_HRY_E_BEGIN_TITO_VPU_NOM_LFM_1900_POSTHRY_TILE4_VBTR_BT9</v>
      </c>
      <c r="BA410" t="str">
        <f t="shared" si="240"/>
        <v>SSA_VPU_HRY_E_BEGIN_TITO_VPU_NOM_LFM_1900_POSTHRY_TILE4_VBTR_BT9</v>
      </c>
      <c r="BB410" t="str">
        <f t="shared" si="240"/>
        <v>SSA_VPU_HRY_E_BEGIN_TITO_VPU_NOM_LFM_1900_POSTHRY_TILE4_VBTR_BT9</v>
      </c>
      <c r="BC410" t="str">
        <f t="shared" si="240"/>
        <v>SSA_VPU_HRY_E_BEGIN_TITO_VPU_NOM_LFM_1900_POSTHRY_TILE4_VBTR_BT9</v>
      </c>
      <c r="BD410" t="str">
        <f t="shared" si="240"/>
        <v>SSA_VPU_HRY_E_BEGIN_TITO_VPU_NOM_LFM_1900_POSTHRY_TILE4_VBTR_BT9</v>
      </c>
    </row>
    <row r="411" spans="1:56" x14ac:dyDescent="0.35">
      <c r="A411" s="12" t="s">
        <v>12</v>
      </c>
      <c r="B411" s="12" t="s">
        <v>55</v>
      </c>
      <c r="C411" s="12" t="str">
        <f>VLOOKUP(B411,templateLookup!A:B,2,0)</f>
        <v>PrimeMbistVminSearchTestMethod</v>
      </c>
      <c r="D411" t="str">
        <f t="shared" si="239"/>
        <v>SSA_VPU_HRY_E_BEGIN_TITO_VPU_NOM_LFM_1900_POSTHRY_TILE4_VBTR_BT9</v>
      </c>
      <c r="E411" t="s">
        <v>4</v>
      </c>
      <c r="F411" t="s">
        <v>25</v>
      </c>
      <c r="G411" t="s">
        <v>271</v>
      </c>
      <c r="H411" t="s">
        <v>207</v>
      </c>
      <c r="I411" t="s">
        <v>260</v>
      </c>
      <c r="J411" t="s">
        <v>25</v>
      </c>
      <c r="K411" t="s">
        <v>284</v>
      </c>
      <c r="L411" t="s">
        <v>285</v>
      </c>
      <c r="M411">
        <v>1900</v>
      </c>
      <c r="N411" t="s">
        <v>766</v>
      </c>
      <c r="O411" t="s">
        <v>267</v>
      </c>
      <c r="P411" t="s">
        <v>268</v>
      </c>
      <c r="Q411" t="s">
        <v>740</v>
      </c>
      <c r="R411">
        <v>61</v>
      </c>
      <c r="S411">
        <v>30</v>
      </c>
      <c r="T411">
        <v>71</v>
      </c>
      <c r="U411">
        <v>-1</v>
      </c>
      <c r="V411" t="b">
        <v>0</v>
      </c>
      <c r="W411" t="s">
        <v>298</v>
      </c>
      <c r="X411" t="s">
        <v>363</v>
      </c>
      <c r="Y411" t="s">
        <v>272</v>
      </c>
      <c r="Z411">
        <v>0.85</v>
      </c>
      <c r="AA411">
        <v>0.85</v>
      </c>
      <c r="AS411">
        <f t="shared" si="238"/>
        <v>10</v>
      </c>
      <c r="AT411" t="s">
        <v>273</v>
      </c>
      <c r="AU411" t="str">
        <f t="shared" si="240"/>
        <v>LSA_VPU_HRY_E_BEGIN_TITO_VPU_NOM_LFM_1900_POSTHRY_TILE4_VBTR_BT9</v>
      </c>
      <c r="AV411" t="str">
        <f t="shared" si="240"/>
        <v>LSA_VPU_HRY_E_BEGIN_TITO_VPU_NOM_LFM_1900_POSTHRY_TILE4_VBTR_BT9</v>
      </c>
      <c r="AW411" t="str">
        <f t="shared" si="240"/>
        <v>LSA_VPU_HRY_E_BEGIN_TITO_VPU_NOM_LFM_1900_POSTHRY_TILE4_VBTR_BT9</v>
      </c>
      <c r="AX411" t="str">
        <f t="shared" si="240"/>
        <v>LSA_VPU_HRY_E_BEGIN_TITO_VPU_NOM_LFM_1900_POSTHRY_TILE4_VBTR_BT9</v>
      </c>
      <c r="AY411" t="str">
        <f t="shared" si="240"/>
        <v>LSA_VPU_HRY_E_BEGIN_TITO_VPU_NOM_LFM_1900_POSTHRY_TILE4_VBTR_BT9</v>
      </c>
      <c r="AZ411" t="str">
        <f t="shared" si="240"/>
        <v>LSA_VPU_HRY_E_BEGIN_TITO_VPU_NOM_LFM_1900_POSTHRY_TILE4_VBTR_BT9</v>
      </c>
      <c r="BA411" t="str">
        <f t="shared" si="240"/>
        <v>LSA_VPU_HRY_E_BEGIN_TITO_VPU_NOM_LFM_1900_POSTHRY_TILE4_VBTR_BT9</v>
      </c>
      <c r="BB411" t="str">
        <f t="shared" si="240"/>
        <v>LSA_VPU_HRY_E_BEGIN_TITO_VPU_NOM_LFM_1900_POSTHRY_TILE4_VBTR_BT9</v>
      </c>
      <c r="BC411" t="str">
        <f t="shared" si="240"/>
        <v>LSA_VPU_HRY_E_BEGIN_TITO_VPU_NOM_LFM_1900_POSTHRY_TILE4_VBTR_BT9</v>
      </c>
      <c r="BD411" t="str">
        <f t="shared" si="240"/>
        <v>LSA_VPU_HRY_E_BEGIN_TITO_VPU_NOM_LFM_1900_POSTHRY_TILE4_VBTR_BT9</v>
      </c>
    </row>
    <row r="412" spans="1:56" x14ac:dyDescent="0.35">
      <c r="A412" s="12" t="s">
        <v>12</v>
      </c>
      <c r="B412" s="12" t="s">
        <v>55</v>
      </c>
      <c r="C412" s="12" t="str">
        <f>VLOOKUP(B412,templateLookup!A:B,2,0)</f>
        <v>PrimeMbistVminSearchTestMethod</v>
      </c>
      <c r="D412" t="str">
        <f t="shared" si="239"/>
        <v>LSA_VPU_HRY_E_BEGIN_TITO_VPU_NOM_LFM_1900_POSTHRY_TILE4_VBTR_BT9</v>
      </c>
      <c r="E412" t="s">
        <v>5</v>
      </c>
      <c r="F412" t="s">
        <v>25</v>
      </c>
      <c r="G412" t="s">
        <v>271</v>
      </c>
      <c r="H412" t="s">
        <v>207</v>
      </c>
      <c r="I412" t="s">
        <v>260</v>
      </c>
      <c r="J412" t="s">
        <v>25</v>
      </c>
      <c r="K412" t="s">
        <v>284</v>
      </c>
      <c r="L412" t="s">
        <v>285</v>
      </c>
      <c r="M412">
        <v>1900</v>
      </c>
      <c r="N412" t="s">
        <v>766</v>
      </c>
      <c r="O412" t="s">
        <v>267</v>
      </c>
      <c r="P412" t="s">
        <v>268</v>
      </c>
      <c r="Q412" t="s">
        <v>744</v>
      </c>
      <c r="R412">
        <v>21</v>
      </c>
      <c r="S412">
        <v>30</v>
      </c>
      <c r="T412">
        <v>72</v>
      </c>
      <c r="U412">
        <v>-1</v>
      </c>
      <c r="V412" t="b">
        <v>0</v>
      </c>
      <c r="W412" t="s">
        <v>298</v>
      </c>
      <c r="X412" t="s">
        <v>363</v>
      </c>
      <c r="Y412" t="s">
        <v>272</v>
      </c>
      <c r="Z412">
        <v>0.85</v>
      </c>
      <c r="AA412">
        <v>0.85</v>
      </c>
      <c r="AS412">
        <f t="shared" si="238"/>
        <v>10</v>
      </c>
      <c r="AT412" t="s">
        <v>273</v>
      </c>
      <c r="AU412" t="str">
        <f t="shared" si="240"/>
        <v>SSA_VPU_HRY_E_BEGIN_TITO_VPU_NOM_LFM_1900_POSTHRY_TILE5_VBTR_BT10</v>
      </c>
      <c r="AV412" t="str">
        <f t="shared" si="240"/>
        <v>SSA_VPU_HRY_E_BEGIN_TITO_VPU_NOM_LFM_1900_POSTHRY_TILE5_VBTR_BT10</v>
      </c>
      <c r="AW412" t="str">
        <f t="shared" si="240"/>
        <v>SSA_VPU_HRY_E_BEGIN_TITO_VPU_NOM_LFM_1900_POSTHRY_TILE5_VBTR_BT10</v>
      </c>
      <c r="AX412" t="str">
        <f t="shared" si="240"/>
        <v>SSA_VPU_HRY_E_BEGIN_TITO_VPU_NOM_LFM_1900_POSTHRY_TILE5_VBTR_BT10</v>
      </c>
      <c r="AY412" t="str">
        <f t="shared" si="240"/>
        <v>SSA_VPU_HRY_E_BEGIN_TITO_VPU_NOM_LFM_1900_POSTHRY_TILE5_VBTR_BT10</v>
      </c>
      <c r="AZ412" t="str">
        <f t="shared" si="240"/>
        <v>SSA_VPU_HRY_E_BEGIN_TITO_VPU_NOM_LFM_1900_POSTHRY_TILE5_VBTR_BT10</v>
      </c>
      <c r="BA412" t="str">
        <f t="shared" si="240"/>
        <v>SSA_VPU_HRY_E_BEGIN_TITO_VPU_NOM_LFM_1900_POSTHRY_TILE5_VBTR_BT10</v>
      </c>
      <c r="BB412" t="str">
        <f t="shared" si="240"/>
        <v>SSA_VPU_HRY_E_BEGIN_TITO_VPU_NOM_LFM_1900_POSTHRY_TILE5_VBTR_BT10</v>
      </c>
      <c r="BC412" t="str">
        <f t="shared" si="240"/>
        <v>SSA_VPU_HRY_E_BEGIN_TITO_VPU_NOM_LFM_1900_POSTHRY_TILE5_VBTR_BT10</v>
      </c>
      <c r="BD412" t="str">
        <f t="shared" si="240"/>
        <v>SSA_VPU_HRY_E_BEGIN_TITO_VPU_NOM_LFM_1900_POSTHRY_TILE5_VBTR_BT10</v>
      </c>
    </row>
    <row r="413" spans="1:56" x14ac:dyDescent="0.35">
      <c r="A413" s="12" t="s">
        <v>12</v>
      </c>
      <c r="B413" s="12" t="s">
        <v>55</v>
      </c>
      <c r="C413" s="12" t="str">
        <f>VLOOKUP(B413,templateLookup!A:B,2,0)</f>
        <v>PrimeMbistVminSearchTestMethod</v>
      </c>
      <c r="D413" t="str">
        <f t="shared" si="239"/>
        <v>SSA_VPU_HRY_E_BEGIN_TITO_VPU_NOM_LFM_1900_POSTHRY_TILE5_VBTR_BT10</v>
      </c>
      <c r="E413" t="s">
        <v>4</v>
      </c>
      <c r="F413" t="s">
        <v>25</v>
      </c>
      <c r="G413" t="s">
        <v>271</v>
      </c>
      <c r="H413" t="s">
        <v>207</v>
      </c>
      <c r="I413" t="s">
        <v>260</v>
      </c>
      <c r="J413" t="s">
        <v>25</v>
      </c>
      <c r="K413" t="s">
        <v>284</v>
      </c>
      <c r="L413" t="s">
        <v>285</v>
      </c>
      <c r="M413">
        <v>1900</v>
      </c>
      <c r="N413" t="s">
        <v>767</v>
      </c>
      <c r="O413" t="s">
        <v>267</v>
      </c>
      <c r="P413" t="s">
        <v>268</v>
      </c>
      <c r="Q413" t="s">
        <v>747</v>
      </c>
      <c r="R413">
        <v>61</v>
      </c>
      <c r="S413">
        <v>30</v>
      </c>
      <c r="T413">
        <v>73</v>
      </c>
      <c r="U413">
        <v>-1</v>
      </c>
      <c r="V413" t="b">
        <v>0</v>
      </c>
      <c r="W413" t="s">
        <v>298</v>
      </c>
      <c r="X413" t="s">
        <v>363</v>
      </c>
      <c r="Y413" t="s">
        <v>272</v>
      </c>
      <c r="Z413">
        <v>0.85</v>
      </c>
      <c r="AA413">
        <v>0.85</v>
      </c>
      <c r="AS413">
        <f t="shared" si="238"/>
        <v>10</v>
      </c>
      <c r="AT413" t="s">
        <v>273</v>
      </c>
      <c r="AU413" t="str">
        <f t="shared" si="240"/>
        <v>LSA_VPU_HRY_E_BEGIN_TITO_VPU_NOM_LFM_1900_POSTHRY_TILE5_VBTR_BT10</v>
      </c>
      <c r="AV413" t="str">
        <f t="shared" si="240"/>
        <v>LSA_VPU_HRY_E_BEGIN_TITO_VPU_NOM_LFM_1900_POSTHRY_TILE5_VBTR_BT10</v>
      </c>
      <c r="AW413" t="str">
        <f t="shared" si="240"/>
        <v>LSA_VPU_HRY_E_BEGIN_TITO_VPU_NOM_LFM_1900_POSTHRY_TILE5_VBTR_BT10</v>
      </c>
      <c r="AX413" t="str">
        <f t="shared" si="240"/>
        <v>LSA_VPU_HRY_E_BEGIN_TITO_VPU_NOM_LFM_1900_POSTHRY_TILE5_VBTR_BT10</v>
      </c>
      <c r="AY413" t="str">
        <f t="shared" si="240"/>
        <v>LSA_VPU_HRY_E_BEGIN_TITO_VPU_NOM_LFM_1900_POSTHRY_TILE5_VBTR_BT10</v>
      </c>
      <c r="AZ413" t="str">
        <f t="shared" si="240"/>
        <v>LSA_VPU_HRY_E_BEGIN_TITO_VPU_NOM_LFM_1900_POSTHRY_TILE5_VBTR_BT10</v>
      </c>
      <c r="BA413" t="str">
        <f t="shared" si="240"/>
        <v>LSA_VPU_HRY_E_BEGIN_TITO_VPU_NOM_LFM_1900_POSTHRY_TILE5_VBTR_BT10</v>
      </c>
      <c r="BB413" t="str">
        <f t="shared" si="240"/>
        <v>LSA_VPU_HRY_E_BEGIN_TITO_VPU_NOM_LFM_1900_POSTHRY_TILE5_VBTR_BT10</v>
      </c>
      <c r="BC413" t="str">
        <f t="shared" si="240"/>
        <v>LSA_VPU_HRY_E_BEGIN_TITO_VPU_NOM_LFM_1900_POSTHRY_TILE5_VBTR_BT10</v>
      </c>
      <c r="BD413" t="str">
        <f t="shared" si="240"/>
        <v>LSA_VPU_HRY_E_BEGIN_TITO_VPU_NOM_LFM_1900_POSTHRY_TILE5_VBTR_BT10</v>
      </c>
    </row>
    <row r="414" spans="1:56" x14ac:dyDescent="0.35">
      <c r="A414" s="12" t="s">
        <v>12</v>
      </c>
      <c r="B414" s="12" t="s">
        <v>55</v>
      </c>
      <c r="C414" s="12" t="str">
        <f>VLOOKUP(B414,templateLookup!A:B,2,0)</f>
        <v>PrimeMbistVminSearchTestMethod</v>
      </c>
      <c r="D414" t="str">
        <f t="shared" si="239"/>
        <v>LSA_VPU_HRY_E_BEGIN_TITO_VPU_NOM_LFM_1900_POSTHRY_TILE5_VBTR_BT10</v>
      </c>
      <c r="E414" t="s">
        <v>5</v>
      </c>
      <c r="F414" t="s">
        <v>25</v>
      </c>
      <c r="G414" t="s">
        <v>271</v>
      </c>
      <c r="H414" t="s">
        <v>207</v>
      </c>
      <c r="I414" t="s">
        <v>260</v>
      </c>
      <c r="J414" t="s">
        <v>25</v>
      </c>
      <c r="K414" t="s">
        <v>284</v>
      </c>
      <c r="L414" t="s">
        <v>285</v>
      </c>
      <c r="M414">
        <v>1900</v>
      </c>
      <c r="N414" t="s">
        <v>767</v>
      </c>
      <c r="O414" t="s">
        <v>267</v>
      </c>
      <c r="P414" t="s">
        <v>268</v>
      </c>
      <c r="Q414" t="s">
        <v>751</v>
      </c>
      <c r="R414">
        <v>21</v>
      </c>
      <c r="S414">
        <v>30</v>
      </c>
      <c r="T414">
        <v>74</v>
      </c>
      <c r="U414">
        <v>-1</v>
      </c>
      <c r="V414" t="b">
        <v>0</v>
      </c>
      <c r="W414" t="s">
        <v>298</v>
      </c>
      <c r="X414" t="s">
        <v>363</v>
      </c>
      <c r="Y414" t="s">
        <v>272</v>
      </c>
      <c r="Z414">
        <v>0.85</v>
      </c>
      <c r="AA414">
        <v>0.85</v>
      </c>
      <c r="AS414">
        <f t="shared" si="238"/>
        <v>10</v>
      </c>
      <c r="AT414" t="s">
        <v>273</v>
      </c>
      <c r="AU414">
        <v>1</v>
      </c>
      <c r="AV414">
        <v>1</v>
      </c>
      <c r="AW414">
        <v>1</v>
      </c>
      <c r="AX414">
        <v>1</v>
      </c>
      <c r="AY414">
        <v>1</v>
      </c>
      <c r="AZ414">
        <v>1</v>
      </c>
      <c r="BA414">
        <v>1</v>
      </c>
      <c r="BB414">
        <v>1</v>
      </c>
      <c r="BC414">
        <v>1</v>
      </c>
      <c r="BD414">
        <v>1</v>
      </c>
    </row>
    <row r="415" spans="1:56" x14ac:dyDescent="0.35">
      <c r="A415" s="40" t="s">
        <v>12</v>
      </c>
      <c r="B415" s="40" t="s">
        <v>50</v>
      </c>
      <c r="C415" s="40" t="str">
        <f>VLOOKUP(B415,templateLookup!A:B,2,0)</f>
        <v>COMPOSITE</v>
      </c>
      <c r="D415" s="10" t="s">
        <v>768</v>
      </c>
      <c r="V415" s="12"/>
    </row>
    <row r="416" spans="1:56" x14ac:dyDescent="0.35">
      <c r="A416" s="50" t="s">
        <v>12</v>
      </c>
      <c r="B416" s="50" t="s">
        <v>50</v>
      </c>
      <c r="C416" s="50" t="str">
        <f>VLOOKUP(B416,templateLookup!A:B,2,0)</f>
        <v>COMPOSITE</v>
      </c>
      <c r="D416" s="10" t="s">
        <v>769</v>
      </c>
      <c r="V416" s="12"/>
    </row>
    <row r="417" spans="1:56" x14ac:dyDescent="0.35">
      <c r="A417" s="50" t="s">
        <v>12</v>
      </c>
      <c r="B417" s="50" t="s">
        <v>49</v>
      </c>
      <c r="C417" s="50" t="str">
        <f>VLOOKUP(B417,templateLookup!A:B,2,0)</f>
        <v>COMPOSITE</v>
      </c>
      <c r="D417" s="5" t="s">
        <v>770</v>
      </c>
      <c r="E417" s="6"/>
      <c r="F417" s="6" t="s">
        <v>30</v>
      </c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AS417">
        <f t="shared" ref="AS417:AS430" si="241">COUNTA(AU417:BD417)</f>
        <v>2</v>
      </c>
      <c r="AT417">
        <v>1</v>
      </c>
      <c r="AU417">
        <v>1</v>
      </c>
      <c r="AV417">
        <v>1</v>
      </c>
    </row>
    <row r="418" spans="1:56" x14ac:dyDescent="0.35">
      <c r="A418" s="7" t="s">
        <v>12</v>
      </c>
      <c r="B418" s="7" t="s">
        <v>61</v>
      </c>
      <c r="C418" s="7" t="str">
        <f>VLOOKUP(B418,templateLookup!A:B,2,0)</f>
        <v>PrimePatConfigTestMethod</v>
      </c>
      <c r="D418" t="str">
        <f>E418&amp;"_"&amp;F418&amp;"_"&amp;G418&amp;"_"&amp;H418&amp;"_"&amp;A418&amp;"_"&amp;I418&amp;"_"&amp;J418&amp;"_"&amp;K418&amp;"_"&amp;L418&amp;"_"&amp;M418&amp;"_"&amp;N418</f>
        <v>ALL_CORE_PATMOD_K_BEGIN_X_X_X_X_X_RESET_FREQ</v>
      </c>
      <c r="E418" t="s">
        <v>7</v>
      </c>
      <c r="F418" t="s">
        <v>24</v>
      </c>
      <c r="G418" t="s">
        <v>252</v>
      </c>
      <c r="H418" t="s">
        <v>253</v>
      </c>
      <c r="I418" t="s">
        <v>208</v>
      </c>
      <c r="J418" t="s">
        <v>208</v>
      </c>
      <c r="K418" t="s">
        <v>208</v>
      </c>
      <c r="L418" t="s">
        <v>208</v>
      </c>
      <c r="M418" t="s">
        <v>208</v>
      </c>
      <c r="N418" t="s">
        <v>278</v>
      </c>
      <c r="O418" t="s">
        <v>211</v>
      </c>
      <c r="P418" t="s">
        <v>211</v>
      </c>
      <c r="Q418" t="s">
        <v>212</v>
      </c>
      <c r="R418">
        <v>90</v>
      </c>
      <c r="S418">
        <v>21</v>
      </c>
      <c r="T418">
        <v>4</v>
      </c>
      <c r="U418">
        <v>-1</v>
      </c>
      <c r="V418" t="b">
        <v>1</v>
      </c>
      <c r="AO418" t="s">
        <v>279</v>
      </c>
      <c r="AP418" t="s">
        <v>280</v>
      </c>
      <c r="AQ418" t="s">
        <v>257</v>
      </c>
      <c r="AR418" t="s">
        <v>771</v>
      </c>
      <c r="AS418">
        <f t="shared" si="241"/>
        <v>2</v>
      </c>
      <c r="AT418">
        <v>1</v>
      </c>
      <c r="AU418" t="str">
        <f>$D419</f>
        <v>ALL_CORE_PATMOD_K_BEGIN_X_X_X_X_X_ECC_OFF</v>
      </c>
      <c r="AV418" t="str">
        <f>$D419</f>
        <v>ALL_CORE_PATMOD_K_BEGIN_X_X_X_X_X_ECC_OFF</v>
      </c>
      <c r="BB418" s="8"/>
      <c r="BC418" s="8"/>
    </row>
    <row r="419" spans="1:56" x14ac:dyDescent="0.35">
      <c r="A419" s="7" t="s">
        <v>12</v>
      </c>
      <c r="B419" s="7" t="s">
        <v>61</v>
      </c>
      <c r="C419" s="7" t="str">
        <f>VLOOKUP(B419,templateLookup!A:B,2,0)</f>
        <v>PrimePatConfigTestMethod</v>
      </c>
      <c r="D419" t="str">
        <f>E419&amp;"_"&amp;F419&amp;"_"&amp;G419&amp;"_"&amp;H419&amp;"_"&amp;A419&amp;"_"&amp;I419&amp;"_"&amp;J419&amp;"_"&amp;K419&amp;"_"&amp;L419&amp;"_"&amp;M419&amp;"_"&amp;N419</f>
        <v>ALL_CORE_PATMOD_K_BEGIN_X_X_X_X_X_ECC_OFF</v>
      </c>
      <c r="E419" t="s">
        <v>7</v>
      </c>
      <c r="F419" t="s">
        <v>24</v>
      </c>
      <c r="G419" t="s">
        <v>252</v>
      </c>
      <c r="H419" t="s">
        <v>253</v>
      </c>
      <c r="I419" t="s">
        <v>208</v>
      </c>
      <c r="J419" t="s">
        <v>208</v>
      </c>
      <c r="K419" t="s">
        <v>208</v>
      </c>
      <c r="L419" t="s">
        <v>208</v>
      </c>
      <c r="M419" t="s">
        <v>208</v>
      </c>
      <c r="N419" t="s">
        <v>772</v>
      </c>
      <c r="O419" t="s">
        <v>211</v>
      </c>
      <c r="P419" t="s">
        <v>211</v>
      </c>
      <c r="Q419" t="s">
        <v>212</v>
      </c>
      <c r="R419">
        <v>90</v>
      </c>
      <c r="S419">
        <v>21</v>
      </c>
      <c r="T419">
        <v>5</v>
      </c>
      <c r="U419">
        <v>-1</v>
      </c>
      <c r="V419" t="b">
        <v>1</v>
      </c>
      <c r="AO419" t="s">
        <v>773</v>
      </c>
      <c r="AP419" t="s">
        <v>774</v>
      </c>
      <c r="AQ419" t="s">
        <v>257</v>
      </c>
      <c r="AS419">
        <f t="shared" si="241"/>
        <v>2</v>
      </c>
      <c r="AT419">
        <v>1</v>
      </c>
      <c r="AU419" t="str">
        <f>$D420</f>
        <v>CORE_BISR</v>
      </c>
      <c r="AV419" t="str">
        <f>$D420</f>
        <v>CORE_BISR</v>
      </c>
      <c r="BB419" s="8"/>
      <c r="BC419" s="8"/>
    </row>
    <row r="420" spans="1:56" x14ac:dyDescent="0.35">
      <c r="A420" s="45" t="s">
        <v>12</v>
      </c>
      <c r="B420" s="45" t="s">
        <v>49</v>
      </c>
      <c r="C420" s="45" t="str">
        <f>VLOOKUP(B420,templateLookup!A:B,2,0)</f>
        <v>COMPOSITE</v>
      </c>
      <c r="D420" s="10" t="s">
        <v>775</v>
      </c>
      <c r="F420" t="s">
        <v>30</v>
      </c>
      <c r="V420" s="12"/>
      <c r="AS420">
        <f t="shared" si="241"/>
        <v>2</v>
      </c>
      <c r="AT420">
        <v>1</v>
      </c>
      <c r="AU420" t="str">
        <f>$D432</f>
        <v>CORE_VFDM</v>
      </c>
      <c r="AV420" t="str">
        <f>$D432</f>
        <v>CORE_VFDM</v>
      </c>
    </row>
    <row r="421" spans="1:56" x14ac:dyDescent="0.35">
      <c r="A421" s="7" t="s">
        <v>12</v>
      </c>
      <c r="B421" s="7" t="s">
        <v>776</v>
      </c>
      <c r="C421" s="7" t="str">
        <f>VLOOKUP(B421,templateLookup!A:B,2,0)</f>
        <v>PrimeMbistVminSearchTestMethod</v>
      </c>
      <c r="D421" t="str">
        <f t="shared" ref="D421:D430" si="242">E421&amp;"_"&amp;F421&amp;"_"&amp;G421&amp;"_"&amp;H421&amp;"_"&amp;A421&amp;"_"&amp;I421&amp;"_"&amp;J421&amp;"_"&amp;K421&amp;"_"&amp;L421&amp;"_"&amp;M421&amp;"_"&amp;N421</f>
        <v>LSA_CORE_HRY_E_BEGIN_TITO_CR_NOM_LFM_0400_BIRA_BISR_BP_3_RF</v>
      </c>
      <c r="E421" t="s">
        <v>5</v>
      </c>
      <c r="F421" t="s">
        <v>24</v>
      </c>
      <c r="G421" t="s">
        <v>271</v>
      </c>
      <c r="H421" t="s">
        <v>207</v>
      </c>
      <c r="I421" t="s">
        <v>260</v>
      </c>
      <c r="J421" t="s">
        <v>777</v>
      </c>
      <c r="K421" t="s">
        <v>284</v>
      </c>
      <c r="L421" t="s">
        <v>285</v>
      </c>
      <c r="M421" t="str">
        <f t="shared" ref="M421:M430" si="243">TEXT(400,"0000")</f>
        <v>0400</v>
      </c>
      <c r="N421" t="s">
        <v>780</v>
      </c>
      <c r="O421" t="s">
        <v>267</v>
      </c>
      <c r="P421" t="s">
        <v>778</v>
      </c>
      <c r="Q421" t="s">
        <v>781</v>
      </c>
      <c r="R421">
        <v>21</v>
      </c>
      <c r="S421">
        <v>20</v>
      </c>
      <c r="T421">
        <v>21</v>
      </c>
      <c r="U421">
        <v>-1</v>
      </c>
      <c r="V421" t="b">
        <v>0</v>
      </c>
      <c r="W421" t="s">
        <v>270</v>
      </c>
      <c r="X421" t="s">
        <v>271</v>
      </c>
      <c r="Y421" t="s">
        <v>272</v>
      </c>
      <c r="Z421">
        <v>0.85</v>
      </c>
      <c r="AA421">
        <v>0.85</v>
      </c>
      <c r="AS421">
        <f t="shared" si="241"/>
        <v>10</v>
      </c>
      <c r="AT421" t="s">
        <v>273</v>
      </c>
      <c r="AU421" t="str">
        <f>$D422</f>
        <v>LSA_CORE_RASTER_E_BEGIN_TITO_CR_NOM_LFM_0400_RASTER_BP_3_RF</v>
      </c>
      <c r="AV421" t="str">
        <f>$D423</f>
        <v>SSA_CORE_HRY_E_BEGIN_TITO_CR_NOM_LFM_0400_BIRA_BISR_BP_4_5_MLC</v>
      </c>
      <c r="AW421" t="str">
        <f t="shared" ref="AW421:BD421" si="244">$D423</f>
        <v>SSA_CORE_HRY_E_BEGIN_TITO_CR_NOM_LFM_0400_BIRA_BISR_BP_4_5_MLC</v>
      </c>
      <c r="AX421" t="str">
        <f t="shared" si="244"/>
        <v>SSA_CORE_HRY_E_BEGIN_TITO_CR_NOM_LFM_0400_BIRA_BISR_BP_4_5_MLC</v>
      </c>
      <c r="AY421" t="str">
        <f t="shared" si="244"/>
        <v>SSA_CORE_HRY_E_BEGIN_TITO_CR_NOM_LFM_0400_BIRA_BISR_BP_4_5_MLC</v>
      </c>
      <c r="AZ421" t="str">
        <f t="shared" si="244"/>
        <v>SSA_CORE_HRY_E_BEGIN_TITO_CR_NOM_LFM_0400_BIRA_BISR_BP_4_5_MLC</v>
      </c>
      <c r="BA421" t="str">
        <f t="shared" si="244"/>
        <v>SSA_CORE_HRY_E_BEGIN_TITO_CR_NOM_LFM_0400_BIRA_BISR_BP_4_5_MLC</v>
      </c>
      <c r="BB421" t="str">
        <f t="shared" si="244"/>
        <v>SSA_CORE_HRY_E_BEGIN_TITO_CR_NOM_LFM_0400_BIRA_BISR_BP_4_5_MLC</v>
      </c>
      <c r="BC421" t="str">
        <f t="shared" si="244"/>
        <v>SSA_CORE_HRY_E_BEGIN_TITO_CR_NOM_LFM_0400_BIRA_BISR_BP_4_5_MLC</v>
      </c>
      <c r="BD421" t="str">
        <f t="shared" si="244"/>
        <v>SSA_CORE_HRY_E_BEGIN_TITO_CR_NOM_LFM_0400_BIRA_BISR_BP_4_5_MLC</v>
      </c>
    </row>
    <row r="422" spans="1:56" x14ac:dyDescent="0.35">
      <c r="A422" s="7" t="s">
        <v>12</v>
      </c>
      <c r="B422" s="7" t="s">
        <v>56</v>
      </c>
      <c r="C422" s="7" t="str">
        <f>VLOOKUP(B422,templateLookup!A:B,2,0)</f>
        <v>MbistRasterTC</v>
      </c>
      <c r="D422" s="46" t="str">
        <f t="shared" si="242"/>
        <v>LSA_CORE_RASTER_E_BEGIN_TITO_CR_NOM_LFM_0400_RASTER_BP_3_RF</v>
      </c>
      <c r="E422" t="s">
        <v>5</v>
      </c>
      <c r="F422" t="s">
        <v>24</v>
      </c>
      <c r="G422" t="s">
        <v>289</v>
      </c>
      <c r="H422" t="s">
        <v>207</v>
      </c>
      <c r="I422" t="s">
        <v>260</v>
      </c>
      <c r="J422" t="s">
        <v>777</v>
      </c>
      <c r="K422" t="s">
        <v>284</v>
      </c>
      <c r="L422" t="s">
        <v>285</v>
      </c>
      <c r="M422" t="str">
        <f t="shared" si="243"/>
        <v>0400</v>
      </c>
      <c r="N422" t="s">
        <v>782</v>
      </c>
      <c r="O422" t="s">
        <v>267</v>
      </c>
      <c r="P422" t="s">
        <v>778</v>
      </c>
      <c r="Q422" t="s">
        <v>783</v>
      </c>
      <c r="R422">
        <v>21</v>
      </c>
      <c r="S422">
        <v>20</v>
      </c>
      <c r="T422">
        <v>22</v>
      </c>
      <c r="U422">
        <v>-1</v>
      </c>
      <c r="V422" s="12" t="b">
        <v>0</v>
      </c>
      <c r="W422" t="s">
        <v>270</v>
      </c>
      <c r="AS422">
        <f t="shared" si="241"/>
        <v>5</v>
      </c>
      <c r="AT422">
        <v>1</v>
      </c>
      <c r="AU422" t="str">
        <f>$D423</f>
        <v>SSA_CORE_HRY_E_BEGIN_TITO_CR_NOM_LFM_0400_BIRA_BISR_BP_4_5_MLC</v>
      </c>
      <c r="AV422" t="str">
        <f t="shared" ref="AV422" si="245">$D423</f>
        <v>SSA_CORE_HRY_E_BEGIN_TITO_CR_NOM_LFM_0400_BIRA_BISR_BP_4_5_MLC</v>
      </c>
      <c r="AW422" t="str">
        <f t="shared" ref="AW422" si="246">$D423</f>
        <v>SSA_CORE_HRY_E_BEGIN_TITO_CR_NOM_LFM_0400_BIRA_BISR_BP_4_5_MLC</v>
      </c>
      <c r="AX422" t="str">
        <f t="shared" ref="AX422" si="247">$D423</f>
        <v>SSA_CORE_HRY_E_BEGIN_TITO_CR_NOM_LFM_0400_BIRA_BISR_BP_4_5_MLC</v>
      </c>
      <c r="AY422" t="str">
        <f t="shared" ref="AY422" si="248">$D423</f>
        <v>SSA_CORE_HRY_E_BEGIN_TITO_CR_NOM_LFM_0400_BIRA_BISR_BP_4_5_MLC</v>
      </c>
    </row>
    <row r="423" spans="1:56" x14ac:dyDescent="0.35">
      <c r="A423" s="7" t="s">
        <v>12</v>
      </c>
      <c r="B423" s="7" t="s">
        <v>776</v>
      </c>
      <c r="C423" s="7" t="str">
        <f>VLOOKUP(B423,templateLookup!A:B,2,0)</f>
        <v>PrimeMbistVminSearchTestMethod</v>
      </c>
      <c r="D423" t="str">
        <f t="shared" si="242"/>
        <v>SSA_CORE_HRY_E_BEGIN_TITO_CR_NOM_LFM_0400_BIRA_BISR_BP_4_5_MLC</v>
      </c>
      <c r="E423" t="s">
        <v>4</v>
      </c>
      <c r="F423" t="s">
        <v>24</v>
      </c>
      <c r="G423" t="s">
        <v>271</v>
      </c>
      <c r="H423" t="s">
        <v>207</v>
      </c>
      <c r="I423" t="s">
        <v>260</v>
      </c>
      <c r="J423" t="s">
        <v>777</v>
      </c>
      <c r="K423" t="s">
        <v>284</v>
      </c>
      <c r="L423" t="s">
        <v>285</v>
      </c>
      <c r="M423" t="str">
        <f t="shared" si="243"/>
        <v>0400</v>
      </c>
      <c r="N423" t="s">
        <v>785</v>
      </c>
      <c r="O423" t="s">
        <v>267</v>
      </c>
      <c r="P423" t="s">
        <v>778</v>
      </c>
      <c r="Q423" t="s">
        <v>786</v>
      </c>
      <c r="R423">
        <v>61</v>
      </c>
      <c r="S423">
        <v>20</v>
      </c>
      <c r="T423">
        <v>24</v>
      </c>
      <c r="U423">
        <v>-1</v>
      </c>
      <c r="V423" t="b">
        <v>0</v>
      </c>
      <c r="W423" t="s">
        <v>270</v>
      </c>
      <c r="X423" t="s">
        <v>271</v>
      </c>
      <c r="Y423" t="s">
        <v>272</v>
      </c>
      <c r="Z423">
        <v>0.85</v>
      </c>
      <c r="AA423">
        <v>0.85</v>
      </c>
      <c r="AS423">
        <f t="shared" si="241"/>
        <v>10</v>
      </c>
      <c r="AT423" t="s">
        <v>273</v>
      </c>
      <c r="AU423" t="str">
        <f>$D424</f>
        <v>SSA_CORE_RASTER_E_BEGIN_TITO_CR_NOM_LFM_0400_RASTER_BP_4_5_MLC</v>
      </c>
      <c r="AV423" t="str">
        <f>$D425</f>
        <v>LSA_CORE_HRY_E_BEGIN_TITO_CR_NOM_LFM_0400_BHRY_BP_6_EXT_RF</v>
      </c>
      <c r="AW423" t="str">
        <f t="shared" ref="AW423:BD423" si="249">$D425</f>
        <v>LSA_CORE_HRY_E_BEGIN_TITO_CR_NOM_LFM_0400_BHRY_BP_6_EXT_RF</v>
      </c>
      <c r="AX423" t="str">
        <f t="shared" si="249"/>
        <v>LSA_CORE_HRY_E_BEGIN_TITO_CR_NOM_LFM_0400_BHRY_BP_6_EXT_RF</v>
      </c>
      <c r="AY423" t="str">
        <f t="shared" si="249"/>
        <v>LSA_CORE_HRY_E_BEGIN_TITO_CR_NOM_LFM_0400_BHRY_BP_6_EXT_RF</v>
      </c>
      <c r="AZ423" t="str">
        <f t="shared" si="249"/>
        <v>LSA_CORE_HRY_E_BEGIN_TITO_CR_NOM_LFM_0400_BHRY_BP_6_EXT_RF</v>
      </c>
      <c r="BA423" t="str">
        <f t="shared" si="249"/>
        <v>LSA_CORE_HRY_E_BEGIN_TITO_CR_NOM_LFM_0400_BHRY_BP_6_EXT_RF</v>
      </c>
      <c r="BB423" t="str">
        <f t="shared" si="249"/>
        <v>LSA_CORE_HRY_E_BEGIN_TITO_CR_NOM_LFM_0400_BHRY_BP_6_EXT_RF</v>
      </c>
      <c r="BC423" t="str">
        <f t="shared" si="249"/>
        <v>LSA_CORE_HRY_E_BEGIN_TITO_CR_NOM_LFM_0400_BHRY_BP_6_EXT_RF</v>
      </c>
      <c r="BD423" t="str">
        <f t="shared" si="249"/>
        <v>LSA_CORE_HRY_E_BEGIN_TITO_CR_NOM_LFM_0400_BHRY_BP_6_EXT_RF</v>
      </c>
    </row>
    <row r="424" spans="1:56" x14ac:dyDescent="0.35">
      <c r="A424" s="7" t="s">
        <v>12</v>
      </c>
      <c r="B424" s="7" t="s">
        <v>56</v>
      </c>
      <c r="C424" s="7" t="str">
        <f>VLOOKUP(B424,templateLookup!A:B,2,0)</f>
        <v>MbistRasterTC</v>
      </c>
      <c r="D424" t="str">
        <f t="shared" si="242"/>
        <v>SSA_CORE_RASTER_E_BEGIN_TITO_CR_NOM_LFM_0400_RASTER_BP_4_5_MLC</v>
      </c>
      <c r="E424" t="s">
        <v>4</v>
      </c>
      <c r="F424" t="s">
        <v>24</v>
      </c>
      <c r="G424" t="s">
        <v>289</v>
      </c>
      <c r="H424" t="s">
        <v>207</v>
      </c>
      <c r="I424" t="s">
        <v>260</v>
      </c>
      <c r="J424" t="s">
        <v>777</v>
      </c>
      <c r="K424" t="s">
        <v>284</v>
      </c>
      <c r="L424" t="s">
        <v>285</v>
      </c>
      <c r="M424" t="str">
        <f t="shared" si="243"/>
        <v>0400</v>
      </c>
      <c r="N424" t="s">
        <v>787</v>
      </c>
      <c r="O424" t="s">
        <v>267</v>
      </c>
      <c r="P424" t="s">
        <v>778</v>
      </c>
      <c r="Q424" t="s">
        <v>788</v>
      </c>
      <c r="R424">
        <v>61</v>
      </c>
      <c r="S424">
        <v>20</v>
      </c>
      <c r="T424">
        <v>25</v>
      </c>
      <c r="U424">
        <v>1</v>
      </c>
      <c r="V424" s="12" t="b">
        <v>0</v>
      </c>
      <c r="W424" t="s">
        <v>270</v>
      </c>
      <c r="AS424">
        <f t="shared" si="241"/>
        <v>5</v>
      </c>
      <c r="AT424">
        <v>1</v>
      </c>
      <c r="AU424" t="str">
        <f>$D425</f>
        <v>LSA_CORE_HRY_E_BEGIN_TITO_CR_NOM_LFM_0400_BHRY_BP_6_EXT_RF</v>
      </c>
      <c r="AV424" t="str">
        <f t="shared" ref="AV424" si="250">$D425</f>
        <v>LSA_CORE_HRY_E_BEGIN_TITO_CR_NOM_LFM_0400_BHRY_BP_6_EXT_RF</v>
      </c>
      <c r="AW424" t="str">
        <f t="shared" ref="AW424:AW425" si="251">$D425</f>
        <v>LSA_CORE_HRY_E_BEGIN_TITO_CR_NOM_LFM_0400_BHRY_BP_6_EXT_RF</v>
      </c>
      <c r="AX424" t="str">
        <f t="shared" ref="AX424:AX426" si="252">$D425</f>
        <v>LSA_CORE_HRY_E_BEGIN_TITO_CR_NOM_LFM_0400_BHRY_BP_6_EXT_RF</v>
      </c>
      <c r="AY424" t="str">
        <f t="shared" ref="AY424:AY426" si="253">$D425</f>
        <v>LSA_CORE_HRY_E_BEGIN_TITO_CR_NOM_LFM_0400_BHRY_BP_6_EXT_RF</v>
      </c>
    </row>
    <row r="425" spans="1:56" x14ac:dyDescent="0.35">
      <c r="A425" s="7" t="s">
        <v>12</v>
      </c>
      <c r="B425" s="7" t="s">
        <v>776</v>
      </c>
      <c r="C425" s="7" t="str">
        <f>VLOOKUP(B425,templateLookup!A:B,2,0)</f>
        <v>PrimeMbistVminSearchTestMethod</v>
      </c>
      <c r="D425" t="str">
        <f t="shared" si="242"/>
        <v>LSA_CORE_HRY_E_BEGIN_TITO_CR_NOM_LFM_0400_BHRY_BP_6_EXT_RF</v>
      </c>
      <c r="E425" t="s">
        <v>5</v>
      </c>
      <c r="F425" t="s">
        <v>24</v>
      </c>
      <c r="G425" t="s">
        <v>271</v>
      </c>
      <c r="H425" t="s">
        <v>207</v>
      </c>
      <c r="I425" t="s">
        <v>260</v>
      </c>
      <c r="J425" t="s">
        <v>777</v>
      </c>
      <c r="K425" t="s">
        <v>284</v>
      </c>
      <c r="L425" t="s">
        <v>285</v>
      </c>
      <c r="M425" t="str">
        <f t="shared" si="243"/>
        <v>0400</v>
      </c>
      <c r="N425" t="s">
        <v>789</v>
      </c>
      <c r="O425" t="s">
        <v>267</v>
      </c>
      <c r="P425" t="s">
        <v>778</v>
      </c>
      <c r="Q425" t="s">
        <v>790</v>
      </c>
      <c r="R425">
        <v>21</v>
      </c>
      <c r="S425">
        <v>20</v>
      </c>
      <c r="T425">
        <v>26</v>
      </c>
      <c r="U425">
        <v>-1</v>
      </c>
      <c r="V425" t="b">
        <v>0</v>
      </c>
      <c r="W425" t="s">
        <v>298</v>
      </c>
      <c r="X425" t="s">
        <v>271</v>
      </c>
      <c r="Y425" t="s">
        <v>272</v>
      </c>
      <c r="Z425">
        <v>0.85</v>
      </c>
      <c r="AA425">
        <v>0.85</v>
      </c>
      <c r="AS425">
        <f t="shared" si="241"/>
        <v>10</v>
      </c>
      <c r="AT425" t="s">
        <v>273</v>
      </c>
      <c r="AU425" t="str">
        <f>$D426</f>
        <v>LSA_CORE_HRY_E_BEGIN_TITO_CR_NOM_LFM_0400_BIRA_BISR_BP_6_EXT_RF</v>
      </c>
      <c r="AV425" t="str">
        <f>$D429</f>
        <v>SSA_CORE_HRY_E_BEGIN_TITO_CR_NOM_LFM_0400_BIRA_BISR_BP_7_PMUCS</v>
      </c>
      <c r="AW425" t="str">
        <f t="shared" si="251"/>
        <v>LSA_CORE_HRY_E_BEGIN_TITO_CR_NOM_LFM_0400_BIRA_BISR_BP_6_EXT_RF</v>
      </c>
      <c r="AX425" t="str">
        <f t="shared" si="252"/>
        <v>LSA_CORE_HRY_E_BEGIN_TITO_CR_NOM_LFM_0400_BIRA_BISR_BP_6_EXT_RF</v>
      </c>
      <c r="AY425" t="str">
        <f t="shared" si="253"/>
        <v>LSA_CORE_HRY_E_BEGIN_TITO_CR_NOM_LFM_0400_BIRA_BISR_BP_6_EXT_RF</v>
      </c>
      <c r="AZ425" t="str">
        <f t="shared" ref="AZ425:BD426" si="254">$D426</f>
        <v>LSA_CORE_HRY_E_BEGIN_TITO_CR_NOM_LFM_0400_BIRA_BISR_BP_6_EXT_RF</v>
      </c>
      <c r="BA425" t="str">
        <f t="shared" si="254"/>
        <v>LSA_CORE_HRY_E_BEGIN_TITO_CR_NOM_LFM_0400_BIRA_BISR_BP_6_EXT_RF</v>
      </c>
      <c r="BB425" t="str">
        <f t="shared" si="254"/>
        <v>LSA_CORE_HRY_E_BEGIN_TITO_CR_NOM_LFM_0400_BIRA_BISR_BP_6_EXT_RF</v>
      </c>
      <c r="BC425" t="str">
        <f>$D429</f>
        <v>SSA_CORE_HRY_E_BEGIN_TITO_CR_NOM_LFM_0400_BIRA_BISR_BP_7_PMUCS</v>
      </c>
      <c r="BD425" t="str">
        <f t="shared" si="254"/>
        <v>LSA_CORE_HRY_E_BEGIN_TITO_CR_NOM_LFM_0400_BIRA_BISR_BP_6_EXT_RF</v>
      </c>
    </row>
    <row r="426" spans="1:56" x14ac:dyDescent="0.35">
      <c r="A426" s="7" t="s">
        <v>12</v>
      </c>
      <c r="B426" s="7" t="s">
        <v>776</v>
      </c>
      <c r="C426" s="7" t="str">
        <f>VLOOKUP(B426,templateLookup!A:B,2,0)</f>
        <v>PrimeMbistVminSearchTestMethod</v>
      </c>
      <c r="D426" t="str">
        <f t="shared" si="242"/>
        <v>LSA_CORE_HRY_E_BEGIN_TITO_CR_NOM_LFM_0400_BIRA_BISR_BP_6_EXT_RF</v>
      </c>
      <c r="E426" t="s">
        <v>5</v>
      </c>
      <c r="F426" t="s">
        <v>24</v>
      </c>
      <c r="G426" t="s">
        <v>271</v>
      </c>
      <c r="H426" t="s">
        <v>207</v>
      </c>
      <c r="I426" t="s">
        <v>260</v>
      </c>
      <c r="J426" t="s">
        <v>777</v>
      </c>
      <c r="K426" t="s">
        <v>284</v>
      </c>
      <c r="L426" t="s">
        <v>285</v>
      </c>
      <c r="M426" t="str">
        <f t="shared" si="243"/>
        <v>0400</v>
      </c>
      <c r="N426" t="s">
        <v>791</v>
      </c>
      <c r="O426" t="s">
        <v>267</v>
      </c>
      <c r="P426" t="s">
        <v>778</v>
      </c>
      <c r="Q426" t="s">
        <v>792</v>
      </c>
      <c r="R426">
        <v>21</v>
      </c>
      <c r="S426">
        <v>20</v>
      </c>
      <c r="T426">
        <v>27</v>
      </c>
      <c r="U426">
        <v>-1</v>
      </c>
      <c r="V426" t="b">
        <v>0</v>
      </c>
      <c r="W426" t="s">
        <v>298</v>
      </c>
      <c r="X426" t="s">
        <v>401</v>
      </c>
      <c r="Y426" t="s">
        <v>793</v>
      </c>
      <c r="Z426">
        <v>0.85</v>
      </c>
      <c r="AA426">
        <v>0.85</v>
      </c>
      <c r="AS426">
        <f t="shared" si="241"/>
        <v>10</v>
      </c>
      <c r="AT426" t="s">
        <v>273</v>
      </c>
      <c r="AU426" t="str">
        <f>$D427</f>
        <v>LSA_CORE_RASTER_E_BEGIN_TITO_CR_NOM_LFM_0400_RASTER_BP_6_EXT_RF_MEU_PBP1</v>
      </c>
      <c r="AV426" t="str">
        <f>$D430</f>
        <v>SSA_CORE_RASTER_E_BEGIN_TITO_CR_NOM_LFM_0400_RASTER_BP_7_PMUCS</v>
      </c>
      <c r="AW426" t="str">
        <f>$D430</f>
        <v>SSA_CORE_RASTER_E_BEGIN_TITO_CR_NOM_LFM_0400_RASTER_BP_7_PMUCS</v>
      </c>
      <c r="AX426" t="str">
        <f t="shared" si="252"/>
        <v>LSA_CORE_RASTER_E_BEGIN_TITO_CR_NOM_LFM_0400_RASTER_BP_6_EXT_RF_MEU_PBP1</v>
      </c>
      <c r="AY426" t="str">
        <f t="shared" si="253"/>
        <v>LSA_CORE_RASTER_E_BEGIN_TITO_CR_NOM_LFM_0400_RASTER_BP_6_EXT_RF_MEU_PBP1</v>
      </c>
      <c r="AZ426" t="str">
        <f t="shared" si="254"/>
        <v>LSA_CORE_RASTER_E_BEGIN_TITO_CR_NOM_LFM_0400_RASTER_BP_6_EXT_RF_MEU_PBP1</v>
      </c>
      <c r="BA426" t="str">
        <f t="shared" si="254"/>
        <v>LSA_CORE_RASTER_E_BEGIN_TITO_CR_NOM_LFM_0400_RASTER_BP_6_EXT_RF_MEU_PBP1</v>
      </c>
      <c r="BB426" t="str">
        <f t="shared" si="254"/>
        <v>LSA_CORE_RASTER_E_BEGIN_TITO_CR_NOM_LFM_0400_RASTER_BP_6_EXT_RF_MEU_PBP1</v>
      </c>
      <c r="BC426" t="str">
        <f>$D430</f>
        <v>SSA_CORE_RASTER_E_BEGIN_TITO_CR_NOM_LFM_0400_RASTER_BP_7_PMUCS</v>
      </c>
      <c r="BD426" t="str">
        <f>$D427</f>
        <v>LSA_CORE_RASTER_E_BEGIN_TITO_CR_NOM_LFM_0400_RASTER_BP_6_EXT_RF_MEU_PBP1</v>
      </c>
    </row>
    <row r="427" spans="1:56" x14ac:dyDescent="0.35">
      <c r="A427" s="7" t="s">
        <v>12</v>
      </c>
      <c r="B427" s="7" t="s">
        <v>56</v>
      </c>
      <c r="C427" s="7" t="str">
        <f>VLOOKUP(B427,templateLookup!A:B,2,0)</f>
        <v>MbistRasterTC</v>
      </c>
      <c r="D427" s="46" t="str">
        <f t="shared" si="242"/>
        <v>LSA_CORE_RASTER_E_BEGIN_TITO_CR_NOM_LFM_0400_RASTER_BP_6_EXT_RF_MEU_PBP1</v>
      </c>
      <c r="E427" t="s">
        <v>5</v>
      </c>
      <c r="F427" t="s">
        <v>24</v>
      </c>
      <c r="G427" t="s">
        <v>289</v>
      </c>
      <c r="H427" t="s">
        <v>207</v>
      </c>
      <c r="I427" t="s">
        <v>260</v>
      </c>
      <c r="J427" t="s">
        <v>777</v>
      </c>
      <c r="K427" t="s">
        <v>284</v>
      </c>
      <c r="L427" t="s">
        <v>285</v>
      </c>
      <c r="M427" t="str">
        <f t="shared" si="243"/>
        <v>0400</v>
      </c>
      <c r="N427" t="s">
        <v>794</v>
      </c>
      <c r="O427" t="s">
        <v>267</v>
      </c>
      <c r="P427" t="s">
        <v>778</v>
      </c>
      <c r="Q427" t="s">
        <v>795</v>
      </c>
      <c r="R427">
        <v>21</v>
      </c>
      <c r="S427">
        <v>20</v>
      </c>
      <c r="T427">
        <v>28</v>
      </c>
      <c r="U427">
        <v>-1</v>
      </c>
      <c r="V427" s="12" t="b">
        <v>0</v>
      </c>
      <c r="W427" t="s">
        <v>298</v>
      </c>
      <c r="AS427">
        <f t="shared" si="241"/>
        <v>5</v>
      </c>
      <c r="AT427">
        <v>1</v>
      </c>
      <c r="AU427" t="str">
        <f t="shared" ref="AU427:AY428" si="255">$D428</f>
        <v>LSA_CORE_RASTER_E_BEGIN_TITO_CR_NOM_LFM_0400_RASTER_BP_6_EXT_RF_FIT_PBP2</v>
      </c>
      <c r="AV427" t="str">
        <f t="shared" si="255"/>
        <v>LSA_CORE_RASTER_E_BEGIN_TITO_CR_NOM_LFM_0400_RASTER_BP_6_EXT_RF_FIT_PBP2</v>
      </c>
      <c r="AW427" t="str">
        <f t="shared" si="255"/>
        <v>LSA_CORE_RASTER_E_BEGIN_TITO_CR_NOM_LFM_0400_RASTER_BP_6_EXT_RF_FIT_PBP2</v>
      </c>
      <c r="AX427" t="str">
        <f t="shared" si="255"/>
        <v>LSA_CORE_RASTER_E_BEGIN_TITO_CR_NOM_LFM_0400_RASTER_BP_6_EXT_RF_FIT_PBP2</v>
      </c>
      <c r="AY427" t="str">
        <f t="shared" si="255"/>
        <v>LSA_CORE_RASTER_E_BEGIN_TITO_CR_NOM_LFM_0400_RASTER_BP_6_EXT_RF_FIT_PBP2</v>
      </c>
    </row>
    <row r="428" spans="1:56" x14ac:dyDescent="0.35">
      <c r="A428" s="7" t="s">
        <v>12</v>
      </c>
      <c r="B428" s="7" t="s">
        <v>56</v>
      </c>
      <c r="C428" s="7" t="str">
        <f>VLOOKUP(B428,templateLookup!A:B,2,0)</f>
        <v>MbistRasterTC</v>
      </c>
      <c r="D428" s="46" t="str">
        <f t="shared" ref="D428" si="256">E428&amp;"_"&amp;F428&amp;"_"&amp;G428&amp;"_"&amp;H428&amp;"_"&amp;A428&amp;"_"&amp;I428&amp;"_"&amp;J428&amp;"_"&amp;K428&amp;"_"&amp;L428&amp;"_"&amp;M428&amp;"_"&amp;N428</f>
        <v>LSA_CORE_RASTER_E_BEGIN_TITO_CR_NOM_LFM_0400_RASTER_BP_6_EXT_RF_FIT_PBP2</v>
      </c>
      <c r="E428" t="s">
        <v>5</v>
      </c>
      <c r="F428" t="s">
        <v>24</v>
      </c>
      <c r="G428" t="s">
        <v>289</v>
      </c>
      <c r="H428" t="s">
        <v>207</v>
      </c>
      <c r="I428" t="s">
        <v>260</v>
      </c>
      <c r="J428" t="s">
        <v>777</v>
      </c>
      <c r="K428" t="s">
        <v>284</v>
      </c>
      <c r="L428" t="s">
        <v>285</v>
      </c>
      <c r="M428" t="str">
        <f t="shared" si="243"/>
        <v>0400</v>
      </c>
      <c r="N428" t="s">
        <v>796</v>
      </c>
      <c r="O428" t="s">
        <v>267</v>
      </c>
      <c r="P428" t="s">
        <v>778</v>
      </c>
      <c r="Q428" t="s">
        <v>797</v>
      </c>
      <c r="R428">
        <v>21</v>
      </c>
      <c r="S428">
        <v>20</v>
      </c>
      <c r="T428">
        <v>29</v>
      </c>
      <c r="U428">
        <v>-1</v>
      </c>
      <c r="V428" s="12" t="b">
        <v>0</v>
      </c>
      <c r="W428" t="s">
        <v>298</v>
      </c>
      <c r="AS428">
        <f t="shared" ref="AS428" si="257">COUNTA(AU428:BD428)</f>
        <v>5</v>
      </c>
      <c r="AT428">
        <v>1</v>
      </c>
      <c r="AU428" t="str">
        <f t="shared" si="255"/>
        <v>SSA_CORE_HRY_E_BEGIN_TITO_CR_NOM_LFM_0400_BIRA_BISR_BP_7_PMUCS</v>
      </c>
      <c r="AV428" t="str">
        <f t="shared" si="255"/>
        <v>SSA_CORE_HRY_E_BEGIN_TITO_CR_NOM_LFM_0400_BIRA_BISR_BP_7_PMUCS</v>
      </c>
      <c r="AW428" t="str">
        <f t="shared" si="255"/>
        <v>SSA_CORE_HRY_E_BEGIN_TITO_CR_NOM_LFM_0400_BIRA_BISR_BP_7_PMUCS</v>
      </c>
      <c r="AX428" t="str">
        <f t="shared" si="255"/>
        <v>SSA_CORE_HRY_E_BEGIN_TITO_CR_NOM_LFM_0400_BIRA_BISR_BP_7_PMUCS</v>
      </c>
      <c r="AY428" t="str">
        <f t="shared" si="255"/>
        <v>SSA_CORE_HRY_E_BEGIN_TITO_CR_NOM_LFM_0400_BIRA_BISR_BP_7_PMUCS</v>
      </c>
    </row>
    <row r="429" spans="1:56" x14ac:dyDescent="0.35">
      <c r="A429" s="7" t="s">
        <v>12</v>
      </c>
      <c r="B429" s="7" t="s">
        <v>776</v>
      </c>
      <c r="C429" s="7" t="str">
        <f>VLOOKUP(B429,templateLookup!A:B,2,0)</f>
        <v>PrimeMbistVminSearchTestMethod</v>
      </c>
      <c r="D429" t="str">
        <f t="shared" si="242"/>
        <v>SSA_CORE_HRY_E_BEGIN_TITO_CR_NOM_LFM_0400_BIRA_BISR_BP_7_PMUCS</v>
      </c>
      <c r="E429" t="s">
        <v>4</v>
      </c>
      <c r="F429" t="s">
        <v>24</v>
      </c>
      <c r="G429" t="s">
        <v>271</v>
      </c>
      <c r="H429" t="s">
        <v>207</v>
      </c>
      <c r="I429" t="s">
        <v>260</v>
      </c>
      <c r="J429" t="s">
        <v>777</v>
      </c>
      <c r="K429" t="s">
        <v>284</v>
      </c>
      <c r="L429" t="s">
        <v>285</v>
      </c>
      <c r="M429" t="str">
        <f t="shared" si="243"/>
        <v>0400</v>
      </c>
      <c r="N429" t="s">
        <v>799</v>
      </c>
      <c r="O429" t="s">
        <v>267</v>
      </c>
      <c r="P429" t="s">
        <v>397</v>
      </c>
      <c r="Q429" t="s">
        <v>800</v>
      </c>
      <c r="R429">
        <v>61</v>
      </c>
      <c r="S429">
        <v>20</v>
      </c>
      <c r="T429">
        <v>31</v>
      </c>
      <c r="U429">
        <v>-1</v>
      </c>
      <c r="V429" t="b">
        <v>0</v>
      </c>
      <c r="W429" t="s">
        <v>270</v>
      </c>
      <c r="X429" t="s">
        <v>271</v>
      </c>
      <c r="Y429" t="s">
        <v>272</v>
      </c>
      <c r="Z429">
        <v>0.85</v>
      </c>
      <c r="AA429">
        <v>0.85</v>
      </c>
      <c r="AS429">
        <f t="shared" si="241"/>
        <v>10</v>
      </c>
      <c r="AT429" t="s">
        <v>273</v>
      </c>
      <c r="AU429" t="str">
        <f t="shared" ref="AU421:AY429" si="258">$D430</f>
        <v>SSA_CORE_RASTER_E_BEGIN_TITO_CR_NOM_LFM_0400_RASTER_BP_7_PMUCS</v>
      </c>
      <c r="AV429">
        <v>1</v>
      </c>
      <c r="AW429">
        <v>1</v>
      </c>
      <c r="AX429">
        <v>1</v>
      </c>
      <c r="AY429">
        <v>1</v>
      </c>
      <c r="AZ429">
        <v>1</v>
      </c>
      <c r="BA429">
        <v>1</v>
      </c>
      <c r="BB429">
        <v>1</v>
      </c>
      <c r="BC429">
        <v>1</v>
      </c>
      <c r="BD429">
        <v>1</v>
      </c>
    </row>
    <row r="430" spans="1:56" x14ac:dyDescent="0.35">
      <c r="A430" s="7" t="s">
        <v>12</v>
      </c>
      <c r="B430" s="7" t="s">
        <v>56</v>
      </c>
      <c r="C430" s="7" t="str">
        <f>VLOOKUP(B430,templateLookup!A:B,2,0)</f>
        <v>MbistRasterTC</v>
      </c>
      <c r="D430" t="str">
        <f t="shared" si="242"/>
        <v>SSA_CORE_RASTER_E_BEGIN_TITO_CR_NOM_LFM_0400_RASTER_BP_7_PMUCS</v>
      </c>
      <c r="E430" t="s">
        <v>4</v>
      </c>
      <c r="F430" t="s">
        <v>24</v>
      </c>
      <c r="G430" t="s">
        <v>289</v>
      </c>
      <c r="H430" t="s">
        <v>207</v>
      </c>
      <c r="I430" t="s">
        <v>260</v>
      </c>
      <c r="J430" t="s">
        <v>777</v>
      </c>
      <c r="K430" t="s">
        <v>284</v>
      </c>
      <c r="L430" t="s">
        <v>285</v>
      </c>
      <c r="M430" t="str">
        <f t="shared" si="243"/>
        <v>0400</v>
      </c>
      <c r="N430" t="s">
        <v>801</v>
      </c>
      <c r="O430" t="s">
        <v>267</v>
      </c>
      <c r="P430" t="s">
        <v>397</v>
      </c>
      <c r="Q430" t="s">
        <v>788</v>
      </c>
      <c r="R430">
        <v>61</v>
      </c>
      <c r="S430">
        <v>20</v>
      </c>
      <c r="T430">
        <v>32</v>
      </c>
      <c r="U430">
        <v>1</v>
      </c>
      <c r="V430" s="12" t="b">
        <v>0</v>
      </c>
      <c r="W430" t="s">
        <v>270</v>
      </c>
      <c r="AS430">
        <f t="shared" si="241"/>
        <v>5</v>
      </c>
      <c r="AT430">
        <v>1</v>
      </c>
      <c r="AU430">
        <v>1</v>
      </c>
      <c r="AV430">
        <v>1</v>
      </c>
      <c r="AW430">
        <v>1</v>
      </c>
      <c r="AX430">
        <v>1</v>
      </c>
      <c r="AY430">
        <v>1</v>
      </c>
    </row>
    <row r="431" spans="1:56" x14ac:dyDescent="0.35">
      <c r="A431" s="45" t="s">
        <v>12</v>
      </c>
      <c r="B431" s="45" t="s">
        <v>50</v>
      </c>
      <c r="C431" s="45" t="str">
        <f>VLOOKUP(B431,templateLookup!A:B,2,0)</f>
        <v>COMPOSITE</v>
      </c>
      <c r="D431" s="10" t="s">
        <v>802</v>
      </c>
      <c r="V431" s="12"/>
    </row>
    <row r="432" spans="1:56" x14ac:dyDescent="0.35">
      <c r="A432" s="45" t="s">
        <v>12</v>
      </c>
      <c r="B432" s="45" t="s">
        <v>49</v>
      </c>
      <c r="C432" s="45" t="str">
        <f>VLOOKUP(B432,templateLookup!A:B,2,0)</f>
        <v>COMPOSITE</v>
      </c>
      <c r="D432" s="10" t="s">
        <v>803</v>
      </c>
      <c r="F432" t="s">
        <v>30</v>
      </c>
      <c r="V432" s="12"/>
      <c r="AS432">
        <f>COUNTA(AU432:BD432)</f>
        <v>3</v>
      </c>
      <c r="AT432" t="s">
        <v>218</v>
      </c>
      <c r="AU432" t="str">
        <f>$D438</f>
        <v>CORE_POST_REPAIR</v>
      </c>
      <c r="AV432" t="str">
        <f>$D438</f>
        <v>CORE_POST_REPAIR</v>
      </c>
      <c r="AW432">
        <v>1</v>
      </c>
    </row>
    <row r="433" spans="1:56" x14ac:dyDescent="0.35">
      <c r="A433" s="12" t="s">
        <v>12</v>
      </c>
      <c r="B433" s="12" t="s">
        <v>97</v>
      </c>
      <c r="C433" s="12" t="str">
        <f>VLOOKUP(B433,templateLookup!A:B,2,0)</f>
        <v>iCScreenTest</v>
      </c>
      <c r="D433" t="str">
        <f>E433&amp;"_"&amp;F433&amp;"_"&amp;G433&amp;"_"&amp;H433&amp;"_"&amp;A433&amp;"_"&amp;I433&amp;"_"&amp;J433&amp;"_"&amp;K433&amp;"_"&amp;L433&amp;"_"&amp;M433&amp;"_"&amp;N433</f>
        <v>ALL_COMMON_SCREEN_E_BEGIN_TITO_CR_NOM_LFM_0400_JOIN_BISR</v>
      </c>
      <c r="E433" t="s">
        <v>7</v>
      </c>
      <c r="F433" t="s">
        <v>30</v>
      </c>
      <c r="G433" t="s">
        <v>206</v>
      </c>
      <c r="H433" t="s">
        <v>207</v>
      </c>
      <c r="I433" t="s">
        <v>260</v>
      </c>
      <c r="J433" t="s">
        <v>777</v>
      </c>
      <c r="K433" t="s">
        <v>284</v>
      </c>
      <c r="L433" t="s">
        <v>285</v>
      </c>
      <c r="M433" t="str">
        <f>TEXT(400,"0000")</f>
        <v>0400</v>
      </c>
      <c r="N433" t="s">
        <v>348</v>
      </c>
      <c r="O433" t="s">
        <v>211</v>
      </c>
      <c r="P433" t="s">
        <v>211</v>
      </c>
      <c r="Q433" t="s">
        <v>212</v>
      </c>
      <c r="R433">
        <v>61</v>
      </c>
      <c r="S433">
        <v>20</v>
      </c>
      <c r="T433">
        <v>100</v>
      </c>
      <c r="U433">
        <v>-1</v>
      </c>
      <c r="V433" t="b">
        <v>0</v>
      </c>
      <c r="AD433" t="s">
        <v>804</v>
      </c>
      <c r="AE433" t="s">
        <v>805</v>
      </c>
      <c r="AS433">
        <f>COUNTA(AU433:BD433)</f>
        <v>3</v>
      </c>
      <c r="AT433">
        <v>1</v>
      </c>
      <c r="AU433" t="str">
        <f>$D434</f>
        <v>ALL_CORE_VFDM_E_BEGIN_TITO_CR_NOM_LFM_0400_VFDM_ALL</v>
      </c>
      <c r="AV433" t="str">
        <f>$D434</f>
        <v>ALL_CORE_VFDM_E_BEGIN_TITO_CR_NOM_LFM_0400_VFDM_ALL</v>
      </c>
      <c r="AW433" t="str">
        <f>$D434</f>
        <v>ALL_CORE_VFDM_E_BEGIN_TITO_CR_NOM_LFM_0400_VFDM_ALL</v>
      </c>
    </row>
    <row r="434" spans="1:56" x14ac:dyDescent="0.35">
      <c r="A434" s="12" t="s">
        <v>12</v>
      </c>
      <c r="B434" s="12" t="s">
        <v>87</v>
      </c>
      <c r="C434" s="12" t="str">
        <f>VLOOKUP(B434,templateLookup!A:B,2,0)</f>
        <v>iCVFDMTest</v>
      </c>
      <c r="D434" t="str">
        <f>E434&amp;"_"&amp;F434&amp;"_"&amp;G434&amp;"_"&amp;H434&amp;"_"&amp;A434&amp;"_"&amp;I434&amp;"_"&amp;J434&amp;"_"&amp;K434&amp;"_"&amp;L434&amp;"_"&amp;M434&amp;"_"&amp;N434</f>
        <v>ALL_CORE_VFDM_E_BEGIN_TITO_CR_NOM_LFM_0400_VFDM_ALL</v>
      </c>
      <c r="E434" t="s">
        <v>7</v>
      </c>
      <c r="F434" t="s">
        <v>24</v>
      </c>
      <c r="G434" t="s">
        <v>178</v>
      </c>
      <c r="H434" t="s">
        <v>207</v>
      </c>
      <c r="I434" t="s">
        <v>260</v>
      </c>
      <c r="J434" t="s">
        <v>777</v>
      </c>
      <c r="K434" t="s">
        <v>284</v>
      </c>
      <c r="L434" t="s">
        <v>285</v>
      </c>
      <c r="M434" t="str">
        <f t="shared" ref="M434:M436" si="259">TEXT(400,"0000")</f>
        <v>0400</v>
      </c>
      <c r="N434" t="s">
        <v>806</v>
      </c>
      <c r="O434" t="s">
        <v>211</v>
      </c>
      <c r="P434" t="s">
        <v>211</v>
      </c>
      <c r="Q434" t="s">
        <v>212</v>
      </c>
      <c r="R434">
        <v>61</v>
      </c>
      <c r="S434">
        <v>20</v>
      </c>
      <c r="T434">
        <v>101</v>
      </c>
      <c r="U434">
        <v>-1</v>
      </c>
      <c r="V434" s="16" t="b">
        <v>0</v>
      </c>
      <c r="AF434" t="s">
        <v>220</v>
      </c>
      <c r="AG434" t="s">
        <v>807</v>
      </c>
      <c r="AS434">
        <f>COUNTA(AU434:BD434)</f>
        <v>3</v>
      </c>
      <c r="AT434" t="s">
        <v>218</v>
      </c>
      <c r="AU434" t="str">
        <f>$D435</f>
        <v>ALL_CORE_UF_E_BEGIN_TITO_CR_NOM_LFM_0400_VFDM_UF</v>
      </c>
      <c r="AV434" t="str">
        <f>$D435</f>
        <v>ALL_CORE_UF_E_BEGIN_TITO_CR_NOM_LFM_0400_VFDM_UF</v>
      </c>
      <c r="AW434">
        <v>2</v>
      </c>
    </row>
    <row r="435" spans="1:56" x14ac:dyDescent="0.35">
      <c r="A435" s="12" t="s">
        <v>12</v>
      </c>
      <c r="B435" s="12" t="s">
        <v>85</v>
      </c>
      <c r="C435" s="12" t="str">
        <f>VLOOKUP(B435,templateLookup!A:B,2,0)</f>
        <v>iCUserFuncTest</v>
      </c>
      <c r="D435" t="str">
        <f>E435&amp;"_"&amp;F435&amp;"_"&amp;G435&amp;"_"&amp;H435&amp;"_"&amp;A435&amp;"_"&amp;I435&amp;"_"&amp;J435&amp;"_"&amp;K435&amp;"_"&amp;L435&amp;"_"&amp;M435&amp;"_"&amp;N435</f>
        <v>ALL_CORE_UF_E_BEGIN_TITO_CR_NOM_LFM_0400_VFDM_UF</v>
      </c>
      <c r="E435" t="s">
        <v>7</v>
      </c>
      <c r="F435" t="s">
        <v>24</v>
      </c>
      <c r="G435" t="s">
        <v>353</v>
      </c>
      <c r="H435" t="s">
        <v>207</v>
      </c>
      <c r="I435" t="s">
        <v>260</v>
      </c>
      <c r="J435" t="s">
        <v>777</v>
      </c>
      <c r="K435" t="s">
        <v>284</v>
      </c>
      <c r="L435" t="s">
        <v>285</v>
      </c>
      <c r="M435" t="str">
        <f t="shared" si="259"/>
        <v>0400</v>
      </c>
      <c r="N435" t="s">
        <v>354</v>
      </c>
      <c r="O435" t="s">
        <v>211</v>
      </c>
      <c r="P435" t="s">
        <v>211</v>
      </c>
      <c r="Q435" t="s">
        <v>212</v>
      </c>
      <c r="R435">
        <v>21</v>
      </c>
      <c r="S435">
        <v>20</v>
      </c>
      <c r="T435">
        <v>102</v>
      </c>
      <c r="U435">
        <v>-1</v>
      </c>
      <c r="V435" t="b">
        <v>0</v>
      </c>
      <c r="AJ435" t="s">
        <v>808</v>
      </c>
      <c r="AS435">
        <f>COUNTA(AU435:BD435)</f>
        <v>3</v>
      </c>
      <c r="AT435" t="s">
        <v>218</v>
      </c>
      <c r="AU435" t="str">
        <f>$D436</f>
        <v>ALL_CORE_FUSECONFIG_E_BEGIN_TITO_CR_NOM_LFM_0400_REPAIR</v>
      </c>
      <c r="AV435" t="str">
        <f>$D436</f>
        <v>ALL_CORE_FUSECONFIG_E_BEGIN_TITO_CR_NOM_LFM_0400_REPAIR</v>
      </c>
      <c r="AW435" t="str">
        <f>$D436</f>
        <v>ALL_CORE_FUSECONFIG_E_BEGIN_TITO_CR_NOM_LFM_0400_REPAIR</v>
      </c>
    </row>
    <row r="436" spans="1:56" x14ac:dyDescent="0.35">
      <c r="A436" s="12" t="s">
        <v>12</v>
      </c>
      <c r="B436" s="12" t="s">
        <v>59</v>
      </c>
      <c r="C436" s="12" t="str">
        <f>VLOOKUP(B436,templateLookup!A:B,2,0)</f>
        <v>PrimePatConfigTestMethod</v>
      </c>
      <c r="D436" t="str">
        <f>E436&amp;"_"&amp;F436&amp;"_"&amp;G436&amp;"_"&amp;H436&amp;"_"&amp;A436&amp;"_"&amp;I436&amp;"_"&amp;J436&amp;"_"&amp;K436&amp;"_"&amp;L436&amp;"_"&amp;M436&amp;"_"&amp;N436</f>
        <v>ALL_CORE_FUSECONFIG_E_BEGIN_TITO_CR_NOM_LFM_0400_REPAIR</v>
      </c>
      <c r="E436" t="s">
        <v>7</v>
      </c>
      <c r="F436" t="s">
        <v>24</v>
      </c>
      <c r="G436" t="s">
        <v>259</v>
      </c>
      <c r="H436" t="s">
        <v>207</v>
      </c>
      <c r="I436" t="s">
        <v>260</v>
      </c>
      <c r="J436" t="s">
        <v>777</v>
      </c>
      <c r="K436" t="s">
        <v>284</v>
      </c>
      <c r="L436" t="s">
        <v>285</v>
      </c>
      <c r="M436" t="str">
        <f t="shared" si="259"/>
        <v>0400</v>
      </c>
      <c r="N436" t="s">
        <v>261</v>
      </c>
      <c r="O436" t="s">
        <v>211</v>
      </c>
      <c r="P436" t="s">
        <v>211</v>
      </c>
      <c r="Q436" t="s">
        <v>212</v>
      </c>
      <c r="R436">
        <v>21</v>
      </c>
      <c r="S436">
        <v>20</v>
      </c>
      <c r="T436">
        <v>103</v>
      </c>
      <c r="U436">
        <v>-1</v>
      </c>
      <c r="V436" t="b">
        <v>0</v>
      </c>
      <c r="AH436" t="s">
        <v>358</v>
      </c>
      <c r="AI436" s="13" t="s">
        <v>809</v>
      </c>
      <c r="AS436">
        <f>COUNTA(AU436:BD436)</f>
        <v>3</v>
      </c>
      <c r="AT436">
        <v>1</v>
      </c>
      <c r="AU436">
        <v>1</v>
      </c>
      <c r="AV436">
        <v>1</v>
      </c>
      <c r="AW436">
        <v>1</v>
      </c>
    </row>
    <row r="437" spans="1:56" x14ac:dyDescent="0.35">
      <c r="A437" s="45" t="s">
        <v>12</v>
      </c>
      <c r="B437" s="45" t="s">
        <v>50</v>
      </c>
      <c r="C437" s="45" t="str">
        <f>VLOOKUP(B437,templateLookup!A:B,2,0)</f>
        <v>COMPOSITE</v>
      </c>
      <c r="D437" s="10" t="s">
        <v>810</v>
      </c>
      <c r="V437" s="12"/>
    </row>
    <row r="438" spans="1:56" x14ac:dyDescent="0.35">
      <c r="A438" s="45" t="s">
        <v>12</v>
      </c>
      <c r="B438" s="45" t="s">
        <v>49</v>
      </c>
      <c r="C438" s="45" t="str">
        <f>VLOOKUP(B438,templateLookup!A:B,2,0)</f>
        <v>COMPOSITE</v>
      </c>
      <c r="D438" s="10" t="s">
        <v>811</v>
      </c>
      <c r="F438" t="s">
        <v>30</v>
      </c>
      <c r="V438" s="12"/>
      <c r="AS438">
        <f>COUNTA(AU438:BD438)</f>
        <v>2</v>
      </c>
      <c r="AT438">
        <v>1</v>
      </c>
      <c r="AU438">
        <v>1</v>
      </c>
      <c r="AV438">
        <v>1</v>
      </c>
    </row>
    <row r="439" spans="1:56" x14ac:dyDescent="0.35">
      <c r="A439" s="7" t="s">
        <v>12</v>
      </c>
      <c r="B439" s="7" t="s">
        <v>776</v>
      </c>
      <c r="C439" s="7" t="str">
        <f>VLOOKUP(B439,templateLookup!A:B,2,0)</f>
        <v>PrimeMbistVminSearchTestMethod</v>
      </c>
      <c r="D439" t="str">
        <f>E439&amp;"_"&amp;F439&amp;"_"&amp;G439&amp;"_"&amp;H439&amp;"_"&amp;A439&amp;"_"&amp;I439&amp;"_"&amp;J439&amp;"_"&amp;K439&amp;"_"&amp;L439&amp;"_"&amp;M439&amp;"_"&amp;N439</f>
        <v>LSA_CORE_HRY_E_BEGIN_TITO_CR_NOM_LFM_0400_POSTHRY_BP_3</v>
      </c>
      <c r="E439" t="s">
        <v>5</v>
      </c>
      <c r="F439" t="s">
        <v>24</v>
      </c>
      <c r="G439" t="s">
        <v>271</v>
      </c>
      <c r="H439" t="s">
        <v>207</v>
      </c>
      <c r="I439" t="s">
        <v>260</v>
      </c>
      <c r="J439" t="s">
        <v>777</v>
      </c>
      <c r="K439" t="s">
        <v>284</v>
      </c>
      <c r="L439" t="s">
        <v>285</v>
      </c>
      <c r="M439" t="str">
        <f>TEXT(400,"0000")</f>
        <v>0400</v>
      </c>
      <c r="N439" t="s">
        <v>812</v>
      </c>
      <c r="O439" t="s">
        <v>267</v>
      </c>
      <c r="P439" t="s">
        <v>778</v>
      </c>
      <c r="Q439" t="s">
        <v>779</v>
      </c>
      <c r="R439">
        <v>61</v>
      </c>
      <c r="S439">
        <v>20</v>
      </c>
      <c r="T439">
        <v>141</v>
      </c>
      <c r="U439">
        <v>-1</v>
      </c>
      <c r="V439" t="b">
        <v>0</v>
      </c>
      <c r="W439" t="s">
        <v>270</v>
      </c>
      <c r="X439" t="s">
        <v>363</v>
      </c>
      <c r="Y439" t="s">
        <v>272</v>
      </c>
      <c r="Z439">
        <v>0.85</v>
      </c>
      <c r="AA439">
        <v>0.85</v>
      </c>
      <c r="AS439">
        <f>COUNTA(AU439:BD439)</f>
        <v>10</v>
      </c>
      <c r="AT439" t="s">
        <v>273</v>
      </c>
      <c r="AU439" t="str">
        <f t="shared" ref="AU439:BD441" si="260">$D440</f>
        <v>SSA_CORE_HRY_E_BEGIN_TITO_CR_NOM_LFM_0400_POSTHRY_BP_4_5</v>
      </c>
      <c r="AV439" t="str">
        <f t="shared" si="260"/>
        <v>SSA_CORE_HRY_E_BEGIN_TITO_CR_NOM_LFM_0400_POSTHRY_BP_4_5</v>
      </c>
      <c r="AW439" t="str">
        <f t="shared" si="260"/>
        <v>SSA_CORE_HRY_E_BEGIN_TITO_CR_NOM_LFM_0400_POSTHRY_BP_4_5</v>
      </c>
      <c r="AX439" t="str">
        <f t="shared" si="260"/>
        <v>SSA_CORE_HRY_E_BEGIN_TITO_CR_NOM_LFM_0400_POSTHRY_BP_4_5</v>
      </c>
      <c r="AY439" t="str">
        <f t="shared" si="260"/>
        <v>SSA_CORE_HRY_E_BEGIN_TITO_CR_NOM_LFM_0400_POSTHRY_BP_4_5</v>
      </c>
      <c r="AZ439" t="str">
        <f t="shared" si="260"/>
        <v>SSA_CORE_HRY_E_BEGIN_TITO_CR_NOM_LFM_0400_POSTHRY_BP_4_5</v>
      </c>
      <c r="BA439" t="str">
        <f t="shared" si="260"/>
        <v>SSA_CORE_HRY_E_BEGIN_TITO_CR_NOM_LFM_0400_POSTHRY_BP_4_5</v>
      </c>
      <c r="BB439" t="str">
        <f t="shared" si="260"/>
        <v>SSA_CORE_HRY_E_BEGIN_TITO_CR_NOM_LFM_0400_POSTHRY_BP_4_5</v>
      </c>
      <c r="BC439" t="str">
        <f t="shared" si="260"/>
        <v>SSA_CORE_HRY_E_BEGIN_TITO_CR_NOM_LFM_0400_POSTHRY_BP_4_5</v>
      </c>
      <c r="BD439" t="str">
        <f t="shared" si="260"/>
        <v>SSA_CORE_HRY_E_BEGIN_TITO_CR_NOM_LFM_0400_POSTHRY_BP_4_5</v>
      </c>
    </row>
    <row r="440" spans="1:56" x14ac:dyDescent="0.35">
      <c r="A440" s="7" t="s">
        <v>12</v>
      </c>
      <c r="B440" s="7" t="s">
        <v>776</v>
      </c>
      <c r="C440" s="7" t="str">
        <f>VLOOKUP(B440,templateLookup!A:B,2,0)</f>
        <v>PrimeMbistVminSearchTestMethod</v>
      </c>
      <c r="D440" t="str">
        <f>E440&amp;"_"&amp;F440&amp;"_"&amp;G440&amp;"_"&amp;H440&amp;"_"&amp;A440&amp;"_"&amp;I440&amp;"_"&amp;J440&amp;"_"&amp;K440&amp;"_"&amp;L440&amp;"_"&amp;M440&amp;"_"&amp;N440</f>
        <v>SSA_CORE_HRY_E_BEGIN_TITO_CR_NOM_LFM_0400_POSTHRY_BP_4_5</v>
      </c>
      <c r="E440" t="s">
        <v>4</v>
      </c>
      <c r="F440" t="s">
        <v>24</v>
      </c>
      <c r="G440" t="s">
        <v>271</v>
      </c>
      <c r="H440" t="s">
        <v>207</v>
      </c>
      <c r="I440" t="s">
        <v>260</v>
      </c>
      <c r="J440" t="s">
        <v>777</v>
      </c>
      <c r="K440" t="s">
        <v>284</v>
      </c>
      <c r="L440" t="s">
        <v>285</v>
      </c>
      <c r="M440" t="str">
        <f t="shared" ref="M440:M442" si="261">TEXT(400,"0000")</f>
        <v>0400</v>
      </c>
      <c r="N440" t="s">
        <v>813</v>
      </c>
      <c r="O440" t="s">
        <v>267</v>
      </c>
      <c r="P440" t="s">
        <v>778</v>
      </c>
      <c r="Q440" t="s">
        <v>784</v>
      </c>
      <c r="R440">
        <v>61</v>
      </c>
      <c r="S440">
        <v>20</v>
      </c>
      <c r="T440">
        <v>142</v>
      </c>
      <c r="U440">
        <v>-1</v>
      </c>
      <c r="V440" t="b">
        <v>0</v>
      </c>
      <c r="W440" t="s">
        <v>270</v>
      </c>
      <c r="X440" t="s">
        <v>363</v>
      </c>
      <c r="Y440" t="s">
        <v>272</v>
      </c>
      <c r="Z440">
        <v>0.85</v>
      </c>
      <c r="AA440">
        <v>0.85</v>
      </c>
      <c r="AS440">
        <f>COUNTA(AU440:BD440)</f>
        <v>10</v>
      </c>
      <c r="AT440" t="s">
        <v>273</v>
      </c>
      <c r="AU440" t="str">
        <f t="shared" si="260"/>
        <v>LSA_CORE_HRY_E_BEGIN_TITO_CR_NOM_LFM_0400_POSTHRY_BP_6</v>
      </c>
      <c r="AV440" t="str">
        <f t="shared" si="260"/>
        <v>LSA_CORE_HRY_E_BEGIN_TITO_CR_NOM_LFM_0400_POSTHRY_BP_6</v>
      </c>
      <c r="AW440" t="str">
        <f t="shared" si="260"/>
        <v>LSA_CORE_HRY_E_BEGIN_TITO_CR_NOM_LFM_0400_POSTHRY_BP_6</v>
      </c>
      <c r="AX440" t="str">
        <f t="shared" si="260"/>
        <v>LSA_CORE_HRY_E_BEGIN_TITO_CR_NOM_LFM_0400_POSTHRY_BP_6</v>
      </c>
      <c r="AY440" t="str">
        <f t="shared" si="260"/>
        <v>LSA_CORE_HRY_E_BEGIN_TITO_CR_NOM_LFM_0400_POSTHRY_BP_6</v>
      </c>
      <c r="AZ440" t="str">
        <f t="shared" si="260"/>
        <v>LSA_CORE_HRY_E_BEGIN_TITO_CR_NOM_LFM_0400_POSTHRY_BP_6</v>
      </c>
      <c r="BA440" t="str">
        <f t="shared" si="260"/>
        <v>LSA_CORE_HRY_E_BEGIN_TITO_CR_NOM_LFM_0400_POSTHRY_BP_6</v>
      </c>
      <c r="BB440" t="str">
        <f t="shared" si="260"/>
        <v>LSA_CORE_HRY_E_BEGIN_TITO_CR_NOM_LFM_0400_POSTHRY_BP_6</v>
      </c>
      <c r="BC440" t="str">
        <f t="shared" si="260"/>
        <v>LSA_CORE_HRY_E_BEGIN_TITO_CR_NOM_LFM_0400_POSTHRY_BP_6</v>
      </c>
      <c r="BD440" t="str">
        <f t="shared" si="260"/>
        <v>LSA_CORE_HRY_E_BEGIN_TITO_CR_NOM_LFM_0400_POSTHRY_BP_6</v>
      </c>
    </row>
    <row r="441" spans="1:56" x14ac:dyDescent="0.35">
      <c r="A441" s="7" t="s">
        <v>12</v>
      </c>
      <c r="B441" s="7" t="s">
        <v>776</v>
      </c>
      <c r="C441" s="7" t="str">
        <f>VLOOKUP(B441,templateLookup!A:B,2,0)</f>
        <v>PrimeMbistVminSearchTestMethod</v>
      </c>
      <c r="D441" t="str">
        <f>E441&amp;"_"&amp;F441&amp;"_"&amp;G441&amp;"_"&amp;H441&amp;"_"&amp;A441&amp;"_"&amp;I441&amp;"_"&amp;J441&amp;"_"&amp;K441&amp;"_"&amp;L441&amp;"_"&amp;M441&amp;"_"&amp;N441</f>
        <v>LSA_CORE_HRY_E_BEGIN_TITO_CR_NOM_LFM_0400_POSTHRY_BP_6</v>
      </c>
      <c r="E441" t="s">
        <v>5</v>
      </c>
      <c r="F441" t="s">
        <v>24</v>
      </c>
      <c r="G441" t="s">
        <v>271</v>
      </c>
      <c r="H441" t="s">
        <v>207</v>
      </c>
      <c r="I441" t="s">
        <v>260</v>
      </c>
      <c r="J441" t="s">
        <v>777</v>
      </c>
      <c r="K441" t="s">
        <v>284</v>
      </c>
      <c r="L441" t="s">
        <v>285</v>
      </c>
      <c r="M441" t="str">
        <f t="shared" si="261"/>
        <v>0400</v>
      </c>
      <c r="N441" t="s">
        <v>814</v>
      </c>
      <c r="O441" t="s">
        <v>267</v>
      </c>
      <c r="P441" t="s">
        <v>778</v>
      </c>
      <c r="Q441" t="s">
        <v>790</v>
      </c>
      <c r="R441">
        <v>61</v>
      </c>
      <c r="S441">
        <v>20</v>
      </c>
      <c r="T441">
        <v>143</v>
      </c>
      <c r="U441">
        <v>-1</v>
      </c>
      <c r="V441" t="b">
        <v>0</v>
      </c>
      <c r="W441" t="s">
        <v>298</v>
      </c>
      <c r="X441" t="s">
        <v>363</v>
      </c>
      <c r="Y441" t="s">
        <v>272</v>
      </c>
      <c r="Z441">
        <v>0.85</v>
      </c>
      <c r="AA441">
        <v>0.85</v>
      </c>
      <c r="AS441">
        <f>COUNTA(AU441:BD441)</f>
        <v>10</v>
      </c>
      <c r="AT441" t="s">
        <v>273</v>
      </c>
      <c r="AU441" t="str">
        <f t="shared" si="260"/>
        <v>SSA_CORE_HRY_E_BEGIN_TITO_CR_NOM_LFM_0400_POSTHRY_BP_7</v>
      </c>
      <c r="AV441" t="str">
        <f t="shared" si="260"/>
        <v>SSA_CORE_HRY_E_BEGIN_TITO_CR_NOM_LFM_0400_POSTHRY_BP_7</v>
      </c>
      <c r="AW441" t="str">
        <f t="shared" si="260"/>
        <v>SSA_CORE_HRY_E_BEGIN_TITO_CR_NOM_LFM_0400_POSTHRY_BP_7</v>
      </c>
      <c r="AX441" t="str">
        <f t="shared" si="260"/>
        <v>SSA_CORE_HRY_E_BEGIN_TITO_CR_NOM_LFM_0400_POSTHRY_BP_7</v>
      </c>
      <c r="AY441" t="str">
        <f t="shared" si="260"/>
        <v>SSA_CORE_HRY_E_BEGIN_TITO_CR_NOM_LFM_0400_POSTHRY_BP_7</v>
      </c>
      <c r="AZ441" t="str">
        <f t="shared" si="260"/>
        <v>SSA_CORE_HRY_E_BEGIN_TITO_CR_NOM_LFM_0400_POSTHRY_BP_7</v>
      </c>
      <c r="BA441" t="str">
        <f t="shared" si="260"/>
        <v>SSA_CORE_HRY_E_BEGIN_TITO_CR_NOM_LFM_0400_POSTHRY_BP_7</v>
      </c>
      <c r="BB441" t="str">
        <f t="shared" si="260"/>
        <v>SSA_CORE_HRY_E_BEGIN_TITO_CR_NOM_LFM_0400_POSTHRY_BP_7</v>
      </c>
      <c r="BC441" t="str">
        <f t="shared" si="260"/>
        <v>SSA_CORE_HRY_E_BEGIN_TITO_CR_NOM_LFM_0400_POSTHRY_BP_7</v>
      </c>
      <c r="BD441" t="str">
        <f t="shared" si="260"/>
        <v>SSA_CORE_HRY_E_BEGIN_TITO_CR_NOM_LFM_0400_POSTHRY_BP_7</v>
      </c>
    </row>
    <row r="442" spans="1:56" x14ac:dyDescent="0.35">
      <c r="A442" s="7" t="s">
        <v>12</v>
      </c>
      <c r="B442" s="7" t="s">
        <v>776</v>
      </c>
      <c r="C442" s="7" t="str">
        <f>VLOOKUP(B442,templateLookup!A:B,2,0)</f>
        <v>PrimeMbistVminSearchTestMethod</v>
      </c>
      <c r="D442" t="str">
        <f>E442&amp;"_"&amp;F442&amp;"_"&amp;G442&amp;"_"&amp;H442&amp;"_"&amp;A442&amp;"_"&amp;I442&amp;"_"&amp;J442&amp;"_"&amp;K442&amp;"_"&amp;L442&amp;"_"&amp;M442&amp;"_"&amp;N442</f>
        <v>SSA_CORE_HRY_E_BEGIN_TITO_CR_NOM_LFM_0400_POSTHRY_BP_7</v>
      </c>
      <c r="E442" t="s">
        <v>4</v>
      </c>
      <c r="F442" t="s">
        <v>24</v>
      </c>
      <c r="G442" t="s">
        <v>271</v>
      </c>
      <c r="H442" t="s">
        <v>207</v>
      </c>
      <c r="I442" t="s">
        <v>260</v>
      </c>
      <c r="J442" t="s">
        <v>777</v>
      </c>
      <c r="K442" t="s">
        <v>284</v>
      </c>
      <c r="L442" t="s">
        <v>285</v>
      </c>
      <c r="M442" t="str">
        <f t="shared" si="261"/>
        <v>0400</v>
      </c>
      <c r="N442" t="s">
        <v>815</v>
      </c>
      <c r="O442" t="s">
        <v>267</v>
      </c>
      <c r="P442" t="s">
        <v>397</v>
      </c>
      <c r="Q442" t="s">
        <v>798</v>
      </c>
      <c r="R442">
        <v>21</v>
      </c>
      <c r="S442">
        <v>20</v>
      </c>
      <c r="T442">
        <v>159</v>
      </c>
      <c r="U442">
        <v>-1</v>
      </c>
      <c r="V442" t="b">
        <v>0</v>
      </c>
      <c r="W442" t="s">
        <v>270</v>
      </c>
      <c r="X442" t="s">
        <v>363</v>
      </c>
      <c r="Y442" t="s">
        <v>272</v>
      </c>
      <c r="Z442">
        <v>0.85</v>
      </c>
      <c r="AA442">
        <v>0.85</v>
      </c>
      <c r="AS442">
        <f>COUNTA(AU442:BD442)</f>
        <v>10</v>
      </c>
      <c r="AT442" t="s">
        <v>273</v>
      </c>
      <c r="AU442">
        <v>1</v>
      </c>
      <c r="AV442">
        <v>1</v>
      </c>
      <c r="AW442">
        <v>1</v>
      </c>
      <c r="AX442">
        <v>1</v>
      </c>
      <c r="AY442">
        <v>1</v>
      </c>
      <c r="AZ442">
        <v>1</v>
      </c>
      <c r="BA442">
        <v>1</v>
      </c>
      <c r="BB442">
        <v>1</v>
      </c>
      <c r="BC442">
        <v>1</v>
      </c>
      <c r="BD442">
        <v>1</v>
      </c>
    </row>
    <row r="443" spans="1:56" x14ac:dyDescent="0.35">
      <c r="A443" s="45" t="s">
        <v>12</v>
      </c>
      <c r="B443" s="45" t="s">
        <v>50</v>
      </c>
      <c r="C443" s="45" t="str">
        <f>VLOOKUP(B443,templateLookup!A:B,2,0)</f>
        <v>COMPOSITE</v>
      </c>
      <c r="D443" s="10" t="s">
        <v>816</v>
      </c>
      <c r="V443" s="12"/>
    </row>
    <row r="444" spans="1:56" x14ac:dyDescent="0.35">
      <c r="A444" s="50" t="s">
        <v>12</v>
      </c>
      <c r="B444" s="50" t="s">
        <v>50</v>
      </c>
      <c r="C444" s="50" t="str">
        <f>VLOOKUP(B444,templateLookup!A:B,2,0)</f>
        <v>COMPOSITE</v>
      </c>
      <c r="D444" s="10" t="s">
        <v>817</v>
      </c>
      <c r="V444" s="12"/>
    </row>
    <row r="445" spans="1:56" x14ac:dyDescent="0.35">
      <c r="A445" s="32" t="s">
        <v>12</v>
      </c>
      <c r="B445" s="32" t="s">
        <v>50</v>
      </c>
      <c r="C445" s="32" t="str">
        <f>VLOOKUP(B445,templateLookup!A:B,2,0)</f>
        <v>COMPOSITE</v>
      </c>
      <c r="D445" s="10" t="s">
        <v>818</v>
      </c>
      <c r="V445" s="12"/>
    </row>
    <row r="446" spans="1:56" x14ac:dyDescent="0.35">
      <c r="A446" s="32" t="s">
        <v>12</v>
      </c>
      <c r="B446" s="32" t="s">
        <v>49</v>
      </c>
      <c r="C446" s="32" t="str">
        <f>VLOOKUP(B446,templateLookup!A:B,2,0)</f>
        <v>COMPOSITE</v>
      </c>
      <c r="D446" s="10" t="s">
        <v>819</v>
      </c>
      <c r="F446" t="s">
        <v>30</v>
      </c>
      <c r="V446" s="12"/>
      <c r="AS446">
        <f>COUNTA(AU446:BD446)</f>
        <v>2</v>
      </c>
      <c r="AT446">
        <v>1</v>
      </c>
      <c r="AU446" t="str">
        <f>$D477</f>
        <v>VMIN_REPAIR</v>
      </c>
      <c r="AV446" t="str">
        <f>$D477</f>
        <v>VMIN_REPAIR</v>
      </c>
    </row>
    <row r="447" spans="1:56" x14ac:dyDescent="0.35">
      <c r="A447" s="40" t="s">
        <v>12</v>
      </c>
      <c r="B447" s="40" t="s">
        <v>49</v>
      </c>
      <c r="C447" s="40" t="str">
        <f>VLOOKUP(B447,templateLookup!A:B,2,0)</f>
        <v>COMPOSITE</v>
      </c>
      <c r="D447" s="5" t="s">
        <v>820</v>
      </c>
      <c r="E447" s="6"/>
      <c r="F447" s="6" t="s">
        <v>30</v>
      </c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AS447">
        <f>COUNTA(AU447:BD447)</f>
        <v>2</v>
      </c>
      <c r="AT447">
        <v>1</v>
      </c>
      <c r="AU447" t="str">
        <f>$D455</f>
        <v>GFX_NON_REPAIRABLE</v>
      </c>
      <c r="AV447" t="str">
        <f>$D455</f>
        <v>GFX_NON_REPAIRABLE</v>
      </c>
    </row>
    <row r="448" spans="1:56" x14ac:dyDescent="0.35">
      <c r="A448" s="12" t="s">
        <v>12</v>
      </c>
      <c r="B448" s="12" t="s">
        <v>54</v>
      </c>
      <c r="C448" s="12" t="str">
        <f>VLOOKUP(B448,templateLookup!A:B,2,0)</f>
        <v>PrimeMbistVminSearchTestMethod</v>
      </c>
      <c r="D448" t="str">
        <f t="shared" ref="D448" si="262">E448&amp;"_"&amp;F448&amp;"_"&amp;G448&amp;"_"&amp;H448&amp;"_"&amp;A448&amp;"_"&amp;I448&amp;"_"&amp;J448&amp;"_"&amp;K448&amp;"_"&amp;L448&amp;"_"&amp;M448&amp;"_"&amp;N448</f>
        <v>LSA_CCF_HRY_E_BEGIN_TITO_CLR_NOM_LFM_0400_CBO0_NONREP</v>
      </c>
      <c r="E448" t="s">
        <v>5</v>
      </c>
      <c r="F448" t="s">
        <v>22</v>
      </c>
      <c r="G448" t="s">
        <v>271</v>
      </c>
      <c r="H448" t="s">
        <v>207</v>
      </c>
      <c r="I448" t="s">
        <v>260</v>
      </c>
      <c r="J448" t="s">
        <v>300</v>
      </c>
      <c r="K448" t="s">
        <v>284</v>
      </c>
      <c r="L448" t="s">
        <v>285</v>
      </c>
      <c r="M448" t="str">
        <f>TEXT(400,"0000")</f>
        <v>0400</v>
      </c>
      <c r="N448" t="s">
        <v>821</v>
      </c>
      <c r="O448" t="s">
        <v>267</v>
      </c>
      <c r="P448" t="s">
        <v>287</v>
      </c>
      <c r="Q448" t="s">
        <v>822</v>
      </c>
      <c r="R448">
        <f>VLOOKUP(E448,binningRules!$B$6:$C$9,2,0)</f>
        <v>21</v>
      </c>
      <c r="S448">
        <v>10</v>
      </c>
      <c r="T448">
        <v>200</v>
      </c>
      <c r="U448">
        <v>-1</v>
      </c>
      <c r="V448" t="b">
        <v>0</v>
      </c>
      <c r="W448" t="s">
        <v>270</v>
      </c>
      <c r="X448" t="s">
        <v>271</v>
      </c>
      <c r="Y448" t="s">
        <v>272</v>
      </c>
      <c r="Z448">
        <v>0.85</v>
      </c>
      <c r="AA448">
        <v>0.85</v>
      </c>
      <c r="AS448">
        <f>COUNTA(AU448:BD448)</f>
        <v>10</v>
      </c>
      <c r="AT448" t="s">
        <v>273</v>
      </c>
      <c r="AU448" t="str">
        <f t="shared" ref="AU448:BD452" si="263">$D449</f>
        <v>LSA_CCF_HRY_E_BEGIN_TITO_CLR_NOM_LFM_0400_CBO1_NONREP</v>
      </c>
      <c r="AV448" t="str">
        <f t="shared" si="263"/>
        <v>LSA_CCF_HRY_E_BEGIN_TITO_CLR_NOM_LFM_0400_CBO1_NONREP</v>
      </c>
      <c r="AW448" t="str">
        <f t="shared" si="263"/>
        <v>LSA_CCF_HRY_E_BEGIN_TITO_CLR_NOM_LFM_0400_CBO1_NONREP</v>
      </c>
      <c r="AX448" t="str">
        <f t="shared" si="263"/>
        <v>LSA_CCF_HRY_E_BEGIN_TITO_CLR_NOM_LFM_0400_CBO1_NONREP</v>
      </c>
      <c r="AY448" t="str">
        <f t="shared" si="263"/>
        <v>LSA_CCF_HRY_E_BEGIN_TITO_CLR_NOM_LFM_0400_CBO1_NONREP</v>
      </c>
      <c r="AZ448" t="str">
        <f t="shared" si="263"/>
        <v>LSA_CCF_HRY_E_BEGIN_TITO_CLR_NOM_LFM_0400_CBO1_NONREP</v>
      </c>
      <c r="BA448" t="str">
        <f t="shared" si="263"/>
        <v>LSA_CCF_HRY_E_BEGIN_TITO_CLR_NOM_LFM_0400_CBO1_NONREP</v>
      </c>
      <c r="BB448" t="str">
        <f t="shared" si="263"/>
        <v>LSA_CCF_HRY_E_BEGIN_TITO_CLR_NOM_LFM_0400_CBO1_NONREP</v>
      </c>
      <c r="BC448" t="str">
        <f t="shared" si="263"/>
        <v>LSA_CCF_HRY_E_BEGIN_TITO_CLR_NOM_LFM_0400_CBO1_NONREP</v>
      </c>
      <c r="BD448" t="str">
        <f t="shared" si="263"/>
        <v>LSA_CCF_HRY_E_BEGIN_TITO_CLR_NOM_LFM_0400_CBO1_NONREP</v>
      </c>
    </row>
    <row r="449" spans="1:56" x14ac:dyDescent="0.35">
      <c r="A449" s="12" t="s">
        <v>12</v>
      </c>
      <c r="B449" s="12" t="s">
        <v>54</v>
      </c>
      <c r="C449" s="12" t="str">
        <f>VLOOKUP(B449,templateLookup!A:B,2,0)</f>
        <v>PrimeMbistVminSearchTestMethod</v>
      </c>
      <c r="D449" t="str">
        <f t="shared" ref="D449" si="264">E449&amp;"_"&amp;F449&amp;"_"&amp;G449&amp;"_"&amp;H449&amp;"_"&amp;A449&amp;"_"&amp;I449&amp;"_"&amp;J449&amp;"_"&amp;K449&amp;"_"&amp;L449&amp;"_"&amp;M449&amp;"_"&amp;N449</f>
        <v>LSA_CCF_HRY_E_BEGIN_TITO_CLR_NOM_LFM_0400_CBO1_NONREP</v>
      </c>
      <c r="E449" t="s">
        <v>5</v>
      </c>
      <c r="F449" t="s">
        <v>22</v>
      </c>
      <c r="G449" t="s">
        <v>271</v>
      </c>
      <c r="H449" t="s">
        <v>207</v>
      </c>
      <c r="I449" t="s">
        <v>260</v>
      </c>
      <c r="J449" t="s">
        <v>300</v>
      </c>
      <c r="K449" t="s">
        <v>284</v>
      </c>
      <c r="L449" t="s">
        <v>285</v>
      </c>
      <c r="M449" t="str">
        <f t="shared" ref="M449:M453" si="265">TEXT(400,"0000")</f>
        <v>0400</v>
      </c>
      <c r="N449" t="s">
        <v>823</v>
      </c>
      <c r="O449" t="s">
        <v>267</v>
      </c>
      <c r="P449" t="s">
        <v>287</v>
      </c>
      <c r="Q449" t="s">
        <v>824</v>
      </c>
      <c r="R449">
        <f>VLOOKUP(E449,binningRules!$B$6:$C$9,2,0)</f>
        <v>21</v>
      </c>
      <c r="S449">
        <v>10</v>
      </c>
      <c r="T449">
        <v>201</v>
      </c>
      <c r="U449">
        <v>-1</v>
      </c>
      <c r="V449" t="b">
        <v>0</v>
      </c>
      <c r="W449" t="s">
        <v>270</v>
      </c>
      <c r="X449" t="s">
        <v>271</v>
      </c>
      <c r="Y449" t="s">
        <v>272</v>
      </c>
      <c r="Z449">
        <v>0.85</v>
      </c>
      <c r="AA449">
        <v>0.85</v>
      </c>
      <c r="AS449">
        <f t="shared" ref="AS449" si="266">COUNTA(AU449:BD449)</f>
        <v>10</v>
      </c>
      <c r="AT449" t="s">
        <v>273</v>
      </c>
      <c r="AU449" t="str">
        <f t="shared" si="263"/>
        <v>LSA_CCF_HRY_E_BEGIN_TITO_CLR_NOM_LFM_0400_CBO2_NONREP</v>
      </c>
      <c r="AV449" t="str">
        <f t="shared" si="263"/>
        <v>LSA_CCF_HRY_E_BEGIN_TITO_CLR_NOM_LFM_0400_CBO2_NONREP</v>
      </c>
      <c r="AW449" t="str">
        <f t="shared" si="263"/>
        <v>LSA_CCF_HRY_E_BEGIN_TITO_CLR_NOM_LFM_0400_CBO2_NONREP</v>
      </c>
      <c r="AX449" t="str">
        <f t="shared" si="263"/>
        <v>LSA_CCF_HRY_E_BEGIN_TITO_CLR_NOM_LFM_0400_CBO2_NONREP</v>
      </c>
      <c r="AY449" t="str">
        <f t="shared" si="263"/>
        <v>LSA_CCF_HRY_E_BEGIN_TITO_CLR_NOM_LFM_0400_CBO2_NONREP</v>
      </c>
      <c r="AZ449" t="str">
        <f t="shared" si="263"/>
        <v>LSA_CCF_HRY_E_BEGIN_TITO_CLR_NOM_LFM_0400_CBO2_NONREP</v>
      </c>
      <c r="BA449" t="str">
        <f t="shared" si="263"/>
        <v>LSA_CCF_HRY_E_BEGIN_TITO_CLR_NOM_LFM_0400_CBO2_NONREP</v>
      </c>
      <c r="BB449" t="str">
        <f t="shared" si="263"/>
        <v>LSA_CCF_HRY_E_BEGIN_TITO_CLR_NOM_LFM_0400_CBO2_NONREP</v>
      </c>
      <c r="BC449" t="str">
        <f t="shared" si="263"/>
        <v>LSA_CCF_HRY_E_BEGIN_TITO_CLR_NOM_LFM_0400_CBO2_NONREP</v>
      </c>
      <c r="BD449" t="str">
        <f t="shared" si="263"/>
        <v>LSA_CCF_HRY_E_BEGIN_TITO_CLR_NOM_LFM_0400_CBO2_NONREP</v>
      </c>
    </row>
    <row r="450" spans="1:56" x14ac:dyDescent="0.35">
      <c r="A450" s="12" t="s">
        <v>12</v>
      </c>
      <c r="B450" s="12" t="s">
        <v>54</v>
      </c>
      <c r="C450" s="12" t="str">
        <f>VLOOKUP(B450,templateLookup!A:B,2,0)</f>
        <v>PrimeMbistVminSearchTestMethod</v>
      </c>
      <c r="D450" t="str">
        <f t="shared" ref="D450:D453" si="267">E450&amp;"_"&amp;F450&amp;"_"&amp;G450&amp;"_"&amp;H450&amp;"_"&amp;A450&amp;"_"&amp;I450&amp;"_"&amp;J450&amp;"_"&amp;K450&amp;"_"&amp;L450&amp;"_"&amp;M450&amp;"_"&amp;N450</f>
        <v>LSA_CCF_HRY_E_BEGIN_TITO_CLR_NOM_LFM_0400_CBO2_NONREP</v>
      </c>
      <c r="E450" t="s">
        <v>5</v>
      </c>
      <c r="F450" t="s">
        <v>22</v>
      </c>
      <c r="G450" t="s">
        <v>271</v>
      </c>
      <c r="H450" t="s">
        <v>207</v>
      </c>
      <c r="I450" t="s">
        <v>260</v>
      </c>
      <c r="J450" t="s">
        <v>300</v>
      </c>
      <c r="K450" t="s">
        <v>284</v>
      </c>
      <c r="L450" t="s">
        <v>285</v>
      </c>
      <c r="M450" t="str">
        <f t="shared" si="265"/>
        <v>0400</v>
      </c>
      <c r="N450" t="s">
        <v>825</v>
      </c>
      <c r="O450" t="s">
        <v>267</v>
      </c>
      <c r="P450" t="s">
        <v>287</v>
      </c>
      <c r="Q450" t="s">
        <v>826</v>
      </c>
      <c r="R450">
        <f>VLOOKUP(E450,binningRules!$B$6:$C$9,2,0)</f>
        <v>21</v>
      </c>
      <c r="S450">
        <v>10</v>
      </c>
      <c r="T450">
        <v>202</v>
      </c>
      <c r="U450">
        <v>-1</v>
      </c>
      <c r="V450" t="b">
        <v>0</v>
      </c>
      <c r="W450" t="s">
        <v>270</v>
      </c>
      <c r="X450" t="s">
        <v>271</v>
      </c>
      <c r="Y450" t="s">
        <v>272</v>
      </c>
      <c r="Z450">
        <v>0.85</v>
      </c>
      <c r="AA450">
        <v>0.85</v>
      </c>
      <c r="AS450">
        <f t="shared" ref="AS450:AS453" si="268">COUNTA(AU450:BD450)</f>
        <v>10</v>
      </c>
      <c r="AT450" t="s">
        <v>273</v>
      </c>
      <c r="AU450" t="str">
        <f t="shared" si="263"/>
        <v>LSA_CCF_HRY_E_BEGIN_TITO_CLR_NOM_LFM_0400_CBO3_NONREP</v>
      </c>
      <c r="AV450" t="str">
        <f t="shared" si="263"/>
        <v>LSA_CCF_HRY_E_BEGIN_TITO_CLR_NOM_LFM_0400_CBO3_NONREP</v>
      </c>
      <c r="AW450" t="str">
        <f t="shared" si="263"/>
        <v>LSA_CCF_HRY_E_BEGIN_TITO_CLR_NOM_LFM_0400_CBO3_NONREP</v>
      </c>
      <c r="AX450" t="str">
        <f t="shared" si="263"/>
        <v>LSA_CCF_HRY_E_BEGIN_TITO_CLR_NOM_LFM_0400_CBO3_NONREP</v>
      </c>
      <c r="AY450" t="str">
        <f t="shared" si="263"/>
        <v>LSA_CCF_HRY_E_BEGIN_TITO_CLR_NOM_LFM_0400_CBO3_NONREP</v>
      </c>
      <c r="AZ450" t="str">
        <f t="shared" si="263"/>
        <v>LSA_CCF_HRY_E_BEGIN_TITO_CLR_NOM_LFM_0400_CBO3_NONREP</v>
      </c>
      <c r="BA450" t="str">
        <f t="shared" si="263"/>
        <v>LSA_CCF_HRY_E_BEGIN_TITO_CLR_NOM_LFM_0400_CBO3_NONREP</v>
      </c>
      <c r="BB450" t="str">
        <f t="shared" si="263"/>
        <v>LSA_CCF_HRY_E_BEGIN_TITO_CLR_NOM_LFM_0400_CBO3_NONREP</v>
      </c>
      <c r="BC450" t="str">
        <f t="shared" si="263"/>
        <v>LSA_CCF_HRY_E_BEGIN_TITO_CLR_NOM_LFM_0400_CBO3_NONREP</v>
      </c>
      <c r="BD450" t="str">
        <f t="shared" si="263"/>
        <v>LSA_CCF_HRY_E_BEGIN_TITO_CLR_NOM_LFM_0400_CBO3_NONREP</v>
      </c>
    </row>
    <row r="451" spans="1:56" x14ac:dyDescent="0.35">
      <c r="A451" s="12" t="s">
        <v>12</v>
      </c>
      <c r="B451" s="12" t="s">
        <v>54</v>
      </c>
      <c r="C451" s="12" t="str">
        <f>VLOOKUP(B451,templateLookup!A:B,2,0)</f>
        <v>PrimeMbistVminSearchTestMethod</v>
      </c>
      <c r="D451" t="str">
        <f t="shared" si="267"/>
        <v>LSA_CCF_HRY_E_BEGIN_TITO_CLR_NOM_LFM_0400_CBO3_NONREP</v>
      </c>
      <c r="E451" t="s">
        <v>5</v>
      </c>
      <c r="F451" t="s">
        <v>22</v>
      </c>
      <c r="G451" t="s">
        <v>271</v>
      </c>
      <c r="H451" t="s">
        <v>207</v>
      </c>
      <c r="I451" t="s">
        <v>260</v>
      </c>
      <c r="J451" t="s">
        <v>300</v>
      </c>
      <c r="K451" t="s">
        <v>284</v>
      </c>
      <c r="L451" t="s">
        <v>285</v>
      </c>
      <c r="M451" t="str">
        <f t="shared" si="265"/>
        <v>0400</v>
      </c>
      <c r="N451" t="s">
        <v>827</v>
      </c>
      <c r="O451" t="s">
        <v>267</v>
      </c>
      <c r="P451" t="s">
        <v>287</v>
      </c>
      <c r="Q451" t="s">
        <v>828</v>
      </c>
      <c r="R451">
        <f>VLOOKUP(E451,binningRules!$B$6:$C$9,2,0)</f>
        <v>21</v>
      </c>
      <c r="S451">
        <v>10</v>
      </c>
      <c r="T451">
        <v>203</v>
      </c>
      <c r="U451">
        <v>-1</v>
      </c>
      <c r="V451" t="b">
        <v>0</v>
      </c>
      <c r="W451" t="s">
        <v>270</v>
      </c>
      <c r="X451" t="s">
        <v>271</v>
      </c>
      <c r="Y451" t="s">
        <v>272</v>
      </c>
      <c r="Z451">
        <v>0.85</v>
      </c>
      <c r="AA451">
        <v>0.85</v>
      </c>
      <c r="AS451">
        <f t="shared" si="268"/>
        <v>10</v>
      </c>
      <c r="AT451" t="s">
        <v>273</v>
      </c>
      <c r="AU451" t="str">
        <f t="shared" si="263"/>
        <v>ROM_CCF_HRY_E_BEGIN_TITO_SAN_NOM_LFM_0400_PMA0_ROM</v>
      </c>
      <c r="AV451" t="str">
        <f t="shared" si="263"/>
        <v>ROM_CCF_HRY_E_BEGIN_TITO_SAN_NOM_LFM_0400_PMA0_ROM</v>
      </c>
      <c r="AW451" t="str">
        <f t="shared" si="263"/>
        <v>ROM_CCF_HRY_E_BEGIN_TITO_SAN_NOM_LFM_0400_PMA0_ROM</v>
      </c>
      <c r="AX451" t="str">
        <f t="shared" si="263"/>
        <v>ROM_CCF_HRY_E_BEGIN_TITO_SAN_NOM_LFM_0400_PMA0_ROM</v>
      </c>
      <c r="AY451" t="str">
        <f t="shared" si="263"/>
        <v>ROM_CCF_HRY_E_BEGIN_TITO_SAN_NOM_LFM_0400_PMA0_ROM</v>
      </c>
      <c r="AZ451" t="str">
        <f t="shared" si="263"/>
        <v>ROM_CCF_HRY_E_BEGIN_TITO_SAN_NOM_LFM_0400_PMA0_ROM</v>
      </c>
      <c r="BA451" t="str">
        <f t="shared" si="263"/>
        <v>ROM_CCF_HRY_E_BEGIN_TITO_SAN_NOM_LFM_0400_PMA0_ROM</v>
      </c>
      <c r="BB451" t="str">
        <f t="shared" si="263"/>
        <v>ROM_CCF_HRY_E_BEGIN_TITO_SAN_NOM_LFM_0400_PMA0_ROM</v>
      </c>
      <c r="BC451" t="str">
        <f t="shared" si="263"/>
        <v>ROM_CCF_HRY_E_BEGIN_TITO_SAN_NOM_LFM_0400_PMA0_ROM</v>
      </c>
      <c r="BD451" t="str">
        <f t="shared" si="263"/>
        <v>ROM_CCF_HRY_E_BEGIN_TITO_SAN_NOM_LFM_0400_PMA0_ROM</v>
      </c>
    </row>
    <row r="452" spans="1:56" x14ac:dyDescent="0.35">
      <c r="A452" s="12" t="s">
        <v>12</v>
      </c>
      <c r="B452" s="12" t="s">
        <v>54</v>
      </c>
      <c r="C452" s="12" t="str">
        <f>VLOOKUP(B452,templateLookup!A:B,2,0)</f>
        <v>PrimeMbistVminSearchTestMethod</v>
      </c>
      <c r="D452" t="str">
        <f t="shared" si="267"/>
        <v>ROM_CCF_HRY_E_BEGIN_TITO_SAN_NOM_LFM_0400_PMA0_ROM</v>
      </c>
      <c r="E452" t="s">
        <v>6</v>
      </c>
      <c r="F452" t="s">
        <v>22</v>
      </c>
      <c r="G452" t="s">
        <v>271</v>
      </c>
      <c r="H452" t="s">
        <v>207</v>
      </c>
      <c r="I452" t="s">
        <v>260</v>
      </c>
      <c r="J452" t="s">
        <v>295</v>
      </c>
      <c r="K452" t="s">
        <v>284</v>
      </c>
      <c r="L452" t="s">
        <v>285</v>
      </c>
      <c r="M452" t="str">
        <f t="shared" si="265"/>
        <v>0400</v>
      </c>
      <c r="N452" t="s">
        <v>829</v>
      </c>
      <c r="O452" t="s">
        <v>267</v>
      </c>
      <c r="P452" t="s">
        <v>268</v>
      </c>
      <c r="Q452" t="s">
        <v>830</v>
      </c>
      <c r="R452">
        <f>VLOOKUP(E452,binningRules!$B$6:$C$9,2,0)</f>
        <v>21</v>
      </c>
      <c r="S452">
        <v>10</v>
      </c>
      <c r="T452">
        <v>204</v>
      </c>
      <c r="U452">
        <v>-1</v>
      </c>
      <c r="V452" t="b">
        <v>0</v>
      </c>
      <c r="W452" t="s">
        <v>270</v>
      </c>
      <c r="X452" t="s">
        <v>271</v>
      </c>
      <c r="Y452" t="s">
        <v>272</v>
      </c>
      <c r="Z452">
        <v>0.85</v>
      </c>
      <c r="AA452">
        <v>0.85</v>
      </c>
      <c r="AS452">
        <f t="shared" si="268"/>
        <v>10</v>
      </c>
      <c r="AT452" t="s">
        <v>273</v>
      </c>
      <c r="AU452" t="str">
        <f t="shared" si="263"/>
        <v>ROM_CCF_HRY_E_BEGIN_TITO_SAN_NOM_LFM_0400_PMA1_ROM</v>
      </c>
      <c r="AV452" t="str">
        <f t="shared" si="263"/>
        <v>ROM_CCF_HRY_E_BEGIN_TITO_SAN_NOM_LFM_0400_PMA1_ROM</v>
      </c>
      <c r="AW452" t="str">
        <f t="shared" si="263"/>
        <v>ROM_CCF_HRY_E_BEGIN_TITO_SAN_NOM_LFM_0400_PMA1_ROM</v>
      </c>
      <c r="AX452" t="str">
        <f t="shared" si="263"/>
        <v>ROM_CCF_HRY_E_BEGIN_TITO_SAN_NOM_LFM_0400_PMA1_ROM</v>
      </c>
      <c r="AY452" t="str">
        <f t="shared" si="263"/>
        <v>ROM_CCF_HRY_E_BEGIN_TITO_SAN_NOM_LFM_0400_PMA1_ROM</v>
      </c>
      <c r="AZ452" t="str">
        <f t="shared" si="263"/>
        <v>ROM_CCF_HRY_E_BEGIN_TITO_SAN_NOM_LFM_0400_PMA1_ROM</v>
      </c>
      <c r="BA452" t="str">
        <f t="shared" si="263"/>
        <v>ROM_CCF_HRY_E_BEGIN_TITO_SAN_NOM_LFM_0400_PMA1_ROM</v>
      </c>
      <c r="BB452" t="str">
        <f t="shared" si="263"/>
        <v>ROM_CCF_HRY_E_BEGIN_TITO_SAN_NOM_LFM_0400_PMA1_ROM</v>
      </c>
      <c r="BC452" t="str">
        <f t="shared" si="263"/>
        <v>ROM_CCF_HRY_E_BEGIN_TITO_SAN_NOM_LFM_0400_PMA1_ROM</v>
      </c>
      <c r="BD452" t="str">
        <f t="shared" si="263"/>
        <v>ROM_CCF_HRY_E_BEGIN_TITO_SAN_NOM_LFM_0400_PMA1_ROM</v>
      </c>
    </row>
    <row r="453" spans="1:56" x14ac:dyDescent="0.35">
      <c r="A453" s="12" t="s">
        <v>12</v>
      </c>
      <c r="B453" s="12" t="s">
        <v>54</v>
      </c>
      <c r="C453" s="12" t="str">
        <f>VLOOKUP(B453,templateLookup!A:B,2,0)</f>
        <v>PrimeMbistVminSearchTestMethod</v>
      </c>
      <c r="D453" t="str">
        <f t="shared" si="267"/>
        <v>ROM_CCF_HRY_E_BEGIN_TITO_SAN_NOM_LFM_0400_PMA1_ROM</v>
      </c>
      <c r="E453" t="s">
        <v>6</v>
      </c>
      <c r="F453" t="s">
        <v>22</v>
      </c>
      <c r="G453" t="s">
        <v>271</v>
      </c>
      <c r="H453" t="s">
        <v>207</v>
      </c>
      <c r="I453" t="s">
        <v>260</v>
      </c>
      <c r="J453" t="s">
        <v>295</v>
      </c>
      <c r="K453" t="s">
        <v>284</v>
      </c>
      <c r="L453" t="s">
        <v>285</v>
      </c>
      <c r="M453" t="str">
        <f t="shared" si="265"/>
        <v>0400</v>
      </c>
      <c r="N453" t="s">
        <v>831</v>
      </c>
      <c r="O453" t="s">
        <v>267</v>
      </c>
      <c r="P453" t="s">
        <v>268</v>
      </c>
      <c r="Q453" t="s">
        <v>832</v>
      </c>
      <c r="R453">
        <f>VLOOKUP(E453,binningRules!$B$6:$C$9,2,0)</f>
        <v>21</v>
      </c>
      <c r="S453">
        <v>10</v>
      </c>
      <c r="T453">
        <v>205</v>
      </c>
      <c r="U453">
        <v>-1</v>
      </c>
      <c r="V453" t="b">
        <v>0</v>
      </c>
      <c r="W453" t="s">
        <v>270</v>
      </c>
      <c r="X453" t="s">
        <v>271</v>
      </c>
      <c r="Y453" t="s">
        <v>272</v>
      </c>
      <c r="Z453">
        <v>0.85</v>
      </c>
      <c r="AA453">
        <v>0.85</v>
      </c>
      <c r="AS453">
        <f t="shared" si="268"/>
        <v>10</v>
      </c>
      <c r="AT453" t="s">
        <v>273</v>
      </c>
      <c r="AU453">
        <v>1</v>
      </c>
      <c r="AV453">
        <v>1</v>
      </c>
      <c r="AW453">
        <v>1</v>
      </c>
      <c r="AX453">
        <v>1</v>
      </c>
      <c r="AY453">
        <v>1</v>
      </c>
      <c r="AZ453">
        <v>1</v>
      </c>
      <c r="BA453">
        <v>1</v>
      </c>
      <c r="BB453" s="8">
        <v>1</v>
      </c>
      <c r="BC453" s="8">
        <v>1</v>
      </c>
      <c r="BD453">
        <v>1</v>
      </c>
    </row>
    <row r="454" spans="1:56" x14ac:dyDescent="0.35">
      <c r="A454" s="40" t="s">
        <v>12</v>
      </c>
      <c r="B454" s="40" t="s">
        <v>50</v>
      </c>
      <c r="C454" s="40" t="str">
        <f>VLOOKUP(B454,templateLookup!A:B,2,0)</f>
        <v>COMPOSITE</v>
      </c>
      <c r="BB454" s="8"/>
      <c r="BC454" s="8"/>
    </row>
    <row r="455" spans="1:56" x14ac:dyDescent="0.35">
      <c r="A455" s="45" t="s">
        <v>12</v>
      </c>
      <c r="B455" s="45" t="s">
        <v>49</v>
      </c>
      <c r="C455" s="45" t="str">
        <f>VLOOKUP(B455,templateLookup!A:B,2,0)</f>
        <v>COMPOSITE</v>
      </c>
      <c r="D455" s="5" t="s">
        <v>833</v>
      </c>
      <c r="E455" s="6"/>
      <c r="F455" s="6" t="s">
        <v>30</v>
      </c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AS455">
        <f>COUNTA(AU455:BD455)</f>
        <v>2</v>
      </c>
      <c r="AT455">
        <v>1</v>
      </c>
      <c r="AU455" t="str">
        <f>$D458</f>
        <v>SOC_NON_REPAIRABLE</v>
      </c>
      <c r="AV455" t="str">
        <f>$D458</f>
        <v>SOC_NON_REPAIRABLE</v>
      </c>
    </row>
    <row r="456" spans="1:56" x14ac:dyDescent="0.35">
      <c r="A456" s="7" t="s">
        <v>12</v>
      </c>
      <c r="B456" s="7" t="s">
        <v>54</v>
      </c>
      <c r="C456" s="7" t="str">
        <f>VLOOKUP(B456,templateLookup!A:B,2,0)</f>
        <v>PrimeMbistVminSearchTestMethod</v>
      </c>
      <c r="D456" t="str">
        <f t="shared" ref="D456" si="269">E456&amp;"_"&amp;F456&amp;"_"&amp;G456&amp;"_"&amp;H456&amp;"_"&amp;A456&amp;"_"&amp;I456&amp;"_"&amp;J456&amp;"_"&amp;K456&amp;"_"&amp;L456&amp;"_"&amp;M456&amp;"_"&amp;N456</f>
        <v>ROM_CCF_HRY_E_BEGIN_TITO_SAME_NOM_LFM_0400_MEDIA_ROM</v>
      </c>
      <c r="E456" t="s">
        <v>6</v>
      </c>
      <c r="F456" t="s">
        <v>22</v>
      </c>
      <c r="G456" t="s">
        <v>271</v>
      </c>
      <c r="H456" t="s">
        <v>207</v>
      </c>
      <c r="I456" t="s">
        <v>260</v>
      </c>
      <c r="J456" t="s">
        <v>504</v>
      </c>
      <c r="K456" t="s">
        <v>284</v>
      </c>
      <c r="L456" t="s">
        <v>285</v>
      </c>
      <c r="M456" t="str">
        <f t="shared" ref="M456" si="270">TEXT(400,"0000")</f>
        <v>0400</v>
      </c>
      <c r="N456" t="s">
        <v>834</v>
      </c>
      <c r="O456" t="s">
        <v>267</v>
      </c>
      <c r="P456" t="s">
        <v>397</v>
      </c>
      <c r="Q456" t="s">
        <v>835</v>
      </c>
      <c r="R456">
        <f>VLOOKUP(E456,binningRules!$B$6:$C$9,2,0)</f>
        <v>21</v>
      </c>
      <c r="S456">
        <v>40</v>
      </c>
      <c r="T456">
        <v>100</v>
      </c>
      <c r="U456">
        <v>-1</v>
      </c>
      <c r="V456" t="b">
        <v>0</v>
      </c>
      <c r="W456" t="s">
        <v>298</v>
      </c>
      <c r="X456" t="s">
        <v>271</v>
      </c>
      <c r="Y456" t="s">
        <v>272</v>
      </c>
      <c r="Z456">
        <v>0.85</v>
      </c>
      <c r="AA456">
        <v>0.85</v>
      </c>
      <c r="AS456">
        <f t="shared" ref="AS456" si="271">COUNTA(AU456:BD456)</f>
        <v>10</v>
      </c>
      <c r="AT456" t="s">
        <v>273</v>
      </c>
      <c r="AU456">
        <v>1</v>
      </c>
      <c r="AV456">
        <v>1</v>
      </c>
      <c r="AW456">
        <v>1</v>
      </c>
      <c r="AX456">
        <v>1</v>
      </c>
      <c r="AY456">
        <v>1</v>
      </c>
      <c r="AZ456">
        <v>1</v>
      </c>
      <c r="BA456">
        <v>1</v>
      </c>
      <c r="BB456" s="8">
        <v>1</v>
      </c>
      <c r="BC456" s="8">
        <v>1</v>
      </c>
      <c r="BD456">
        <v>1</v>
      </c>
    </row>
    <row r="457" spans="1:56" x14ac:dyDescent="0.35">
      <c r="A457" s="45" t="s">
        <v>12</v>
      </c>
      <c r="B457" s="45" t="s">
        <v>50</v>
      </c>
      <c r="C457" s="45" t="str">
        <f>VLOOKUP(B457,templateLookup!A:B,2,0)</f>
        <v>COMPOSITE</v>
      </c>
      <c r="BB457" s="8"/>
      <c r="BC457" s="8"/>
    </row>
    <row r="458" spans="1:56" x14ac:dyDescent="0.35">
      <c r="A458" s="27" t="s">
        <v>12</v>
      </c>
      <c r="B458" s="27" t="s">
        <v>49</v>
      </c>
      <c r="C458" s="27" t="str">
        <f>VLOOKUP(B458,templateLookup!A:B,2,0)</f>
        <v>COMPOSITE</v>
      </c>
      <c r="D458" s="5" t="s">
        <v>836</v>
      </c>
      <c r="E458" s="6"/>
      <c r="F458" s="6" t="s">
        <v>30</v>
      </c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AS458">
        <f>COUNTA(AU458:BD458)</f>
        <v>2</v>
      </c>
      <c r="AT458">
        <v>1</v>
      </c>
      <c r="AU458" t="str">
        <f>$D470</f>
        <v>CORE_NON_REPAIRABLE</v>
      </c>
      <c r="AV458" t="str">
        <f>$D470</f>
        <v>CORE_NON_REPAIRABLE</v>
      </c>
    </row>
    <row r="459" spans="1:56" x14ac:dyDescent="0.35">
      <c r="A459" s="28" t="s">
        <v>12</v>
      </c>
      <c r="B459" s="28" t="s">
        <v>54</v>
      </c>
      <c r="C459" s="28" t="str">
        <f>VLOOKUP(B459,templateLookup!A:B,2,0)</f>
        <v>PrimeMbistVminSearchTestMethod</v>
      </c>
      <c r="D459" t="str">
        <f t="shared" ref="D459:D468" si="272">E459&amp;"_"&amp;F459&amp;"_"&amp;G459&amp;"_"&amp;H459&amp;"_"&amp;A459&amp;"_"&amp;I459&amp;"_"&amp;J459&amp;"_"&amp;K459&amp;"_"&amp;L459&amp;"_"&amp;M459&amp;"_"&amp;N459</f>
        <v>LSA_CCF_HRY_E_BEGIN_TITO_SAQ_NOM_LFM_0600_CCE0_NONREP_HRY</v>
      </c>
      <c r="E459" t="s">
        <v>5</v>
      </c>
      <c r="F459" t="s">
        <v>22</v>
      </c>
      <c r="G459" t="s">
        <v>271</v>
      </c>
      <c r="H459" t="s">
        <v>207</v>
      </c>
      <c r="I459" t="s">
        <v>260</v>
      </c>
      <c r="J459" t="s">
        <v>558</v>
      </c>
      <c r="K459" t="s">
        <v>284</v>
      </c>
      <c r="L459" t="s">
        <v>285</v>
      </c>
      <c r="M459" t="s">
        <v>559</v>
      </c>
      <c r="N459" t="s">
        <v>837</v>
      </c>
      <c r="O459" t="s">
        <v>267</v>
      </c>
      <c r="P459" t="s">
        <v>268</v>
      </c>
      <c r="Q459" t="s">
        <v>838</v>
      </c>
      <c r="R459">
        <f>VLOOKUP(E459,binningRules!$B$6:$C$9,2,0)</f>
        <v>21</v>
      </c>
      <c r="S459">
        <v>50</v>
      </c>
      <c r="T459">
        <v>200</v>
      </c>
      <c r="U459">
        <v>-1</v>
      </c>
      <c r="V459" t="b">
        <v>0</v>
      </c>
      <c r="W459" t="s">
        <v>298</v>
      </c>
      <c r="X459" t="s">
        <v>271</v>
      </c>
      <c r="Y459" t="s">
        <v>272</v>
      </c>
      <c r="Z459">
        <v>0.85</v>
      </c>
      <c r="AA459">
        <v>0.85</v>
      </c>
      <c r="AS459">
        <f t="shared" ref="AS459" si="273">COUNTA(AU459:BD459)</f>
        <v>10</v>
      </c>
      <c r="AT459" t="s">
        <v>273</v>
      </c>
      <c r="AU459" t="str">
        <f>$D460</f>
        <v>LSA_CCF_HRY_E_BEGIN_TITO_SAQ_NOM_LFM_0600_CCE1_NONREP_HRY</v>
      </c>
      <c r="AV459" t="str">
        <f>$D460</f>
        <v>LSA_CCF_HRY_E_BEGIN_TITO_SAQ_NOM_LFM_0600_CCE1_NONREP_HRY</v>
      </c>
      <c r="AW459" t="str">
        <f>$D460</f>
        <v>LSA_CCF_HRY_E_BEGIN_TITO_SAQ_NOM_LFM_0600_CCE1_NONREP_HRY</v>
      </c>
      <c r="AX459" t="str">
        <f>$D460</f>
        <v>LSA_CCF_HRY_E_BEGIN_TITO_SAQ_NOM_LFM_0600_CCE1_NONREP_HRY</v>
      </c>
      <c r="AY459" t="str">
        <f t="shared" ref="AY459:BD459" si="274">$D460</f>
        <v>LSA_CCF_HRY_E_BEGIN_TITO_SAQ_NOM_LFM_0600_CCE1_NONREP_HRY</v>
      </c>
      <c r="AZ459" t="str">
        <f t="shared" si="274"/>
        <v>LSA_CCF_HRY_E_BEGIN_TITO_SAQ_NOM_LFM_0600_CCE1_NONREP_HRY</v>
      </c>
      <c r="BA459" t="str">
        <f t="shared" si="274"/>
        <v>LSA_CCF_HRY_E_BEGIN_TITO_SAQ_NOM_LFM_0600_CCE1_NONREP_HRY</v>
      </c>
      <c r="BB459" t="str">
        <f t="shared" si="274"/>
        <v>LSA_CCF_HRY_E_BEGIN_TITO_SAQ_NOM_LFM_0600_CCE1_NONREP_HRY</v>
      </c>
      <c r="BC459" t="str">
        <f t="shared" si="274"/>
        <v>LSA_CCF_HRY_E_BEGIN_TITO_SAQ_NOM_LFM_0600_CCE1_NONREP_HRY</v>
      </c>
      <c r="BD459" t="str">
        <f t="shared" si="274"/>
        <v>LSA_CCF_HRY_E_BEGIN_TITO_SAQ_NOM_LFM_0600_CCE1_NONREP_HRY</v>
      </c>
    </row>
    <row r="460" spans="1:56" x14ac:dyDescent="0.35">
      <c r="A460" s="28" t="s">
        <v>12</v>
      </c>
      <c r="B460" s="28" t="s">
        <v>54</v>
      </c>
      <c r="C460" s="28" t="str">
        <f>VLOOKUP(B460,templateLookup!A:B,2,0)</f>
        <v>PrimeMbistVminSearchTestMethod</v>
      </c>
      <c r="D460" t="str">
        <f t="shared" ref="D460:D461" si="275">E460&amp;"_"&amp;F460&amp;"_"&amp;G460&amp;"_"&amp;H460&amp;"_"&amp;A460&amp;"_"&amp;I460&amp;"_"&amp;J460&amp;"_"&amp;K460&amp;"_"&amp;L460&amp;"_"&amp;M460&amp;"_"&amp;N460</f>
        <v>LSA_CCF_HRY_E_BEGIN_TITO_SAQ_NOM_LFM_0600_CCE1_NONREP_HRY</v>
      </c>
      <c r="E460" t="s">
        <v>5</v>
      </c>
      <c r="F460" t="s">
        <v>22</v>
      </c>
      <c r="G460" t="s">
        <v>271</v>
      </c>
      <c r="H460" t="s">
        <v>207</v>
      </c>
      <c r="I460" t="s">
        <v>260</v>
      </c>
      <c r="J460" t="s">
        <v>558</v>
      </c>
      <c r="K460" t="s">
        <v>284</v>
      </c>
      <c r="L460" t="s">
        <v>285</v>
      </c>
      <c r="M460" t="s">
        <v>559</v>
      </c>
      <c r="N460" t="s">
        <v>839</v>
      </c>
      <c r="O460" t="s">
        <v>267</v>
      </c>
      <c r="P460" t="s">
        <v>268</v>
      </c>
      <c r="Q460" t="s">
        <v>840</v>
      </c>
      <c r="R460">
        <f>VLOOKUP(E460,binningRules!$B$6:$C$9,2,0)</f>
        <v>21</v>
      </c>
      <c r="S460">
        <v>50</v>
      </c>
      <c r="T460">
        <v>201</v>
      </c>
      <c r="U460">
        <v>-1</v>
      </c>
      <c r="V460" t="b">
        <v>0</v>
      </c>
      <c r="W460" t="s">
        <v>298</v>
      </c>
      <c r="X460" t="s">
        <v>271</v>
      </c>
      <c r="Y460" t="s">
        <v>272</v>
      </c>
      <c r="Z460">
        <v>0.85</v>
      </c>
      <c r="AA460">
        <v>0.85</v>
      </c>
      <c r="AS460">
        <f t="shared" ref="AS460:AS467" si="276">COUNTA(AU460:BD460)</f>
        <v>10</v>
      </c>
      <c r="AT460" t="s">
        <v>273</v>
      </c>
      <c r="AU460" t="str">
        <f t="shared" ref="AU460:AU467" si="277">$D461</f>
        <v>ROM_CCF_HRY_E_BEGIN_TITO_SAQ_NOM_LFM_0600_CCSR_ROM</v>
      </c>
      <c r="AV460" t="str">
        <f t="shared" ref="AV460:AV467" si="278">$D461</f>
        <v>ROM_CCF_HRY_E_BEGIN_TITO_SAQ_NOM_LFM_0600_CCSR_ROM</v>
      </c>
      <c r="AW460" t="str">
        <f t="shared" ref="AW460:AW467" si="279">$D461</f>
        <v>ROM_CCF_HRY_E_BEGIN_TITO_SAQ_NOM_LFM_0600_CCSR_ROM</v>
      </c>
      <c r="AX460" t="str">
        <f t="shared" ref="AX460:AX467" si="280">$D461</f>
        <v>ROM_CCF_HRY_E_BEGIN_TITO_SAQ_NOM_LFM_0600_CCSR_ROM</v>
      </c>
      <c r="AY460" t="str">
        <f t="shared" ref="AY460:AY467" si="281">$D461</f>
        <v>ROM_CCF_HRY_E_BEGIN_TITO_SAQ_NOM_LFM_0600_CCSR_ROM</v>
      </c>
      <c r="AZ460" t="str">
        <f t="shared" ref="AZ460:AZ467" si="282">$D461</f>
        <v>ROM_CCF_HRY_E_BEGIN_TITO_SAQ_NOM_LFM_0600_CCSR_ROM</v>
      </c>
      <c r="BA460" t="str">
        <f t="shared" ref="BA460:BA467" si="283">$D461</f>
        <v>ROM_CCF_HRY_E_BEGIN_TITO_SAQ_NOM_LFM_0600_CCSR_ROM</v>
      </c>
      <c r="BB460" t="str">
        <f t="shared" ref="BB460:BB467" si="284">$D461</f>
        <v>ROM_CCF_HRY_E_BEGIN_TITO_SAQ_NOM_LFM_0600_CCSR_ROM</v>
      </c>
      <c r="BC460" t="str">
        <f t="shared" ref="BC460:BC467" si="285">$D461</f>
        <v>ROM_CCF_HRY_E_BEGIN_TITO_SAQ_NOM_LFM_0600_CCSR_ROM</v>
      </c>
      <c r="BD460" t="str">
        <f t="shared" ref="BD460:BD467" si="286">$D461</f>
        <v>ROM_CCF_HRY_E_BEGIN_TITO_SAQ_NOM_LFM_0600_CCSR_ROM</v>
      </c>
    </row>
    <row r="461" spans="1:56" x14ac:dyDescent="0.35">
      <c r="A461" s="28" t="s">
        <v>12</v>
      </c>
      <c r="B461" s="28" t="s">
        <v>54</v>
      </c>
      <c r="C461" s="28" t="str">
        <f>VLOOKUP(B461,templateLookup!A:B,2,0)</f>
        <v>PrimeMbistVminSearchTestMethod</v>
      </c>
      <c r="D461" t="str">
        <f t="shared" si="275"/>
        <v>ROM_CCF_HRY_E_BEGIN_TITO_SAQ_NOM_LFM_0600_CCSR_ROM</v>
      </c>
      <c r="E461" t="s">
        <v>6</v>
      </c>
      <c r="F461" t="s">
        <v>22</v>
      </c>
      <c r="G461" t="s">
        <v>271</v>
      </c>
      <c r="H461" t="s">
        <v>207</v>
      </c>
      <c r="I461" t="s">
        <v>260</v>
      </c>
      <c r="J461" t="s">
        <v>558</v>
      </c>
      <c r="K461" t="s">
        <v>284</v>
      </c>
      <c r="L461" t="s">
        <v>285</v>
      </c>
      <c r="M461" t="s">
        <v>559</v>
      </c>
      <c r="N461" t="s">
        <v>841</v>
      </c>
      <c r="O461" t="s">
        <v>267</v>
      </c>
      <c r="P461" t="s">
        <v>268</v>
      </c>
      <c r="Q461" t="s">
        <v>842</v>
      </c>
      <c r="R461">
        <f>VLOOKUP(E461,binningRules!$B$6:$C$9,2,0)</f>
        <v>21</v>
      </c>
      <c r="S461">
        <v>50</v>
      </c>
      <c r="T461">
        <v>202</v>
      </c>
      <c r="U461">
        <v>-1</v>
      </c>
      <c r="V461" t="b">
        <v>0</v>
      </c>
      <c r="W461" t="s">
        <v>298</v>
      </c>
      <c r="X461" t="s">
        <v>271</v>
      </c>
      <c r="Y461" t="s">
        <v>272</v>
      </c>
      <c r="Z461">
        <v>0.85</v>
      </c>
      <c r="AA461">
        <v>0.85</v>
      </c>
      <c r="AS461">
        <f t="shared" si="276"/>
        <v>10</v>
      </c>
      <c r="AT461" t="s">
        <v>273</v>
      </c>
      <c r="AU461" t="str">
        <f t="shared" ref="AU461:AU465" si="287">$D462</f>
        <v>SSA_CCF_HRY_E_BEGIN_TITO_SAQ_NOM_LFM_0600_CEN1_SSANONREP_HRY</v>
      </c>
      <c r="AV461" t="str">
        <f t="shared" ref="AV461:AV465" si="288">$D462</f>
        <v>SSA_CCF_HRY_E_BEGIN_TITO_SAQ_NOM_LFM_0600_CEN1_SSANONREP_HRY</v>
      </c>
      <c r="AW461" t="str">
        <f t="shared" ref="AW461:AW465" si="289">$D462</f>
        <v>SSA_CCF_HRY_E_BEGIN_TITO_SAQ_NOM_LFM_0600_CEN1_SSANONREP_HRY</v>
      </c>
      <c r="AX461" t="str">
        <f t="shared" ref="AX461:AX465" si="290">$D462</f>
        <v>SSA_CCF_HRY_E_BEGIN_TITO_SAQ_NOM_LFM_0600_CEN1_SSANONREP_HRY</v>
      </c>
      <c r="AY461" t="str">
        <f t="shared" ref="AY461:AY465" si="291">$D462</f>
        <v>SSA_CCF_HRY_E_BEGIN_TITO_SAQ_NOM_LFM_0600_CEN1_SSANONREP_HRY</v>
      </c>
      <c r="AZ461" t="str">
        <f t="shared" ref="AZ461:AZ465" si="292">$D462</f>
        <v>SSA_CCF_HRY_E_BEGIN_TITO_SAQ_NOM_LFM_0600_CEN1_SSANONREP_HRY</v>
      </c>
      <c r="BA461" t="str">
        <f t="shared" ref="BA461:BA465" si="293">$D462</f>
        <v>SSA_CCF_HRY_E_BEGIN_TITO_SAQ_NOM_LFM_0600_CEN1_SSANONREP_HRY</v>
      </c>
      <c r="BB461" t="str">
        <f t="shared" ref="BB461:BB465" si="294">$D462</f>
        <v>SSA_CCF_HRY_E_BEGIN_TITO_SAQ_NOM_LFM_0600_CEN1_SSANONREP_HRY</v>
      </c>
      <c r="BC461" t="str">
        <f t="shared" ref="BC461:BC465" si="295">$D462</f>
        <v>SSA_CCF_HRY_E_BEGIN_TITO_SAQ_NOM_LFM_0600_CEN1_SSANONREP_HRY</v>
      </c>
      <c r="BD461" t="str">
        <f t="shared" ref="BD461:BD465" si="296">$D462</f>
        <v>SSA_CCF_HRY_E_BEGIN_TITO_SAQ_NOM_LFM_0600_CEN1_SSANONREP_HRY</v>
      </c>
    </row>
    <row r="462" spans="1:56" x14ac:dyDescent="0.35">
      <c r="A462" s="28" t="s">
        <v>12</v>
      </c>
      <c r="B462" s="28" t="s">
        <v>54</v>
      </c>
      <c r="C462" s="28" t="str">
        <f>VLOOKUP(B462,templateLookup!A:B,2,0)</f>
        <v>PrimeMbistVminSearchTestMethod</v>
      </c>
      <c r="D462" t="str">
        <f t="shared" ref="D462:D466" si="297">E462&amp;"_"&amp;F462&amp;"_"&amp;G462&amp;"_"&amp;H462&amp;"_"&amp;A462&amp;"_"&amp;I462&amp;"_"&amp;J462&amp;"_"&amp;K462&amp;"_"&amp;L462&amp;"_"&amp;M462&amp;"_"&amp;N462</f>
        <v>SSA_CCF_HRY_E_BEGIN_TITO_SAQ_NOM_LFM_0600_CEN1_SSANONREP_HRY</v>
      </c>
      <c r="E462" t="s">
        <v>4</v>
      </c>
      <c r="F462" t="s">
        <v>22</v>
      </c>
      <c r="G462" t="s">
        <v>271</v>
      </c>
      <c r="H462" t="s">
        <v>207</v>
      </c>
      <c r="I462" t="s">
        <v>260</v>
      </c>
      <c r="J462" t="s">
        <v>558</v>
      </c>
      <c r="K462" t="s">
        <v>284</v>
      </c>
      <c r="L462" t="s">
        <v>285</v>
      </c>
      <c r="M462" t="s">
        <v>559</v>
      </c>
      <c r="N462" t="s">
        <v>843</v>
      </c>
      <c r="O462" t="s">
        <v>267</v>
      </c>
      <c r="P462" t="s">
        <v>268</v>
      </c>
      <c r="Q462" t="s">
        <v>844</v>
      </c>
      <c r="R462">
        <f>VLOOKUP(E462,binningRules!$B$6:$C$9,2,0)</f>
        <v>61</v>
      </c>
      <c r="S462">
        <v>50</v>
      </c>
      <c r="T462">
        <v>203</v>
      </c>
      <c r="U462">
        <v>-1</v>
      </c>
      <c r="V462" t="b">
        <v>0</v>
      </c>
      <c r="W462" t="s">
        <v>298</v>
      </c>
      <c r="X462" t="s">
        <v>271</v>
      </c>
      <c r="Y462" t="s">
        <v>272</v>
      </c>
      <c r="Z462">
        <v>0.85</v>
      </c>
      <c r="AA462">
        <v>0.85</v>
      </c>
      <c r="AS462">
        <f t="shared" si="276"/>
        <v>10</v>
      </c>
      <c r="AT462" t="s">
        <v>273</v>
      </c>
      <c r="AU462" t="str">
        <f t="shared" si="287"/>
        <v>ROM_CCF_HRY_E_BEGIN_TITO_SAQ_NOM_LFM_0600_CEN1_ROM</v>
      </c>
      <c r="AV462" t="str">
        <f t="shared" si="288"/>
        <v>ROM_CCF_HRY_E_BEGIN_TITO_SAQ_NOM_LFM_0600_CEN1_ROM</v>
      </c>
      <c r="AW462" t="str">
        <f t="shared" si="289"/>
        <v>ROM_CCF_HRY_E_BEGIN_TITO_SAQ_NOM_LFM_0600_CEN1_ROM</v>
      </c>
      <c r="AX462" t="str">
        <f t="shared" si="290"/>
        <v>ROM_CCF_HRY_E_BEGIN_TITO_SAQ_NOM_LFM_0600_CEN1_ROM</v>
      </c>
      <c r="AY462" t="str">
        <f t="shared" si="291"/>
        <v>ROM_CCF_HRY_E_BEGIN_TITO_SAQ_NOM_LFM_0600_CEN1_ROM</v>
      </c>
      <c r="AZ462" t="str">
        <f t="shared" si="292"/>
        <v>ROM_CCF_HRY_E_BEGIN_TITO_SAQ_NOM_LFM_0600_CEN1_ROM</v>
      </c>
      <c r="BA462" t="str">
        <f t="shared" si="293"/>
        <v>ROM_CCF_HRY_E_BEGIN_TITO_SAQ_NOM_LFM_0600_CEN1_ROM</v>
      </c>
      <c r="BB462" t="str">
        <f t="shared" si="294"/>
        <v>ROM_CCF_HRY_E_BEGIN_TITO_SAQ_NOM_LFM_0600_CEN1_ROM</v>
      </c>
      <c r="BC462" t="str">
        <f t="shared" si="295"/>
        <v>ROM_CCF_HRY_E_BEGIN_TITO_SAQ_NOM_LFM_0600_CEN1_ROM</v>
      </c>
      <c r="BD462" t="str">
        <f t="shared" si="296"/>
        <v>ROM_CCF_HRY_E_BEGIN_TITO_SAQ_NOM_LFM_0600_CEN1_ROM</v>
      </c>
    </row>
    <row r="463" spans="1:56" x14ac:dyDescent="0.35">
      <c r="A463" s="28" t="s">
        <v>12</v>
      </c>
      <c r="B463" s="28" t="s">
        <v>54</v>
      </c>
      <c r="C463" s="28" t="str">
        <f>VLOOKUP(B463,templateLookup!A:B,2,0)</f>
        <v>PrimeMbistVminSearchTestMethod</v>
      </c>
      <c r="D463" t="str">
        <f t="shared" ref="D463" si="298">E463&amp;"_"&amp;F463&amp;"_"&amp;G463&amp;"_"&amp;H463&amp;"_"&amp;A463&amp;"_"&amp;I463&amp;"_"&amp;J463&amp;"_"&amp;K463&amp;"_"&amp;L463&amp;"_"&amp;M463&amp;"_"&amp;N463</f>
        <v>ROM_CCF_HRY_E_BEGIN_TITO_SAQ_NOM_LFM_0600_CEN1_ROM</v>
      </c>
      <c r="E463" t="s">
        <v>6</v>
      </c>
      <c r="F463" t="s">
        <v>22</v>
      </c>
      <c r="G463" t="s">
        <v>271</v>
      </c>
      <c r="H463" t="s">
        <v>207</v>
      </c>
      <c r="I463" t="s">
        <v>260</v>
      </c>
      <c r="J463" t="s">
        <v>558</v>
      </c>
      <c r="K463" t="s">
        <v>284</v>
      </c>
      <c r="L463" t="s">
        <v>285</v>
      </c>
      <c r="M463" t="s">
        <v>559</v>
      </c>
      <c r="N463" t="s">
        <v>845</v>
      </c>
      <c r="O463" t="s">
        <v>267</v>
      </c>
      <c r="P463" t="s">
        <v>268</v>
      </c>
      <c r="Q463" t="s">
        <v>846</v>
      </c>
      <c r="R463">
        <f>VLOOKUP(E463,binningRules!$B$6:$C$9,2,0)</f>
        <v>21</v>
      </c>
      <c r="S463">
        <v>50</v>
      </c>
      <c r="T463">
        <v>204</v>
      </c>
      <c r="U463">
        <v>-1</v>
      </c>
      <c r="V463" t="b">
        <v>0</v>
      </c>
      <c r="W463" t="s">
        <v>298</v>
      </c>
      <c r="X463" t="s">
        <v>271</v>
      </c>
      <c r="Y463" t="s">
        <v>272</v>
      </c>
      <c r="Z463">
        <v>0.85</v>
      </c>
      <c r="AA463">
        <v>0.85</v>
      </c>
      <c r="AS463">
        <f t="shared" ref="AS463" si="299">COUNTA(AU463:BD463)</f>
        <v>10</v>
      </c>
      <c r="AT463" t="s">
        <v>273</v>
      </c>
      <c r="AU463" t="str">
        <f t="shared" si="287"/>
        <v>ROM_CCF_HRY_E_BEGIN_TITO_SAQ_NOM_LFM_0600_DDHY_ROM</v>
      </c>
      <c r="AV463" t="str">
        <f t="shared" si="288"/>
        <v>ROM_CCF_HRY_E_BEGIN_TITO_SAQ_NOM_LFM_0600_DDHY_ROM</v>
      </c>
      <c r="AW463" t="str">
        <f t="shared" si="289"/>
        <v>ROM_CCF_HRY_E_BEGIN_TITO_SAQ_NOM_LFM_0600_DDHY_ROM</v>
      </c>
      <c r="AX463" t="str">
        <f t="shared" si="290"/>
        <v>ROM_CCF_HRY_E_BEGIN_TITO_SAQ_NOM_LFM_0600_DDHY_ROM</v>
      </c>
      <c r="AY463" t="str">
        <f t="shared" si="291"/>
        <v>ROM_CCF_HRY_E_BEGIN_TITO_SAQ_NOM_LFM_0600_DDHY_ROM</v>
      </c>
      <c r="AZ463" t="str">
        <f t="shared" si="292"/>
        <v>ROM_CCF_HRY_E_BEGIN_TITO_SAQ_NOM_LFM_0600_DDHY_ROM</v>
      </c>
      <c r="BA463" t="str">
        <f t="shared" si="293"/>
        <v>ROM_CCF_HRY_E_BEGIN_TITO_SAQ_NOM_LFM_0600_DDHY_ROM</v>
      </c>
      <c r="BB463" t="str">
        <f t="shared" si="294"/>
        <v>ROM_CCF_HRY_E_BEGIN_TITO_SAQ_NOM_LFM_0600_DDHY_ROM</v>
      </c>
      <c r="BC463" t="str">
        <f t="shared" si="295"/>
        <v>ROM_CCF_HRY_E_BEGIN_TITO_SAQ_NOM_LFM_0600_DDHY_ROM</v>
      </c>
      <c r="BD463" t="str">
        <f t="shared" si="296"/>
        <v>ROM_CCF_HRY_E_BEGIN_TITO_SAQ_NOM_LFM_0600_DDHY_ROM</v>
      </c>
    </row>
    <row r="464" spans="1:56" x14ac:dyDescent="0.35">
      <c r="A464" s="28" t="s">
        <v>12</v>
      </c>
      <c r="B464" s="28" t="s">
        <v>54</v>
      </c>
      <c r="C464" s="28" t="str">
        <f>VLOOKUP(B464,templateLookup!A:B,2,0)</f>
        <v>PrimeMbistVminSearchTestMethod</v>
      </c>
      <c r="D464" t="str">
        <f t="shared" si="297"/>
        <v>ROM_CCF_HRY_E_BEGIN_TITO_SAQ_NOM_LFM_0600_DDHY_ROM</v>
      </c>
      <c r="E464" t="s">
        <v>6</v>
      </c>
      <c r="F464" t="s">
        <v>22</v>
      </c>
      <c r="G464" t="s">
        <v>271</v>
      </c>
      <c r="H464" t="s">
        <v>207</v>
      </c>
      <c r="I464" t="s">
        <v>260</v>
      </c>
      <c r="J464" t="s">
        <v>558</v>
      </c>
      <c r="K464" t="s">
        <v>284</v>
      </c>
      <c r="L464" t="s">
        <v>285</v>
      </c>
      <c r="M464" t="s">
        <v>559</v>
      </c>
      <c r="N464" t="s">
        <v>847</v>
      </c>
      <c r="O464" t="s">
        <v>267</v>
      </c>
      <c r="P464" t="s">
        <v>268</v>
      </c>
      <c r="Q464" t="s">
        <v>848</v>
      </c>
      <c r="R464">
        <f>VLOOKUP(E464,binningRules!$B$6:$C$9,2,0)</f>
        <v>21</v>
      </c>
      <c r="S464">
        <v>50</v>
      </c>
      <c r="T464">
        <v>205</v>
      </c>
      <c r="U464">
        <v>-1</v>
      </c>
      <c r="V464" t="b">
        <v>0</v>
      </c>
      <c r="W464" t="s">
        <v>298</v>
      </c>
      <c r="X464" t="s">
        <v>271</v>
      </c>
      <c r="Y464" t="s">
        <v>272</v>
      </c>
      <c r="Z464">
        <v>0.85</v>
      </c>
      <c r="AA464">
        <v>0.85</v>
      </c>
      <c r="AS464">
        <f t="shared" si="276"/>
        <v>10</v>
      </c>
      <c r="AT464" t="s">
        <v>273</v>
      </c>
      <c r="AU464" t="str">
        <f t="shared" si="287"/>
        <v>ROM_CCF_HRY_E_BEGIN_TITO_SAQ_NOM_LFM_0600_GTMISC_ROM</v>
      </c>
      <c r="AV464" t="str">
        <f t="shared" si="288"/>
        <v>ROM_CCF_HRY_E_BEGIN_TITO_SAQ_NOM_LFM_0600_GTMISC_ROM</v>
      </c>
      <c r="AW464" t="str">
        <f t="shared" si="289"/>
        <v>ROM_CCF_HRY_E_BEGIN_TITO_SAQ_NOM_LFM_0600_GTMISC_ROM</v>
      </c>
      <c r="AX464" t="str">
        <f t="shared" si="290"/>
        <v>ROM_CCF_HRY_E_BEGIN_TITO_SAQ_NOM_LFM_0600_GTMISC_ROM</v>
      </c>
      <c r="AY464" t="str">
        <f t="shared" si="291"/>
        <v>ROM_CCF_HRY_E_BEGIN_TITO_SAQ_NOM_LFM_0600_GTMISC_ROM</v>
      </c>
      <c r="AZ464" t="str">
        <f t="shared" si="292"/>
        <v>ROM_CCF_HRY_E_BEGIN_TITO_SAQ_NOM_LFM_0600_GTMISC_ROM</v>
      </c>
      <c r="BA464" t="str">
        <f t="shared" si="293"/>
        <v>ROM_CCF_HRY_E_BEGIN_TITO_SAQ_NOM_LFM_0600_GTMISC_ROM</v>
      </c>
      <c r="BB464" t="str">
        <f t="shared" si="294"/>
        <v>ROM_CCF_HRY_E_BEGIN_TITO_SAQ_NOM_LFM_0600_GTMISC_ROM</v>
      </c>
      <c r="BC464" t="str">
        <f t="shared" si="295"/>
        <v>ROM_CCF_HRY_E_BEGIN_TITO_SAQ_NOM_LFM_0600_GTMISC_ROM</v>
      </c>
      <c r="BD464" t="str">
        <f t="shared" si="296"/>
        <v>ROM_CCF_HRY_E_BEGIN_TITO_SAQ_NOM_LFM_0600_GTMISC_ROM</v>
      </c>
    </row>
    <row r="465" spans="1:56" x14ac:dyDescent="0.35">
      <c r="A465" s="28" t="s">
        <v>12</v>
      </c>
      <c r="B465" s="28" t="s">
        <v>54</v>
      </c>
      <c r="C465" s="28" t="str">
        <f>VLOOKUP(B465,templateLookup!A:B,2,0)</f>
        <v>PrimeMbistVminSearchTestMethod</v>
      </c>
      <c r="D465" t="str">
        <f t="shared" si="297"/>
        <v>ROM_CCF_HRY_E_BEGIN_TITO_SAQ_NOM_LFM_0600_GTMISC_ROM</v>
      </c>
      <c r="E465" t="s">
        <v>6</v>
      </c>
      <c r="F465" t="s">
        <v>22</v>
      </c>
      <c r="G465" t="s">
        <v>271</v>
      </c>
      <c r="H465" t="s">
        <v>207</v>
      </c>
      <c r="I465" t="s">
        <v>260</v>
      </c>
      <c r="J465" t="s">
        <v>558</v>
      </c>
      <c r="K465" t="s">
        <v>284</v>
      </c>
      <c r="L465" t="s">
        <v>285</v>
      </c>
      <c r="M465" t="s">
        <v>559</v>
      </c>
      <c r="N465" t="s">
        <v>849</v>
      </c>
      <c r="O465" t="s">
        <v>267</v>
      </c>
      <c r="P465" t="s">
        <v>268</v>
      </c>
      <c r="Q465" t="s">
        <v>850</v>
      </c>
      <c r="R465">
        <f>VLOOKUP(E465,binningRules!$B$6:$C$9,2,0)</f>
        <v>21</v>
      </c>
      <c r="S465">
        <v>50</v>
      </c>
      <c r="T465">
        <v>206</v>
      </c>
      <c r="U465">
        <v>-1</v>
      </c>
      <c r="V465" t="b">
        <v>0</v>
      </c>
      <c r="W465" t="s">
        <v>298</v>
      </c>
      <c r="X465" t="s">
        <v>271</v>
      </c>
      <c r="Y465" t="s">
        <v>272</v>
      </c>
      <c r="Z465">
        <v>0.85</v>
      </c>
      <c r="AA465">
        <v>0.85</v>
      </c>
      <c r="AS465">
        <f t="shared" si="276"/>
        <v>10</v>
      </c>
      <c r="AT465" t="s">
        <v>273</v>
      </c>
      <c r="AU465" t="str">
        <f t="shared" si="287"/>
        <v>LSA_CCF_HRY_E_BEGIN_TITO_SAQ_NOM_LFM_0600_HBO0_NONREP_HRY</v>
      </c>
      <c r="AV465" t="str">
        <f t="shared" si="288"/>
        <v>LSA_CCF_HRY_E_BEGIN_TITO_SAQ_NOM_LFM_0600_HBO0_NONREP_HRY</v>
      </c>
      <c r="AW465" t="str">
        <f t="shared" si="289"/>
        <v>LSA_CCF_HRY_E_BEGIN_TITO_SAQ_NOM_LFM_0600_HBO0_NONREP_HRY</v>
      </c>
      <c r="AX465" t="str">
        <f t="shared" si="290"/>
        <v>LSA_CCF_HRY_E_BEGIN_TITO_SAQ_NOM_LFM_0600_HBO0_NONREP_HRY</v>
      </c>
      <c r="AY465" t="str">
        <f t="shared" si="291"/>
        <v>LSA_CCF_HRY_E_BEGIN_TITO_SAQ_NOM_LFM_0600_HBO0_NONREP_HRY</v>
      </c>
      <c r="AZ465" t="str">
        <f t="shared" si="292"/>
        <v>LSA_CCF_HRY_E_BEGIN_TITO_SAQ_NOM_LFM_0600_HBO0_NONREP_HRY</v>
      </c>
      <c r="BA465" t="str">
        <f t="shared" si="293"/>
        <v>LSA_CCF_HRY_E_BEGIN_TITO_SAQ_NOM_LFM_0600_HBO0_NONREP_HRY</v>
      </c>
      <c r="BB465" t="str">
        <f t="shared" si="294"/>
        <v>LSA_CCF_HRY_E_BEGIN_TITO_SAQ_NOM_LFM_0600_HBO0_NONREP_HRY</v>
      </c>
      <c r="BC465" t="str">
        <f t="shared" si="295"/>
        <v>LSA_CCF_HRY_E_BEGIN_TITO_SAQ_NOM_LFM_0600_HBO0_NONREP_HRY</v>
      </c>
      <c r="BD465" t="str">
        <f t="shared" si="296"/>
        <v>LSA_CCF_HRY_E_BEGIN_TITO_SAQ_NOM_LFM_0600_HBO0_NONREP_HRY</v>
      </c>
    </row>
    <row r="466" spans="1:56" x14ac:dyDescent="0.35">
      <c r="A466" s="28" t="s">
        <v>12</v>
      </c>
      <c r="B466" s="28" t="s">
        <v>54</v>
      </c>
      <c r="C466" s="28" t="str">
        <f>VLOOKUP(B466,templateLookup!A:B,2,0)</f>
        <v>PrimeMbistVminSearchTestMethod</v>
      </c>
      <c r="D466" t="str">
        <f t="shared" si="297"/>
        <v>LSA_CCF_HRY_E_BEGIN_TITO_SAQ_NOM_LFM_0600_HBO0_NONREP_HRY</v>
      </c>
      <c r="E466" t="s">
        <v>5</v>
      </c>
      <c r="F466" t="s">
        <v>22</v>
      </c>
      <c r="G466" t="s">
        <v>271</v>
      </c>
      <c r="H466" t="s">
        <v>207</v>
      </c>
      <c r="I466" t="s">
        <v>260</v>
      </c>
      <c r="J466" t="s">
        <v>558</v>
      </c>
      <c r="K466" t="s">
        <v>284</v>
      </c>
      <c r="L466" t="s">
        <v>285</v>
      </c>
      <c r="M466" t="s">
        <v>559</v>
      </c>
      <c r="N466" t="s">
        <v>851</v>
      </c>
      <c r="O466" t="s">
        <v>267</v>
      </c>
      <c r="P466" t="s">
        <v>268</v>
      </c>
      <c r="Q466" t="s">
        <v>852</v>
      </c>
      <c r="R466">
        <f>VLOOKUP(E466,binningRules!$B$6:$C$9,2,0)</f>
        <v>21</v>
      </c>
      <c r="S466">
        <v>50</v>
      </c>
      <c r="T466">
        <v>207</v>
      </c>
      <c r="U466">
        <v>-1</v>
      </c>
      <c r="V466" t="b">
        <v>0</v>
      </c>
      <c r="W466" t="s">
        <v>298</v>
      </c>
      <c r="X466" t="s">
        <v>271</v>
      </c>
      <c r="Y466" t="s">
        <v>272</v>
      </c>
      <c r="Z466">
        <v>0.85</v>
      </c>
      <c r="AA466">
        <v>0.85</v>
      </c>
      <c r="AS466">
        <f t="shared" si="276"/>
        <v>10</v>
      </c>
      <c r="AT466" t="s">
        <v>273</v>
      </c>
      <c r="AU466" t="str">
        <f t="shared" si="277"/>
        <v>LSA_CCF_HRY_E_BEGIN_TITO_SAQ_NOM_LFM_0600_HBO1_NONREP_HRY</v>
      </c>
      <c r="AV466" t="str">
        <f t="shared" si="278"/>
        <v>LSA_CCF_HRY_E_BEGIN_TITO_SAQ_NOM_LFM_0600_HBO1_NONREP_HRY</v>
      </c>
      <c r="AW466" t="str">
        <f t="shared" si="279"/>
        <v>LSA_CCF_HRY_E_BEGIN_TITO_SAQ_NOM_LFM_0600_HBO1_NONREP_HRY</v>
      </c>
      <c r="AX466" t="str">
        <f t="shared" si="280"/>
        <v>LSA_CCF_HRY_E_BEGIN_TITO_SAQ_NOM_LFM_0600_HBO1_NONREP_HRY</v>
      </c>
      <c r="AY466" t="str">
        <f t="shared" si="281"/>
        <v>LSA_CCF_HRY_E_BEGIN_TITO_SAQ_NOM_LFM_0600_HBO1_NONREP_HRY</v>
      </c>
      <c r="AZ466" t="str">
        <f t="shared" si="282"/>
        <v>LSA_CCF_HRY_E_BEGIN_TITO_SAQ_NOM_LFM_0600_HBO1_NONREP_HRY</v>
      </c>
      <c r="BA466" t="str">
        <f t="shared" si="283"/>
        <v>LSA_CCF_HRY_E_BEGIN_TITO_SAQ_NOM_LFM_0600_HBO1_NONREP_HRY</v>
      </c>
      <c r="BB466" t="str">
        <f t="shared" si="284"/>
        <v>LSA_CCF_HRY_E_BEGIN_TITO_SAQ_NOM_LFM_0600_HBO1_NONREP_HRY</v>
      </c>
      <c r="BC466" t="str">
        <f t="shared" si="285"/>
        <v>LSA_CCF_HRY_E_BEGIN_TITO_SAQ_NOM_LFM_0600_HBO1_NONREP_HRY</v>
      </c>
      <c r="BD466" t="str">
        <f t="shared" si="286"/>
        <v>LSA_CCF_HRY_E_BEGIN_TITO_SAQ_NOM_LFM_0600_HBO1_NONREP_HRY</v>
      </c>
    </row>
    <row r="467" spans="1:56" x14ac:dyDescent="0.35">
      <c r="A467" s="28" t="s">
        <v>12</v>
      </c>
      <c r="B467" s="28" t="s">
        <v>54</v>
      </c>
      <c r="C467" s="28" t="str">
        <f>VLOOKUP(B467,templateLookup!A:B,2,0)</f>
        <v>PrimeMbistVminSearchTestMethod</v>
      </c>
      <c r="D467" t="str">
        <f t="shared" ref="D467" si="300">E467&amp;"_"&amp;F467&amp;"_"&amp;G467&amp;"_"&amp;H467&amp;"_"&amp;A467&amp;"_"&amp;I467&amp;"_"&amp;J467&amp;"_"&amp;K467&amp;"_"&amp;L467&amp;"_"&amp;M467&amp;"_"&amp;N467</f>
        <v>LSA_CCF_HRY_E_BEGIN_TITO_SAQ_NOM_LFM_0600_HBO1_NONREP_HRY</v>
      </c>
      <c r="E467" t="s">
        <v>5</v>
      </c>
      <c r="F467" t="s">
        <v>22</v>
      </c>
      <c r="G467" t="s">
        <v>271</v>
      </c>
      <c r="H467" t="s">
        <v>207</v>
      </c>
      <c r="I467" t="s">
        <v>260</v>
      </c>
      <c r="J467" t="s">
        <v>558</v>
      </c>
      <c r="K467" t="s">
        <v>284</v>
      </c>
      <c r="L467" t="s">
        <v>285</v>
      </c>
      <c r="M467" t="s">
        <v>559</v>
      </c>
      <c r="N467" t="s">
        <v>853</v>
      </c>
      <c r="O467" t="s">
        <v>267</v>
      </c>
      <c r="P467" t="s">
        <v>268</v>
      </c>
      <c r="Q467" t="s">
        <v>854</v>
      </c>
      <c r="R467">
        <f>VLOOKUP(E467,binningRules!$B$6:$C$9,2,0)</f>
        <v>21</v>
      </c>
      <c r="S467">
        <v>50</v>
      </c>
      <c r="T467">
        <v>208</v>
      </c>
      <c r="U467">
        <v>-1</v>
      </c>
      <c r="V467" t="b">
        <v>0</v>
      </c>
      <c r="W467" t="s">
        <v>298</v>
      </c>
      <c r="X467" t="s">
        <v>271</v>
      </c>
      <c r="Y467" t="s">
        <v>272</v>
      </c>
      <c r="Z467">
        <v>0.85</v>
      </c>
      <c r="AA467">
        <v>0.85</v>
      </c>
      <c r="AS467">
        <f t="shared" si="276"/>
        <v>10</v>
      </c>
      <c r="AT467" t="s">
        <v>273</v>
      </c>
      <c r="AU467" t="str">
        <f t="shared" si="277"/>
        <v>ROM_CCF_HRY_E_BEGIN_TITO_SAN_NOM_LFM_1200_SBO_ROM</v>
      </c>
      <c r="AV467" t="str">
        <f t="shared" si="278"/>
        <v>ROM_CCF_HRY_E_BEGIN_TITO_SAN_NOM_LFM_1200_SBO_ROM</v>
      </c>
      <c r="AW467" t="str">
        <f t="shared" si="279"/>
        <v>ROM_CCF_HRY_E_BEGIN_TITO_SAN_NOM_LFM_1200_SBO_ROM</v>
      </c>
      <c r="AX467" t="str">
        <f t="shared" si="280"/>
        <v>ROM_CCF_HRY_E_BEGIN_TITO_SAN_NOM_LFM_1200_SBO_ROM</v>
      </c>
      <c r="AY467" t="str">
        <f t="shared" si="281"/>
        <v>ROM_CCF_HRY_E_BEGIN_TITO_SAN_NOM_LFM_1200_SBO_ROM</v>
      </c>
      <c r="AZ467" t="str">
        <f t="shared" si="282"/>
        <v>ROM_CCF_HRY_E_BEGIN_TITO_SAN_NOM_LFM_1200_SBO_ROM</v>
      </c>
      <c r="BA467" t="str">
        <f t="shared" si="283"/>
        <v>ROM_CCF_HRY_E_BEGIN_TITO_SAN_NOM_LFM_1200_SBO_ROM</v>
      </c>
      <c r="BB467" t="str">
        <f t="shared" si="284"/>
        <v>ROM_CCF_HRY_E_BEGIN_TITO_SAN_NOM_LFM_1200_SBO_ROM</v>
      </c>
      <c r="BC467" t="str">
        <f t="shared" si="285"/>
        <v>ROM_CCF_HRY_E_BEGIN_TITO_SAN_NOM_LFM_1200_SBO_ROM</v>
      </c>
      <c r="BD467" t="str">
        <f t="shared" si="286"/>
        <v>ROM_CCF_HRY_E_BEGIN_TITO_SAN_NOM_LFM_1200_SBO_ROM</v>
      </c>
    </row>
    <row r="468" spans="1:56" x14ac:dyDescent="0.35">
      <c r="A468" s="28" t="s">
        <v>12</v>
      </c>
      <c r="B468" s="28" t="s">
        <v>54</v>
      </c>
      <c r="C468" s="28" t="str">
        <f>VLOOKUP(B468,templateLookup!A:B,2,0)</f>
        <v>PrimeMbistVminSearchTestMethod</v>
      </c>
      <c r="D468" t="str">
        <f t="shared" si="272"/>
        <v>ROM_CCF_HRY_E_BEGIN_TITO_SAN_NOM_LFM_1200_SBO_ROM</v>
      </c>
      <c r="E468" t="s">
        <v>6</v>
      </c>
      <c r="F468" t="s">
        <v>22</v>
      </c>
      <c r="G468" t="s">
        <v>271</v>
      </c>
      <c r="H468" t="s">
        <v>207</v>
      </c>
      <c r="I468" t="s">
        <v>260</v>
      </c>
      <c r="J468" t="s">
        <v>295</v>
      </c>
      <c r="K468" t="s">
        <v>284</v>
      </c>
      <c r="L468" t="s">
        <v>285</v>
      </c>
      <c r="M468">
        <v>1200</v>
      </c>
      <c r="N468" t="s">
        <v>855</v>
      </c>
      <c r="O468" t="s">
        <v>267</v>
      </c>
      <c r="P468" t="s">
        <v>268</v>
      </c>
      <c r="Q468" t="s">
        <v>856</v>
      </c>
      <c r="R468">
        <f>VLOOKUP(E468,binningRules!$B$6:$C$9,2,0)</f>
        <v>21</v>
      </c>
      <c r="S468">
        <v>50</v>
      </c>
      <c r="T468">
        <v>209</v>
      </c>
      <c r="U468">
        <v>-1</v>
      </c>
      <c r="V468" t="b">
        <v>0</v>
      </c>
      <c r="W468" t="s">
        <v>298</v>
      </c>
      <c r="X468" t="s">
        <v>271</v>
      </c>
      <c r="Y468" t="s">
        <v>272</v>
      </c>
      <c r="Z468">
        <v>0.85</v>
      </c>
      <c r="AA468">
        <v>0.85</v>
      </c>
      <c r="AS468">
        <f t="shared" ref="AS468" si="301">COUNTA(AU468:BD468)</f>
        <v>10</v>
      </c>
      <c r="AT468" t="s">
        <v>273</v>
      </c>
      <c r="AU468">
        <v>1</v>
      </c>
      <c r="AV468">
        <v>1</v>
      </c>
      <c r="AW468">
        <v>1</v>
      </c>
      <c r="AX468">
        <v>1</v>
      </c>
      <c r="AY468">
        <v>1</v>
      </c>
      <c r="AZ468">
        <v>1</v>
      </c>
      <c r="BA468">
        <v>1</v>
      </c>
      <c r="BB468" s="8">
        <v>1</v>
      </c>
      <c r="BC468" s="8">
        <v>1</v>
      </c>
      <c r="BD468">
        <v>1</v>
      </c>
    </row>
    <row r="469" spans="1:56" x14ac:dyDescent="0.35">
      <c r="A469" s="27" t="s">
        <v>12</v>
      </c>
      <c r="B469" s="27" t="s">
        <v>50</v>
      </c>
      <c r="C469" s="27" t="str">
        <f>VLOOKUP(B469,templateLookup!A:B,2,0)</f>
        <v>COMPOSITE</v>
      </c>
      <c r="BB469" s="8"/>
      <c r="BC469" s="8"/>
    </row>
    <row r="470" spans="1:56" x14ac:dyDescent="0.35">
      <c r="A470" s="40" t="s">
        <v>12</v>
      </c>
      <c r="B470" s="40" t="s">
        <v>49</v>
      </c>
      <c r="C470" s="40" t="str">
        <f>VLOOKUP(B470,templateLookup!A:B,2,0)</f>
        <v>COMPOSITE</v>
      </c>
      <c r="D470" s="5" t="s">
        <v>857</v>
      </c>
      <c r="E470" s="6"/>
      <c r="F470" s="6" t="s">
        <v>30</v>
      </c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AS470">
        <f>COUNTA(AU470:BD470)</f>
        <v>2</v>
      </c>
      <c r="AT470">
        <v>1</v>
      </c>
      <c r="AU470">
        <v>1</v>
      </c>
      <c r="AV470">
        <v>1</v>
      </c>
    </row>
    <row r="471" spans="1:56" x14ac:dyDescent="0.35">
      <c r="A471" s="12" t="s">
        <v>12</v>
      </c>
      <c r="B471" s="12" t="s">
        <v>776</v>
      </c>
      <c r="C471" s="12" t="str">
        <f>VLOOKUP(B471,templateLookup!A:B,2,0)</f>
        <v>PrimeMbistVminSearchTestMethod</v>
      </c>
      <c r="D471" t="str">
        <f>E471&amp;"_"&amp;F471&amp;"_"&amp;G471&amp;"_"&amp;H471&amp;"_"&amp;A471&amp;"_"&amp;I471&amp;"_"&amp;J471&amp;"_"&amp;K471&amp;"_"&amp;L471&amp;"_"&amp;M471&amp;"_"&amp;N471</f>
        <v>ALL_CORE_HRY_E_BEGIN_TITO_CR_NOM_LFM_0400_FULLHRY</v>
      </c>
      <c r="E471" t="s">
        <v>7</v>
      </c>
      <c r="F471" t="s">
        <v>24</v>
      </c>
      <c r="G471" t="s">
        <v>271</v>
      </c>
      <c r="H471" t="s">
        <v>207</v>
      </c>
      <c r="I471" t="s">
        <v>260</v>
      </c>
      <c r="J471" t="s">
        <v>777</v>
      </c>
      <c r="K471" t="s">
        <v>284</v>
      </c>
      <c r="L471" t="s">
        <v>285</v>
      </c>
      <c r="M471" t="str">
        <f>TEXT(400,"0000")</f>
        <v>0400</v>
      </c>
      <c r="N471" t="s">
        <v>858</v>
      </c>
      <c r="O471" t="s">
        <v>267</v>
      </c>
      <c r="P471" t="s">
        <v>778</v>
      </c>
      <c r="Q471" t="s">
        <v>859</v>
      </c>
      <c r="R471">
        <v>61</v>
      </c>
      <c r="S471">
        <v>20</v>
      </c>
      <c r="T471">
        <v>0</v>
      </c>
      <c r="U471">
        <v>1</v>
      </c>
      <c r="V471" t="b">
        <v>0</v>
      </c>
      <c r="W471" t="s">
        <v>270</v>
      </c>
      <c r="X471" t="s">
        <v>271</v>
      </c>
      <c r="Y471" t="s">
        <v>272</v>
      </c>
      <c r="Z471">
        <v>0.85</v>
      </c>
      <c r="AA471">
        <v>0.85</v>
      </c>
      <c r="AS471">
        <f>COUNTA(AU471:BD471)</f>
        <v>10</v>
      </c>
      <c r="AT471" t="s">
        <v>273</v>
      </c>
      <c r="AU471" t="str">
        <f t="shared" ref="AU471:BD473" si="302">$D472</f>
        <v>ROM_CORE_HRY_E_BEGIN_TITO_CR_NOM_LFM_0400_ROM_HRY</v>
      </c>
      <c r="AV471" t="str">
        <f t="shared" si="302"/>
        <v>ROM_CORE_HRY_E_BEGIN_TITO_CR_NOM_LFM_0400_ROM_HRY</v>
      </c>
      <c r="AW471" t="str">
        <f t="shared" si="302"/>
        <v>ROM_CORE_HRY_E_BEGIN_TITO_CR_NOM_LFM_0400_ROM_HRY</v>
      </c>
      <c r="AX471" t="str">
        <f t="shared" si="302"/>
        <v>ROM_CORE_HRY_E_BEGIN_TITO_CR_NOM_LFM_0400_ROM_HRY</v>
      </c>
      <c r="AY471" t="str">
        <f t="shared" si="302"/>
        <v>ROM_CORE_HRY_E_BEGIN_TITO_CR_NOM_LFM_0400_ROM_HRY</v>
      </c>
      <c r="AZ471" t="str">
        <f t="shared" si="302"/>
        <v>ROM_CORE_HRY_E_BEGIN_TITO_CR_NOM_LFM_0400_ROM_HRY</v>
      </c>
      <c r="BA471" t="str">
        <f t="shared" si="302"/>
        <v>ROM_CORE_HRY_E_BEGIN_TITO_CR_NOM_LFM_0400_ROM_HRY</v>
      </c>
      <c r="BB471" t="str">
        <f t="shared" si="302"/>
        <v>ROM_CORE_HRY_E_BEGIN_TITO_CR_NOM_LFM_0400_ROM_HRY</v>
      </c>
      <c r="BC471" t="str">
        <f t="shared" si="302"/>
        <v>ROM_CORE_HRY_E_BEGIN_TITO_CR_NOM_LFM_0400_ROM_HRY</v>
      </c>
      <c r="BD471" t="str">
        <f t="shared" si="302"/>
        <v>ROM_CORE_HRY_E_BEGIN_TITO_CR_NOM_LFM_0400_ROM_HRY</v>
      </c>
    </row>
    <row r="472" spans="1:56" x14ac:dyDescent="0.35">
      <c r="A472" s="12" t="s">
        <v>12</v>
      </c>
      <c r="B472" s="12" t="s">
        <v>776</v>
      </c>
      <c r="C472" s="12" t="str">
        <f>VLOOKUP(B472,templateLookup!A:B,2,0)</f>
        <v>PrimeMbistVminSearchTestMethod</v>
      </c>
      <c r="D472" t="str">
        <f>E472&amp;"_"&amp;F472&amp;"_"&amp;G472&amp;"_"&amp;H472&amp;"_"&amp;A472&amp;"_"&amp;I472&amp;"_"&amp;J472&amp;"_"&amp;K472&amp;"_"&amp;L472&amp;"_"&amp;M472&amp;"_"&amp;N472</f>
        <v>ROM_CORE_HRY_E_BEGIN_TITO_CR_NOM_LFM_0400_ROM_HRY</v>
      </c>
      <c r="E472" t="s">
        <v>6</v>
      </c>
      <c r="F472" t="s">
        <v>24</v>
      </c>
      <c r="G472" t="s">
        <v>271</v>
      </c>
      <c r="H472" t="s">
        <v>207</v>
      </c>
      <c r="I472" t="s">
        <v>260</v>
      </c>
      <c r="J472" t="s">
        <v>777</v>
      </c>
      <c r="K472" t="s">
        <v>284</v>
      </c>
      <c r="L472" t="s">
        <v>285</v>
      </c>
      <c r="M472" t="str">
        <f t="shared" ref="M472:M474" si="303">TEXT(400,"0000")</f>
        <v>0400</v>
      </c>
      <c r="N472" t="s">
        <v>860</v>
      </c>
      <c r="O472" t="s">
        <v>267</v>
      </c>
      <c r="P472" t="s">
        <v>778</v>
      </c>
      <c r="Q472" t="s">
        <v>861</v>
      </c>
      <c r="R472">
        <v>61</v>
      </c>
      <c r="S472">
        <v>20</v>
      </c>
      <c r="T472">
        <v>1</v>
      </c>
      <c r="U472">
        <v>-1</v>
      </c>
      <c r="V472" t="b">
        <v>0</v>
      </c>
      <c r="W472" t="s">
        <v>270</v>
      </c>
      <c r="X472" t="s">
        <v>271</v>
      </c>
      <c r="Y472" t="s">
        <v>272</v>
      </c>
      <c r="Z472">
        <v>0.85</v>
      </c>
      <c r="AA472">
        <v>0.85</v>
      </c>
      <c r="AS472">
        <f>COUNTA(AU472:BD472)</f>
        <v>10</v>
      </c>
      <c r="AT472" t="s">
        <v>273</v>
      </c>
      <c r="AU472" t="str">
        <f t="shared" si="302"/>
        <v>LSA_CORE_HRY_E_BEGIN_TITO_CR_NOM_LFM_0400_MEU_NONREP_HRY</v>
      </c>
      <c r="AV472" t="str">
        <f t="shared" si="302"/>
        <v>LSA_CORE_HRY_E_BEGIN_TITO_CR_NOM_LFM_0400_MEU_NONREP_HRY</v>
      </c>
      <c r="AW472" t="str">
        <f t="shared" si="302"/>
        <v>LSA_CORE_HRY_E_BEGIN_TITO_CR_NOM_LFM_0400_MEU_NONREP_HRY</v>
      </c>
      <c r="AX472" t="str">
        <f t="shared" si="302"/>
        <v>LSA_CORE_HRY_E_BEGIN_TITO_CR_NOM_LFM_0400_MEU_NONREP_HRY</v>
      </c>
      <c r="AY472" t="str">
        <f t="shared" si="302"/>
        <v>LSA_CORE_HRY_E_BEGIN_TITO_CR_NOM_LFM_0400_MEU_NONREP_HRY</v>
      </c>
      <c r="AZ472" t="str">
        <f t="shared" si="302"/>
        <v>LSA_CORE_HRY_E_BEGIN_TITO_CR_NOM_LFM_0400_MEU_NONREP_HRY</v>
      </c>
      <c r="BA472" t="str">
        <f t="shared" si="302"/>
        <v>LSA_CORE_HRY_E_BEGIN_TITO_CR_NOM_LFM_0400_MEU_NONREP_HRY</v>
      </c>
      <c r="BB472" t="str">
        <f t="shared" si="302"/>
        <v>LSA_CORE_HRY_E_BEGIN_TITO_CR_NOM_LFM_0400_MEU_NONREP_HRY</v>
      </c>
      <c r="BC472" t="str">
        <f t="shared" si="302"/>
        <v>LSA_CORE_HRY_E_BEGIN_TITO_CR_NOM_LFM_0400_MEU_NONREP_HRY</v>
      </c>
      <c r="BD472" t="str">
        <f t="shared" si="302"/>
        <v>LSA_CORE_HRY_E_BEGIN_TITO_CR_NOM_LFM_0400_MEU_NONREP_HRY</v>
      </c>
    </row>
    <row r="473" spans="1:56" x14ac:dyDescent="0.35">
      <c r="A473" s="12" t="s">
        <v>12</v>
      </c>
      <c r="B473" s="12" t="s">
        <v>776</v>
      </c>
      <c r="C473" s="12" t="str">
        <f>VLOOKUP(B473,templateLookup!A:B,2,0)</f>
        <v>PrimeMbistVminSearchTestMethod</v>
      </c>
      <c r="D473" t="str">
        <f>E473&amp;"_"&amp;F473&amp;"_"&amp;G473&amp;"_"&amp;H473&amp;"_"&amp;A473&amp;"_"&amp;I473&amp;"_"&amp;J473&amp;"_"&amp;K473&amp;"_"&amp;L473&amp;"_"&amp;M473&amp;"_"&amp;N473</f>
        <v>LSA_CORE_HRY_E_BEGIN_TITO_CR_NOM_LFM_0400_MEU_NONREP_HRY</v>
      </c>
      <c r="E473" t="s">
        <v>5</v>
      </c>
      <c r="F473" t="s">
        <v>24</v>
      </c>
      <c r="G473" t="s">
        <v>271</v>
      </c>
      <c r="H473" t="s">
        <v>207</v>
      </c>
      <c r="I473" t="s">
        <v>260</v>
      </c>
      <c r="J473" t="s">
        <v>777</v>
      </c>
      <c r="K473" t="s">
        <v>284</v>
      </c>
      <c r="L473" t="s">
        <v>285</v>
      </c>
      <c r="M473" t="str">
        <f t="shared" si="303"/>
        <v>0400</v>
      </c>
      <c r="N473" t="s">
        <v>862</v>
      </c>
      <c r="O473" t="s">
        <v>267</v>
      </c>
      <c r="P473" t="s">
        <v>778</v>
      </c>
      <c r="Q473" t="s">
        <v>863</v>
      </c>
      <c r="R473">
        <v>61</v>
      </c>
      <c r="S473">
        <v>20</v>
      </c>
      <c r="T473">
        <v>2</v>
      </c>
      <c r="U473">
        <v>-1</v>
      </c>
      <c r="V473" t="b">
        <v>0</v>
      </c>
      <c r="W473" t="s">
        <v>270</v>
      </c>
      <c r="X473" t="s">
        <v>271</v>
      </c>
      <c r="Y473" t="s">
        <v>272</v>
      </c>
      <c r="Z473">
        <v>0.85</v>
      </c>
      <c r="AA473">
        <v>0.85</v>
      </c>
      <c r="AS473">
        <f>COUNTA(AU473:BD473)</f>
        <v>10</v>
      </c>
      <c r="AT473" t="s">
        <v>273</v>
      </c>
      <c r="AU473" t="str">
        <f t="shared" si="302"/>
        <v>LSA_CORE_HRY_E_BEGIN_TITO_CR_NOM_LFM_0400_OOO_NONREP_HRY</v>
      </c>
      <c r="AV473" t="str">
        <f t="shared" si="302"/>
        <v>LSA_CORE_HRY_E_BEGIN_TITO_CR_NOM_LFM_0400_OOO_NONREP_HRY</v>
      </c>
      <c r="AW473" t="str">
        <f t="shared" si="302"/>
        <v>LSA_CORE_HRY_E_BEGIN_TITO_CR_NOM_LFM_0400_OOO_NONREP_HRY</v>
      </c>
      <c r="AX473" t="str">
        <f t="shared" si="302"/>
        <v>LSA_CORE_HRY_E_BEGIN_TITO_CR_NOM_LFM_0400_OOO_NONREP_HRY</v>
      </c>
      <c r="AY473" t="str">
        <f t="shared" si="302"/>
        <v>LSA_CORE_HRY_E_BEGIN_TITO_CR_NOM_LFM_0400_OOO_NONREP_HRY</v>
      </c>
      <c r="AZ473" t="str">
        <f t="shared" si="302"/>
        <v>LSA_CORE_HRY_E_BEGIN_TITO_CR_NOM_LFM_0400_OOO_NONREP_HRY</v>
      </c>
      <c r="BA473" t="str">
        <f t="shared" si="302"/>
        <v>LSA_CORE_HRY_E_BEGIN_TITO_CR_NOM_LFM_0400_OOO_NONREP_HRY</v>
      </c>
      <c r="BB473" t="str">
        <f t="shared" si="302"/>
        <v>LSA_CORE_HRY_E_BEGIN_TITO_CR_NOM_LFM_0400_OOO_NONREP_HRY</v>
      </c>
      <c r="BC473" t="str">
        <f t="shared" si="302"/>
        <v>LSA_CORE_HRY_E_BEGIN_TITO_CR_NOM_LFM_0400_OOO_NONREP_HRY</v>
      </c>
      <c r="BD473" t="str">
        <f t="shared" si="302"/>
        <v>LSA_CORE_HRY_E_BEGIN_TITO_CR_NOM_LFM_0400_OOO_NONREP_HRY</v>
      </c>
    </row>
    <row r="474" spans="1:56" x14ac:dyDescent="0.35">
      <c r="A474" s="12" t="s">
        <v>12</v>
      </c>
      <c r="B474" s="12" t="s">
        <v>776</v>
      </c>
      <c r="C474" s="12" t="str">
        <f>VLOOKUP(B474,templateLookup!A:B,2,0)</f>
        <v>PrimeMbistVminSearchTestMethod</v>
      </c>
      <c r="D474" t="str">
        <f>E474&amp;"_"&amp;F474&amp;"_"&amp;G474&amp;"_"&amp;H474&amp;"_"&amp;A474&amp;"_"&amp;I474&amp;"_"&amp;J474&amp;"_"&amp;K474&amp;"_"&amp;L474&amp;"_"&amp;M474&amp;"_"&amp;N474</f>
        <v>LSA_CORE_HRY_E_BEGIN_TITO_CR_NOM_LFM_0400_OOO_NONREP_HRY</v>
      </c>
      <c r="E474" t="s">
        <v>5</v>
      </c>
      <c r="F474" t="s">
        <v>24</v>
      </c>
      <c r="G474" t="s">
        <v>271</v>
      </c>
      <c r="H474" t="s">
        <v>207</v>
      </c>
      <c r="I474" t="s">
        <v>260</v>
      </c>
      <c r="J474" t="s">
        <v>777</v>
      </c>
      <c r="K474" t="s">
        <v>284</v>
      </c>
      <c r="L474" t="s">
        <v>285</v>
      </c>
      <c r="M474" t="str">
        <f t="shared" si="303"/>
        <v>0400</v>
      </c>
      <c r="N474" t="s">
        <v>864</v>
      </c>
      <c r="O474" t="s">
        <v>267</v>
      </c>
      <c r="P474" t="s">
        <v>778</v>
      </c>
      <c r="Q474" t="s">
        <v>865</v>
      </c>
      <c r="R474">
        <v>61</v>
      </c>
      <c r="S474">
        <v>20</v>
      </c>
      <c r="T474">
        <v>3</v>
      </c>
      <c r="U474">
        <v>-1</v>
      </c>
      <c r="V474" t="b">
        <v>0</v>
      </c>
      <c r="W474" t="s">
        <v>270</v>
      </c>
      <c r="X474" t="s">
        <v>271</v>
      </c>
      <c r="Y474" t="s">
        <v>272</v>
      </c>
      <c r="Z474">
        <v>0.85</v>
      </c>
      <c r="AA474">
        <v>0.85</v>
      </c>
      <c r="AB474" t="s">
        <v>866</v>
      </c>
      <c r="AC474" t="s">
        <v>867</v>
      </c>
      <c r="AS474">
        <f>COUNTA(AU474:BD474)</f>
        <v>10</v>
      </c>
      <c r="AT474" t="s">
        <v>273</v>
      </c>
      <c r="AU474">
        <v>1</v>
      </c>
      <c r="AV474">
        <v>1</v>
      </c>
      <c r="AW474">
        <v>1</v>
      </c>
      <c r="AX474">
        <v>1</v>
      </c>
      <c r="AY474">
        <v>1</v>
      </c>
      <c r="AZ474">
        <v>1</v>
      </c>
      <c r="BA474">
        <v>1</v>
      </c>
      <c r="BB474">
        <v>1</v>
      </c>
      <c r="BC474">
        <v>1</v>
      </c>
      <c r="BD474">
        <v>1</v>
      </c>
    </row>
    <row r="475" spans="1:56" x14ac:dyDescent="0.35">
      <c r="A475" s="40" t="s">
        <v>12</v>
      </c>
      <c r="B475" s="40" t="s">
        <v>50</v>
      </c>
      <c r="C475" s="40" t="str">
        <f>VLOOKUP(B475,templateLookup!A:B,2,0)</f>
        <v>COMPOSITE</v>
      </c>
      <c r="BB475" s="8"/>
      <c r="BC475" s="8"/>
    </row>
    <row r="476" spans="1:56" x14ac:dyDescent="0.35">
      <c r="A476" s="32" t="s">
        <v>12</v>
      </c>
      <c r="B476" s="32" t="s">
        <v>50</v>
      </c>
      <c r="C476" s="32" t="str">
        <f>VLOOKUP(B476,templateLookup!A:B,2,0)</f>
        <v>COMPOSITE</v>
      </c>
      <c r="D476" s="10"/>
      <c r="V476" s="12"/>
    </row>
    <row r="477" spans="1:56" x14ac:dyDescent="0.35">
      <c r="A477" s="32" t="s">
        <v>12</v>
      </c>
      <c r="B477" s="32" t="s">
        <v>49</v>
      </c>
      <c r="C477" s="32" t="str">
        <f>VLOOKUP(B477,templateLookup!A:B,2,0)</f>
        <v>COMPOSITE</v>
      </c>
      <c r="D477" s="10" t="s">
        <v>868</v>
      </c>
      <c r="F477" t="s">
        <v>30</v>
      </c>
      <c r="V477" s="12"/>
      <c r="AS477">
        <v>2</v>
      </c>
      <c r="AT477">
        <v>1</v>
      </c>
      <c r="AU477">
        <v>1</v>
      </c>
      <c r="AV477">
        <v>1</v>
      </c>
    </row>
    <row r="478" spans="1:56" x14ac:dyDescent="0.35">
      <c r="A478" s="33" t="s">
        <v>12</v>
      </c>
      <c r="B478" s="33" t="s">
        <v>61</v>
      </c>
      <c r="C478" s="33" t="str">
        <f>VLOOKUP(B478,templateLookup!A:B,2,0)</f>
        <v>PrimePatConfigTestMethod</v>
      </c>
      <c r="D478" t="str">
        <f>E478&amp;"_"&amp;F478&amp;"_"&amp;G478&amp;"_"&amp;H478&amp;"_"&amp;A478&amp;"_"&amp;I478&amp;"_"&amp;J478&amp;"_"&amp;K478&amp;"_"&amp;L478&amp;"_"&amp;M478&amp;"_"&amp;N478</f>
        <v>ALL_CCF_PATMOD_K_BEGIN_X_X_X_X_X_PLACEHOLDER</v>
      </c>
      <c r="E478" t="s">
        <v>7</v>
      </c>
      <c r="F478" t="s">
        <v>22</v>
      </c>
      <c r="G478" t="s">
        <v>252</v>
      </c>
      <c r="H478" t="s">
        <v>253</v>
      </c>
      <c r="I478" t="s">
        <v>208</v>
      </c>
      <c r="J478" t="s">
        <v>208</v>
      </c>
      <c r="K478" t="s">
        <v>208</v>
      </c>
      <c r="L478" t="s">
        <v>208</v>
      </c>
      <c r="M478" t="s">
        <v>208</v>
      </c>
      <c r="N478" t="s">
        <v>869</v>
      </c>
      <c r="R478">
        <v>90</v>
      </c>
      <c r="S478">
        <v>10</v>
      </c>
      <c r="T478">
        <v>85</v>
      </c>
      <c r="U478">
        <v>1</v>
      </c>
      <c r="V478" t="b">
        <v>0</v>
      </c>
      <c r="AO478" t="s">
        <v>279</v>
      </c>
      <c r="AP478" t="s">
        <v>280</v>
      </c>
      <c r="AQ478" t="s">
        <v>257</v>
      </c>
      <c r="AR478" t="s">
        <v>870</v>
      </c>
      <c r="AS478">
        <f>COUNTA(AU478:BD478)</f>
        <v>3</v>
      </c>
      <c r="AT478" t="s">
        <v>273</v>
      </c>
      <c r="AU478">
        <v>1</v>
      </c>
      <c r="AV478">
        <v>1</v>
      </c>
      <c r="AW478">
        <v>1</v>
      </c>
      <c r="BB478" s="8"/>
      <c r="BC478" s="8"/>
    </row>
    <row r="479" spans="1:56" x14ac:dyDescent="0.35">
      <c r="A479" s="32" t="s">
        <v>12</v>
      </c>
      <c r="B479" s="32" t="s">
        <v>50</v>
      </c>
      <c r="C479" s="32" t="str">
        <f>VLOOKUP(B479,templateLookup!A:B,2,0)</f>
        <v>COMPOSITE</v>
      </c>
      <c r="D479" s="10"/>
      <c r="V479" s="12"/>
    </row>
    <row r="480" spans="1:56" x14ac:dyDescent="0.35">
      <c r="A480" s="5" t="s">
        <v>12</v>
      </c>
      <c r="B480" s="5" t="s">
        <v>50</v>
      </c>
      <c r="C480" s="5" t="str">
        <f>VLOOKUP(B480,templateLookup!A:B,2,0)</f>
        <v>COMPOSITE</v>
      </c>
      <c r="D480" s="5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</row>
    <row r="481" spans="1:56" x14ac:dyDescent="0.35">
      <c r="A481" s="5" t="s">
        <v>871</v>
      </c>
      <c r="B481" s="5" t="s">
        <v>49</v>
      </c>
      <c r="C481" s="5" t="str">
        <f>VLOOKUP(B481,templateLookup!A:B,2,0)</f>
        <v>COMPOSITE</v>
      </c>
      <c r="D481" s="5" t="s">
        <v>871</v>
      </c>
      <c r="E481" s="6"/>
      <c r="F481" t="s">
        <v>30</v>
      </c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</row>
    <row r="482" spans="1:56" x14ac:dyDescent="0.35">
      <c r="A482" s="12" t="s">
        <v>871</v>
      </c>
      <c r="B482" s="12" t="s">
        <v>87</v>
      </c>
      <c r="C482" s="12" t="str">
        <f>VLOOKUP(B482,templateLookup!A:B,2,0)</f>
        <v>iCVFDMTest</v>
      </c>
      <c r="D482" t="str">
        <f t="shared" ref="D482:D488" si="304">E482&amp;"_"&amp;F482&amp;"_"&amp;G482&amp;"_"&amp;H482&amp;"_"&amp;A482&amp;"_"&amp;I482&amp;"_"&amp;J482&amp;"_"&amp;K482&amp;"_"&amp;L482&amp;"_"&amp;M482&amp;"_"&amp;N482</f>
        <v>XSA_COMMON_VFDM_E_PREHVQK_TITO_X_X_X_X_WRITEALL</v>
      </c>
      <c r="E482" t="s">
        <v>205</v>
      </c>
      <c r="F482" t="s">
        <v>30</v>
      </c>
      <c r="G482" t="s">
        <v>178</v>
      </c>
      <c r="H482" t="s">
        <v>207</v>
      </c>
      <c r="I482" t="s">
        <v>260</v>
      </c>
      <c r="J482" t="s">
        <v>208</v>
      </c>
      <c r="K482" t="s">
        <v>208</v>
      </c>
      <c r="L482" t="s">
        <v>208</v>
      </c>
      <c r="M482" t="s">
        <v>208</v>
      </c>
      <c r="N482" t="s">
        <v>872</v>
      </c>
      <c r="O482" t="s">
        <v>211</v>
      </c>
      <c r="P482" t="s">
        <v>211</v>
      </c>
      <c r="Q482" t="s">
        <v>212</v>
      </c>
      <c r="R482">
        <v>61</v>
      </c>
      <c r="S482">
        <v>71</v>
      </c>
      <c r="T482">
        <v>0</v>
      </c>
      <c r="U482">
        <v>-1</v>
      </c>
      <c r="V482" s="12" t="b">
        <v>0</v>
      </c>
      <c r="AF482" t="s">
        <v>217</v>
      </c>
      <c r="AG482" t="s">
        <v>7</v>
      </c>
      <c r="AS482">
        <f t="shared" ref="AS482:AS488" si="305">COUNTA(AU482:BD482)</f>
        <v>3</v>
      </c>
      <c r="AT482" t="s">
        <v>218</v>
      </c>
      <c r="AU482" t="str">
        <f t="shared" ref="AU482:AV487" si="306">$D483</f>
        <v>XSA_COMMON_UF_E_PREHVQK_TITO_X_X_X_OVERFLOW_CHECK</v>
      </c>
      <c r="AV482" t="str">
        <f t="shared" si="306"/>
        <v>XSA_COMMON_UF_E_PREHVQK_TITO_X_X_X_OVERFLOW_CHECK</v>
      </c>
      <c r="AW482">
        <v>1</v>
      </c>
    </row>
    <row r="483" spans="1:56" x14ac:dyDescent="0.35">
      <c r="A483" s="12" t="s">
        <v>871</v>
      </c>
      <c r="B483" s="12" t="s">
        <v>85</v>
      </c>
      <c r="C483" s="12" t="str">
        <f>VLOOKUP(B483,templateLookup!A:B,2,0)</f>
        <v>iCUserFuncTest</v>
      </c>
      <c r="D483" t="str">
        <f t="shared" si="304"/>
        <v>XSA_COMMON_UF_E_PREHVQK_TITO_X_X_X_OVERFLOW_CHECK</v>
      </c>
      <c r="E483" t="s">
        <v>205</v>
      </c>
      <c r="F483" t="s">
        <v>30</v>
      </c>
      <c r="G483" t="s">
        <v>353</v>
      </c>
      <c r="H483" t="s">
        <v>207</v>
      </c>
      <c r="I483" t="s">
        <v>260</v>
      </c>
      <c r="J483" t="s">
        <v>208</v>
      </c>
      <c r="K483" t="s">
        <v>208</v>
      </c>
      <c r="L483" t="s">
        <v>208</v>
      </c>
      <c r="M483" t="s">
        <v>873</v>
      </c>
      <c r="N483" t="s">
        <v>874</v>
      </c>
      <c r="O483" t="s">
        <v>267</v>
      </c>
      <c r="P483" t="s">
        <v>268</v>
      </c>
      <c r="Q483" t="s">
        <v>875</v>
      </c>
      <c r="R483">
        <v>61</v>
      </c>
      <c r="S483">
        <v>71</v>
      </c>
      <c r="T483">
        <v>1</v>
      </c>
      <c r="U483">
        <v>-1</v>
      </c>
      <c r="V483" s="12" t="b">
        <v>0</v>
      </c>
      <c r="AS483">
        <f t="shared" si="305"/>
        <v>3</v>
      </c>
      <c r="AT483" t="s">
        <v>218</v>
      </c>
      <c r="AU483" t="str">
        <f t="shared" si="306"/>
        <v>XSA_COMMON_FUSECONFIG_E_PREHVQK_TITO_X_X_X_X_REPAIR</v>
      </c>
      <c r="AV483" t="str">
        <f t="shared" si="306"/>
        <v>XSA_COMMON_FUSECONFIG_E_PREHVQK_TITO_X_X_X_X_REPAIR</v>
      </c>
      <c r="AW483" t="str">
        <f>$D484</f>
        <v>XSA_COMMON_FUSECONFIG_E_PREHVQK_TITO_X_X_X_X_REPAIR</v>
      </c>
    </row>
    <row r="484" spans="1:56" x14ac:dyDescent="0.35">
      <c r="A484" s="12" t="s">
        <v>871</v>
      </c>
      <c r="B484" s="12" t="s">
        <v>59</v>
      </c>
      <c r="C484" s="12" t="str">
        <f>VLOOKUP(B484,templateLookup!A:B,2,0)</f>
        <v>PrimePatConfigTestMethod</v>
      </c>
      <c r="D484" t="str">
        <f t="shared" si="304"/>
        <v>XSA_COMMON_FUSECONFIG_E_PREHVQK_TITO_X_X_X_X_REPAIR</v>
      </c>
      <c r="E484" t="s">
        <v>205</v>
      </c>
      <c r="F484" t="s">
        <v>30</v>
      </c>
      <c r="G484" t="s">
        <v>259</v>
      </c>
      <c r="H484" t="s">
        <v>207</v>
      </c>
      <c r="I484" t="s">
        <v>260</v>
      </c>
      <c r="J484" t="s">
        <v>208</v>
      </c>
      <c r="K484" t="s">
        <v>208</v>
      </c>
      <c r="L484" t="s">
        <v>208</v>
      </c>
      <c r="M484" t="s">
        <v>208</v>
      </c>
      <c r="N484" t="s">
        <v>261</v>
      </c>
      <c r="O484" t="s">
        <v>211</v>
      </c>
      <c r="P484" t="s">
        <v>211</v>
      </c>
      <c r="Q484" t="s">
        <v>212</v>
      </c>
      <c r="R484">
        <v>61</v>
      </c>
      <c r="S484">
        <v>71</v>
      </c>
      <c r="T484">
        <v>2</v>
      </c>
      <c r="U484">
        <v>-1</v>
      </c>
      <c r="V484" s="12" t="b">
        <v>0</v>
      </c>
      <c r="AH484" t="s">
        <v>358</v>
      </c>
      <c r="AI484" t="s">
        <v>263</v>
      </c>
      <c r="AS484">
        <f t="shared" si="305"/>
        <v>3</v>
      </c>
      <c r="AT484" t="s">
        <v>218</v>
      </c>
      <c r="AU484" t="str">
        <f t="shared" si="306"/>
        <v>XSA_COMMON_AUX_E_PREHVQK_TITO_X_X_X_REPAIRBITSET_FLAG</v>
      </c>
      <c r="AV484" t="str">
        <f t="shared" si="306"/>
        <v>XSA_COMMON_AUX_E_PREHVQK_TITO_X_X_X_REPAIRBITSET_FLAG</v>
      </c>
      <c r="AW484" t="str">
        <f>$D485</f>
        <v>XSA_COMMON_AUX_E_PREHVQK_TITO_X_X_X_REPAIRBITSET_FLAG</v>
      </c>
    </row>
    <row r="485" spans="1:56" x14ac:dyDescent="0.35">
      <c r="A485" s="12" t="s">
        <v>871</v>
      </c>
      <c r="B485" s="12" t="s">
        <v>95</v>
      </c>
      <c r="C485" s="12" t="str">
        <f>VLOOKUP(B485,templateLookup!A:B,2,0)</f>
        <v>AuxiliaryTC</v>
      </c>
      <c r="D485" t="str">
        <f t="shared" si="304"/>
        <v>XSA_COMMON_AUX_E_PREHVQK_TITO_X_X_X_REPAIRBITSET_FLAG</v>
      </c>
      <c r="E485" t="s">
        <v>205</v>
      </c>
      <c r="F485" t="s">
        <v>30</v>
      </c>
      <c r="G485" t="s">
        <v>876</v>
      </c>
      <c r="H485" t="s">
        <v>207</v>
      </c>
      <c r="I485" t="s">
        <v>260</v>
      </c>
      <c r="J485" t="s">
        <v>208</v>
      </c>
      <c r="K485" t="s">
        <v>208</v>
      </c>
      <c r="L485" t="s">
        <v>208</v>
      </c>
      <c r="M485" t="s">
        <v>877</v>
      </c>
      <c r="N485" t="s">
        <v>878</v>
      </c>
      <c r="O485" t="s">
        <v>211</v>
      </c>
      <c r="P485" t="s">
        <v>211</v>
      </c>
      <c r="Q485" t="s">
        <v>212</v>
      </c>
      <c r="R485">
        <v>61</v>
      </c>
      <c r="S485">
        <v>71</v>
      </c>
      <c r="T485">
        <v>3</v>
      </c>
      <c r="U485">
        <v>1</v>
      </c>
      <c r="V485" s="12" t="b">
        <v>0</v>
      </c>
      <c r="AL485" t="s">
        <v>879</v>
      </c>
      <c r="AS485">
        <f t="shared" si="305"/>
        <v>3</v>
      </c>
      <c r="AT485">
        <v>1</v>
      </c>
      <c r="AU485" t="str">
        <f t="shared" si="306"/>
        <v>XSA_COMMON_AUX_E_PREHVQK_TITO_X_X_X_COMBINE_UF_REPAIRDFF_HCS</v>
      </c>
      <c r="AV485" t="str">
        <f t="shared" si="306"/>
        <v>XSA_COMMON_AUX_E_PREHVQK_TITO_X_X_X_COMBINE_UF_REPAIRDFF_HCS</v>
      </c>
      <c r="AW485" t="str">
        <f>$D486</f>
        <v>XSA_COMMON_AUX_E_PREHVQK_TITO_X_X_X_COMBINE_UF_REPAIRDFF_HCS</v>
      </c>
    </row>
    <row r="486" spans="1:56" x14ac:dyDescent="0.35">
      <c r="A486" s="12" t="s">
        <v>871</v>
      </c>
      <c r="B486" s="12" t="s">
        <v>108</v>
      </c>
      <c r="C486" s="12" t="str">
        <f>VLOOKUP(B486,templateLookup!A:B,2,0)</f>
        <v>AuxiliaryTC</v>
      </c>
      <c r="D486" t="str">
        <f t="shared" si="304"/>
        <v>XSA_COMMON_AUX_E_PREHVQK_TITO_X_X_X_COMBINE_UF_REPAIRDFF_HCS</v>
      </c>
      <c r="E486" t="s">
        <v>205</v>
      </c>
      <c r="F486" t="s">
        <v>30</v>
      </c>
      <c r="G486" t="s">
        <v>876</v>
      </c>
      <c r="H486" t="s">
        <v>207</v>
      </c>
      <c r="I486" t="s">
        <v>260</v>
      </c>
      <c r="J486" t="s">
        <v>208</v>
      </c>
      <c r="K486" t="s">
        <v>208</v>
      </c>
      <c r="L486" t="s">
        <v>208</v>
      </c>
      <c r="M486" t="s">
        <v>880</v>
      </c>
      <c r="N486" t="s">
        <v>881</v>
      </c>
      <c r="O486" t="s">
        <v>211</v>
      </c>
      <c r="P486" t="s">
        <v>211</v>
      </c>
      <c r="Q486" t="s">
        <v>212</v>
      </c>
      <c r="R486">
        <v>61</v>
      </c>
      <c r="S486">
        <v>71</v>
      </c>
      <c r="T486">
        <v>4</v>
      </c>
      <c r="U486">
        <v>-1</v>
      </c>
      <c r="V486" s="12" t="b">
        <v>0</v>
      </c>
      <c r="AK486" t="s">
        <v>882</v>
      </c>
      <c r="AL486" t="s">
        <v>883</v>
      </c>
      <c r="AS486">
        <f t="shared" si="305"/>
        <v>3</v>
      </c>
      <c r="AT486">
        <v>1</v>
      </c>
      <c r="AU486" t="str">
        <f t="shared" si="306"/>
        <v>XSA_COMMON_AUX_E_PREHVQK_TITO_X_X_X_COMBINE_UF_REPAIRDFF_FDS1</v>
      </c>
      <c r="AV486" t="str">
        <f t="shared" si="306"/>
        <v>XSA_COMMON_AUX_E_PREHVQK_TITO_X_X_X_COMBINE_UF_REPAIRDFF_FDS1</v>
      </c>
      <c r="AW486" t="str">
        <f>$D487</f>
        <v>XSA_COMMON_AUX_E_PREHVQK_TITO_X_X_X_COMBINE_UF_REPAIRDFF_FDS1</v>
      </c>
    </row>
    <row r="487" spans="1:56" x14ac:dyDescent="0.35">
      <c r="A487" s="12" t="s">
        <v>871</v>
      </c>
      <c r="B487" s="12" t="s">
        <v>108</v>
      </c>
      <c r="C487" s="12" t="str">
        <f>VLOOKUP(B487,templateLookup!A:B,2,0)</f>
        <v>AuxiliaryTC</v>
      </c>
      <c r="D487" t="str">
        <f t="shared" si="304"/>
        <v>XSA_COMMON_AUX_E_PREHVQK_TITO_X_X_X_COMBINE_UF_REPAIRDFF_FDS1</v>
      </c>
      <c r="E487" t="s">
        <v>205</v>
      </c>
      <c r="F487" t="s">
        <v>30</v>
      </c>
      <c r="G487" t="s">
        <v>876</v>
      </c>
      <c r="H487" t="s">
        <v>207</v>
      </c>
      <c r="I487" t="s">
        <v>260</v>
      </c>
      <c r="J487" t="s">
        <v>208</v>
      </c>
      <c r="K487" t="s">
        <v>208</v>
      </c>
      <c r="L487" t="s">
        <v>208</v>
      </c>
      <c r="M487" t="s">
        <v>880</v>
      </c>
      <c r="N487" t="s">
        <v>884</v>
      </c>
      <c r="O487" t="s">
        <v>211</v>
      </c>
      <c r="P487" t="s">
        <v>211</v>
      </c>
      <c r="Q487" t="s">
        <v>212</v>
      </c>
      <c r="R487">
        <v>61</v>
      </c>
      <c r="S487">
        <v>71</v>
      </c>
      <c r="T487">
        <v>5</v>
      </c>
      <c r="U487">
        <v>-1</v>
      </c>
      <c r="V487" s="12" t="b">
        <v>0</v>
      </c>
      <c r="AK487" t="s">
        <v>885</v>
      </c>
      <c r="AL487" t="s">
        <v>886</v>
      </c>
      <c r="AS487">
        <f t="shared" si="305"/>
        <v>3</v>
      </c>
      <c r="AT487">
        <v>1</v>
      </c>
      <c r="AU487" t="str">
        <f t="shared" si="306"/>
        <v>XSA_COMMON_AUX_E_PREHVQK_TITO_X_X_X_COMBINE_UF_REPAIRDFF_FDS2</v>
      </c>
      <c r="AV487" t="str">
        <f t="shared" si="306"/>
        <v>XSA_COMMON_AUX_E_PREHVQK_TITO_X_X_X_COMBINE_UF_REPAIRDFF_FDS2</v>
      </c>
      <c r="AW487" t="str">
        <f>$D488</f>
        <v>XSA_COMMON_AUX_E_PREHVQK_TITO_X_X_X_COMBINE_UF_REPAIRDFF_FDS2</v>
      </c>
    </row>
    <row r="488" spans="1:56" x14ac:dyDescent="0.35">
      <c r="A488" s="12" t="s">
        <v>871</v>
      </c>
      <c r="B488" s="12" t="s">
        <v>108</v>
      </c>
      <c r="C488" s="12" t="str">
        <f>VLOOKUP(B488,templateLookup!A:B,2,0)</f>
        <v>AuxiliaryTC</v>
      </c>
      <c r="D488" t="str">
        <f t="shared" si="304"/>
        <v>XSA_COMMON_AUX_E_PREHVQK_TITO_X_X_X_COMBINE_UF_REPAIRDFF_FDS2</v>
      </c>
      <c r="E488" t="s">
        <v>205</v>
      </c>
      <c r="F488" t="s">
        <v>30</v>
      </c>
      <c r="G488" t="s">
        <v>876</v>
      </c>
      <c r="H488" t="s">
        <v>207</v>
      </c>
      <c r="I488" t="s">
        <v>260</v>
      </c>
      <c r="J488" t="s">
        <v>208</v>
      </c>
      <c r="K488" t="s">
        <v>208</v>
      </c>
      <c r="L488" t="s">
        <v>208</v>
      </c>
      <c r="M488" t="s">
        <v>880</v>
      </c>
      <c r="N488" t="s">
        <v>887</v>
      </c>
      <c r="O488" t="s">
        <v>211</v>
      </c>
      <c r="P488" t="s">
        <v>211</v>
      </c>
      <c r="Q488" t="s">
        <v>212</v>
      </c>
      <c r="R488">
        <v>61</v>
      </c>
      <c r="S488">
        <v>71</v>
      </c>
      <c r="T488">
        <v>6</v>
      </c>
      <c r="U488">
        <v>-1</v>
      </c>
      <c r="V488" s="12" t="b">
        <v>0</v>
      </c>
      <c r="AK488" t="s">
        <v>888</v>
      </c>
      <c r="AL488" t="s">
        <v>889</v>
      </c>
      <c r="AS488">
        <f t="shared" si="305"/>
        <v>3</v>
      </c>
      <c r="AT488">
        <v>1</v>
      </c>
      <c r="AU488">
        <v>1</v>
      </c>
      <c r="AV488">
        <v>1</v>
      </c>
      <c r="AW488">
        <v>1</v>
      </c>
    </row>
    <row r="489" spans="1:56" x14ac:dyDescent="0.35">
      <c r="A489" s="5" t="s">
        <v>871</v>
      </c>
      <c r="B489" s="5" t="s">
        <v>50</v>
      </c>
      <c r="C489" s="5" t="str">
        <f>VLOOKUP(B489,templateLookup!A:B,2,0)</f>
        <v>COMPOSITE</v>
      </c>
      <c r="D489" s="5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</row>
    <row r="490" spans="1:56" x14ac:dyDescent="0.35">
      <c r="A490" s="5" t="s">
        <v>21</v>
      </c>
      <c r="B490" s="5" t="s">
        <v>49</v>
      </c>
      <c r="C490" s="5" t="str">
        <f>VLOOKUP(B490,templateLookup!A:B,2,0)</f>
        <v>COMPOSITE</v>
      </c>
      <c r="D490" s="5" t="s">
        <v>21</v>
      </c>
      <c r="E490" s="6"/>
      <c r="F490" t="s">
        <v>30</v>
      </c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</row>
    <row r="491" spans="1:56" x14ac:dyDescent="0.35">
      <c r="A491" s="12" t="s">
        <v>21</v>
      </c>
      <c r="B491" s="12" t="s">
        <v>108</v>
      </c>
      <c r="C491" s="12" t="str">
        <f>VLOOKUP(B491,templateLookup!A:B,2,0)</f>
        <v>AuxiliaryTC</v>
      </c>
      <c r="D491" t="str">
        <f t="shared" ref="D491:D496" si="307">E491&amp;"_"&amp;F491&amp;"_"&amp;G491&amp;"_"&amp;H491&amp;"_"&amp;A491&amp;"_"&amp;I491&amp;"_"&amp;J491&amp;"_"&amp;K491&amp;"_"&amp;L491&amp;"_"&amp;M491&amp;"_"&amp;N491</f>
        <v>XSA_COMMON_AUX_E_END_TITO_X_X_X_COMBINE_UF_REPAIRDFF_HCS</v>
      </c>
      <c r="E491" t="s">
        <v>205</v>
      </c>
      <c r="F491" t="s">
        <v>30</v>
      </c>
      <c r="G491" t="s">
        <v>876</v>
      </c>
      <c r="H491" t="s">
        <v>207</v>
      </c>
      <c r="I491" t="s">
        <v>260</v>
      </c>
      <c r="J491" t="s">
        <v>208</v>
      </c>
      <c r="K491" t="s">
        <v>208</v>
      </c>
      <c r="L491" t="s">
        <v>208</v>
      </c>
      <c r="M491" t="s">
        <v>880</v>
      </c>
      <c r="N491" t="s">
        <v>881</v>
      </c>
      <c r="O491" t="s">
        <v>211</v>
      </c>
      <c r="P491" t="s">
        <v>211</v>
      </c>
      <c r="Q491" t="s">
        <v>212</v>
      </c>
      <c r="R491">
        <v>61</v>
      </c>
      <c r="S491">
        <v>72</v>
      </c>
      <c r="T491">
        <v>0</v>
      </c>
      <c r="U491">
        <v>1</v>
      </c>
      <c r="V491" s="12" t="b">
        <v>0</v>
      </c>
      <c r="AK491" t="s">
        <v>882</v>
      </c>
      <c r="AL491" t="s">
        <v>883</v>
      </c>
      <c r="AS491">
        <f t="shared" ref="AS491:AS496" si="308">COUNTA(AU491:BD491)</f>
        <v>3</v>
      </c>
      <c r="AT491">
        <v>1</v>
      </c>
      <c r="AU491" t="str">
        <f t="shared" ref="AU491:AW493" si="309">$D492</f>
        <v>XSA_COMMON_AUX_E_END_TITO_X_X_X_COMBINE_UF_REPAIRDFF_FDS1</v>
      </c>
      <c r="AV491" t="str">
        <f t="shared" si="309"/>
        <v>XSA_COMMON_AUX_E_END_TITO_X_X_X_COMBINE_UF_REPAIRDFF_FDS1</v>
      </c>
      <c r="AW491" t="str">
        <f t="shared" si="309"/>
        <v>XSA_COMMON_AUX_E_END_TITO_X_X_X_COMBINE_UF_REPAIRDFF_FDS1</v>
      </c>
    </row>
    <row r="492" spans="1:56" x14ac:dyDescent="0.35">
      <c r="A492" s="12" t="s">
        <v>21</v>
      </c>
      <c r="B492" s="12" t="s">
        <v>108</v>
      </c>
      <c r="C492" s="12" t="str">
        <f>VLOOKUP(B492,templateLookup!A:B,2,0)</f>
        <v>AuxiliaryTC</v>
      </c>
      <c r="D492" t="str">
        <f t="shared" si="307"/>
        <v>XSA_COMMON_AUX_E_END_TITO_X_X_X_COMBINE_UF_REPAIRDFF_FDS1</v>
      </c>
      <c r="E492" t="s">
        <v>205</v>
      </c>
      <c r="F492" t="s">
        <v>30</v>
      </c>
      <c r="G492" t="s">
        <v>876</v>
      </c>
      <c r="H492" t="s">
        <v>207</v>
      </c>
      <c r="I492" t="s">
        <v>260</v>
      </c>
      <c r="J492" t="s">
        <v>208</v>
      </c>
      <c r="K492" t="s">
        <v>208</v>
      </c>
      <c r="L492" t="s">
        <v>208</v>
      </c>
      <c r="M492" t="s">
        <v>880</v>
      </c>
      <c r="N492" t="s">
        <v>884</v>
      </c>
      <c r="O492" t="s">
        <v>211</v>
      </c>
      <c r="P492" t="s">
        <v>211</v>
      </c>
      <c r="Q492" t="s">
        <v>212</v>
      </c>
      <c r="R492">
        <v>61</v>
      </c>
      <c r="S492">
        <v>72</v>
      </c>
      <c r="T492">
        <v>1</v>
      </c>
      <c r="U492">
        <v>1</v>
      </c>
      <c r="V492" s="12" t="b">
        <v>0</v>
      </c>
      <c r="AK492" t="s">
        <v>885</v>
      </c>
      <c r="AL492" t="s">
        <v>886</v>
      </c>
      <c r="AS492">
        <f t="shared" si="308"/>
        <v>3</v>
      </c>
      <c r="AT492">
        <v>1</v>
      </c>
      <c r="AU492" t="str">
        <f t="shared" si="309"/>
        <v>XSA_COMMON_AUX_E_END_TITO_X_X_X_COMBINE_UF_REPAIRDFF_FDS2</v>
      </c>
      <c r="AV492" t="str">
        <f t="shared" si="309"/>
        <v>XSA_COMMON_AUX_E_END_TITO_X_X_X_COMBINE_UF_REPAIRDFF_FDS2</v>
      </c>
      <c r="AW492" t="str">
        <f t="shared" si="309"/>
        <v>XSA_COMMON_AUX_E_END_TITO_X_X_X_COMBINE_UF_REPAIRDFF_FDS2</v>
      </c>
    </row>
    <row r="493" spans="1:56" x14ac:dyDescent="0.35">
      <c r="A493" s="12" t="s">
        <v>21</v>
      </c>
      <c r="B493" s="12" t="s">
        <v>108</v>
      </c>
      <c r="C493" s="12" t="str">
        <f>VLOOKUP(B493,templateLookup!A:B,2,0)</f>
        <v>AuxiliaryTC</v>
      </c>
      <c r="D493" t="str">
        <f t="shared" si="307"/>
        <v>XSA_COMMON_AUX_E_END_TITO_X_X_X_COMBINE_UF_REPAIRDFF_FDS2</v>
      </c>
      <c r="E493" t="s">
        <v>205</v>
      </c>
      <c r="F493" t="s">
        <v>30</v>
      </c>
      <c r="G493" t="s">
        <v>876</v>
      </c>
      <c r="H493" t="s">
        <v>207</v>
      </c>
      <c r="I493" t="s">
        <v>260</v>
      </c>
      <c r="J493" t="s">
        <v>208</v>
      </c>
      <c r="K493" t="s">
        <v>208</v>
      </c>
      <c r="L493" t="s">
        <v>208</v>
      </c>
      <c r="M493" t="s">
        <v>880</v>
      </c>
      <c r="N493" t="s">
        <v>887</v>
      </c>
      <c r="O493" t="s">
        <v>211</v>
      </c>
      <c r="P493" t="s">
        <v>211</v>
      </c>
      <c r="Q493" t="s">
        <v>212</v>
      </c>
      <c r="R493">
        <v>61</v>
      </c>
      <c r="S493">
        <v>72</v>
      </c>
      <c r="T493">
        <v>2</v>
      </c>
      <c r="U493">
        <v>1</v>
      </c>
      <c r="V493" s="12" t="b">
        <v>0</v>
      </c>
      <c r="AK493" t="s">
        <v>888</v>
      </c>
      <c r="AL493" t="s">
        <v>889</v>
      </c>
      <c r="AS493">
        <f t="shared" si="308"/>
        <v>3</v>
      </c>
      <c r="AT493">
        <v>1</v>
      </c>
      <c r="AU493" t="str">
        <f t="shared" si="309"/>
        <v>ALL_X_UF_K_END_X_X_X_X_DFFSET_REPAIR_MBIST</v>
      </c>
      <c r="AV493" t="str">
        <f t="shared" si="309"/>
        <v>ALL_X_UF_K_END_X_X_X_X_DFFSET_REPAIR_MBIST</v>
      </c>
      <c r="AW493" t="str">
        <f t="shared" si="309"/>
        <v>ALL_X_UF_K_END_X_X_X_X_DFFSET_REPAIR_MBIST</v>
      </c>
    </row>
    <row r="494" spans="1:56" x14ac:dyDescent="0.35">
      <c r="A494" s="12" t="s">
        <v>21</v>
      </c>
      <c r="B494" s="12" t="s">
        <v>109</v>
      </c>
      <c r="C494" s="12" t="str">
        <f>VLOOKUP(B494,templateLookup!A:B,2,0)</f>
        <v>PrimeSetDffTestMethod</v>
      </c>
      <c r="D494" t="str">
        <f t="shared" si="307"/>
        <v>ALL_X_UF_K_END_X_X_X_X_DFFSET_REPAIR_MBIST</v>
      </c>
      <c r="E494" t="s">
        <v>7</v>
      </c>
      <c r="F494" t="s">
        <v>208</v>
      </c>
      <c r="G494" t="s">
        <v>353</v>
      </c>
      <c r="H494" t="s">
        <v>253</v>
      </c>
      <c r="I494" t="s">
        <v>208</v>
      </c>
      <c r="J494" t="s">
        <v>208</v>
      </c>
      <c r="K494" t="s">
        <v>208</v>
      </c>
      <c r="L494" t="s">
        <v>208</v>
      </c>
      <c r="M494" t="s">
        <v>890</v>
      </c>
      <c r="N494" t="s">
        <v>891</v>
      </c>
      <c r="O494" t="s">
        <v>211</v>
      </c>
      <c r="P494" t="s">
        <v>211</v>
      </c>
      <c r="Q494" t="s">
        <v>212</v>
      </c>
      <c r="R494">
        <v>61</v>
      </c>
      <c r="S494">
        <v>72</v>
      </c>
      <c r="T494">
        <v>3</v>
      </c>
      <c r="U494">
        <v>1</v>
      </c>
      <c r="V494" s="12" t="b">
        <v>0</v>
      </c>
      <c r="AM494" t="s">
        <v>892</v>
      </c>
      <c r="AN494" t="s">
        <v>893</v>
      </c>
      <c r="AS494">
        <f t="shared" si="308"/>
        <v>2</v>
      </c>
      <c r="AT494">
        <v>1</v>
      </c>
      <c r="AU494" t="str">
        <f>$D495</f>
        <v>ALL_X_UF_K_END_X_X_X_X_DFFSET_REPAIR_PBIST</v>
      </c>
      <c r="AV494" t="str">
        <f>$D495</f>
        <v>ALL_X_UF_K_END_X_X_X_X_DFFSET_REPAIR_PBIST</v>
      </c>
    </row>
    <row r="495" spans="1:56" x14ac:dyDescent="0.35">
      <c r="A495" s="12" t="s">
        <v>21</v>
      </c>
      <c r="B495" s="12" t="s">
        <v>109</v>
      </c>
      <c r="C495" s="12" t="str">
        <f>VLOOKUP(B495,templateLookup!A:B,2,0)</f>
        <v>PrimeSetDffTestMethod</v>
      </c>
      <c r="D495" t="str">
        <f t="shared" si="307"/>
        <v>ALL_X_UF_K_END_X_X_X_X_DFFSET_REPAIR_PBIST</v>
      </c>
      <c r="E495" t="s">
        <v>7</v>
      </c>
      <c r="F495" t="s">
        <v>208</v>
      </c>
      <c r="G495" t="s">
        <v>353</v>
      </c>
      <c r="H495" t="s">
        <v>253</v>
      </c>
      <c r="I495" t="s">
        <v>208</v>
      </c>
      <c r="J495" t="s">
        <v>208</v>
      </c>
      <c r="K495" t="s">
        <v>208</v>
      </c>
      <c r="L495" t="s">
        <v>208</v>
      </c>
      <c r="M495" t="s">
        <v>890</v>
      </c>
      <c r="N495" t="s">
        <v>894</v>
      </c>
      <c r="O495" t="s">
        <v>211</v>
      </c>
      <c r="P495" t="s">
        <v>211</v>
      </c>
      <c r="Q495" t="s">
        <v>212</v>
      </c>
      <c r="R495">
        <v>61</v>
      </c>
      <c r="S495">
        <v>72</v>
      </c>
      <c r="T495">
        <v>4</v>
      </c>
      <c r="U495">
        <v>1</v>
      </c>
      <c r="V495" s="12" t="b">
        <v>0</v>
      </c>
      <c r="AM495" t="s">
        <v>216</v>
      </c>
      <c r="AN495" t="s">
        <v>895</v>
      </c>
      <c r="AS495">
        <f t="shared" si="308"/>
        <v>2</v>
      </c>
      <c r="AT495">
        <v>1</v>
      </c>
      <c r="AU495" t="str">
        <f>$D496</f>
        <v>ALL_X_UF_K_END_X_X_X_X_DFFSET_REPAIR_GTBIST</v>
      </c>
      <c r="AV495" t="str">
        <f>$D496</f>
        <v>ALL_X_UF_K_END_X_X_X_X_DFFSET_REPAIR_GTBIST</v>
      </c>
    </row>
    <row r="496" spans="1:56" x14ac:dyDescent="0.35">
      <c r="A496" s="12" t="s">
        <v>21</v>
      </c>
      <c r="B496" s="12" t="s">
        <v>109</v>
      </c>
      <c r="C496" s="12" t="str">
        <f>VLOOKUP(B496,templateLookup!A:B,2,0)</f>
        <v>PrimeSetDffTestMethod</v>
      </c>
      <c r="D496" t="str">
        <f t="shared" si="307"/>
        <v>ALL_X_UF_K_END_X_X_X_X_DFFSET_REPAIR_GTBIST</v>
      </c>
      <c r="E496" t="s">
        <v>7</v>
      </c>
      <c r="F496" t="s">
        <v>208</v>
      </c>
      <c r="G496" t="s">
        <v>353</v>
      </c>
      <c r="H496" t="s">
        <v>253</v>
      </c>
      <c r="I496" t="s">
        <v>208</v>
      </c>
      <c r="J496" t="s">
        <v>208</v>
      </c>
      <c r="K496" t="s">
        <v>208</v>
      </c>
      <c r="L496" t="s">
        <v>208</v>
      </c>
      <c r="M496" t="s">
        <v>890</v>
      </c>
      <c r="N496" t="s">
        <v>896</v>
      </c>
      <c r="O496" t="s">
        <v>211</v>
      </c>
      <c r="P496" t="s">
        <v>211</v>
      </c>
      <c r="Q496" t="s">
        <v>212</v>
      </c>
      <c r="R496">
        <v>61</v>
      </c>
      <c r="S496">
        <v>72</v>
      </c>
      <c r="T496">
        <v>5</v>
      </c>
      <c r="U496">
        <v>-1</v>
      </c>
      <c r="V496" s="12" t="b">
        <v>0</v>
      </c>
      <c r="AM496" t="s">
        <v>233</v>
      </c>
      <c r="AN496" t="s">
        <v>897</v>
      </c>
      <c r="AS496">
        <f t="shared" si="308"/>
        <v>2</v>
      </c>
      <c r="AT496">
        <v>1</v>
      </c>
      <c r="AU496">
        <v>1</v>
      </c>
      <c r="AV496">
        <v>1</v>
      </c>
    </row>
    <row r="497" spans="1:56" x14ac:dyDescent="0.35">
      <c r="A497" s="5" t="s">
        <v>21</v>
      </c>
      <c r="B497" s="5" t="s">
        <v>50</v>
      </c>
      <c r="C497" s="5" t="str">
        <f>VLOOKUP(B497,templateLookup!A:B,2,0)</f>
        <v>COMPOSITE</v>
      </c>
      <c r="D497" s="5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</row>
    <row r="498" spans="1:56" x14ac:dyDescent="0.35">
      <c r="A498" s="10" t="s">
        <v>203</v>
      </c>
      <c r="B498" s="10" t="s">
        <v>51</v>
      </c>
      <c r="C498" s="10" t="str">
        <f>VLOOKUP(B498,templateLookup!A:B,2,0)</f>
        <v>COMPOSITE</v>
      </c>
      <c r="D498" s="10" t="s">
        <v>203</v>
      </c>
    </row>
  </sheetData>
  <autoFilter ref="A1:BD498" xr:uid="{00000000-0009-0000-0000-000001000000}"/>
  <conditionalFormatting sqref="T26:T30">
    <cfRule type="duplicateValues" dxfId="253" priority="93"/>
  </conditionalFormatting>
  <conditionalFormatting sqref="T34">
    <cfRule type="duplicateValues" dxfId="252" priority="89"/>
  </conditionalFormatting>
  <conditionalFormatting sqref="T93 T22">
    <cfRule type="duplicateValues" dxfId="251" priority="78"/>
    <cfRule type="duplicateValues" dxfId="250" priority="79"/>
  </conditionalFormatting>
  <conditionalFormatting sqref="T95:T130">
    <cfRule type="duplicateValues" dxfId="249" priority="76"/>
    <cfRule type="duplicateValues" dxfId="248" priority="77"/>
  </conditionalFormatting>
  <conditionalFormatting sqref="T139:T151">
    <cfRule type="duplicateValues" dxfId="247" priority="74"/>
    <cfRule type="duplicateValues" dxfId="246" priority="75"/>
  </conditionalFormatting>
  <conditionalFormatting sqref="T176:T179">
    <cfRule type="duplicateValues" dxfId="245" priority="72"/>
    <cfRule type="duplicateValues" dxfId="244" priority="73"/>
  </conditionalFormatting>
  <conditionalFormatting sqref="T182:T188">
    <cfRule type="duplicateValues" dxfId="243" priority="70"/>
    <cfRule type="duplicateValues" dxfId="242" priority="71"/>
  </conditionalFormatting>
  <conditionalFormatting sqref="T191:T212">
    <cfRule type="duplicateValues" dxfId="241" priority="68"/>
    <cfRule type="duplicateValues" dxfId="240" priority="69"/>
  </conditionalFormatting>
  <conditionalFormatting sqref="T215:T218">
    <cfRule type="duplicateValues" dxfId="239" priority="66"/>
    <cfRule type="duplicateValues" dxfId="238" priority="67"/>
  </conditionalFormatting>
  <conditionalFormatting sqref="T221:T226">
    <cfRule type="duplicateValues" dxfId="237" priority="64"/>
    <cfRule type="duplicateValues" dxfId="236" priority="65"/>
  </conditionalFormatting>
  <conditionalFormatting sqref="T230">
    <cfRule type="duplicateValues" dxfId="235" priority="61"/>
    <cfRule type="duplicateValues" dxfId="234" priority="62"/>
    <cfRule type="duplicateValues" dxfId="233" priority="63"/>
  </conditionalFormatting>
  <conditionalFormatting sqref="T233:T250">
    <cfRule type="duplicateValues" dxfId="232" priority="58"/>
    <cfRule type="duplicateValues" dxfId="231" priority="59"/>
    <cfRule type="duplicateValues" dxfId="230" priority="60"/>
  </conditionalFormatting>
  <conditionalFormatting sqref="T288:T289">
    <cfRule type="duplicateValues" dxfId="229" priority="49"/>
    <cfRule type="duplicateValues" dxfId="228" priority="50"/>
    <cfRule type="duplicateValues" dxfId="227" priority="51"/>
  </conditionalFormatting>
  <conditionalFormatting sqref="T290">
    <cfRule type="duplicateValues" dxfId="226" priority="41"/>
    <cfRule type="duplicateValues" dxfId="225" priority="42"/>
    <cfRule type="duplicateValues" dxfId="224" priority="43"/>
  </conditionalFormatting>
  <conditionalFormatting sqref="T293:T307">
    <cfRule type="duplicateValues" dxfId="223" priority="46"/>
    <cfRule type="duplicateValues" dxfId="222" priority="47"/>
    <cfRule type="duplicateValues" dxfId="221" priority="48"/>
  </conditionalFormatting>
  <conditionalFormatting sqref="T317:T341">
    <cfRule type="duplicateValues" dxfId="220" priority="37"/>
    <cfRule type="duplicateValues" dxfId="219" priority="38"/>
    <cfRule type="duplicateValues" dxfId="218" priority="39"/>
  </conditionalFormatting>
  <conditionalFormatting sqref="T345">
    <cfRule type="duplicateValues" dxfId="217" priority="34"/>
  </conditionalFormatting>
  <conditionalFormatting sqref="T418:T419">
    <cfRule type="duplicateValues" dxfId="216" priority="27"/>
  </conditionalFormatting>
  <conditionalFormatting sqref="T478">
    <cfRule type="duplicateValues" dxfId="215" priority="90"/>
  </conditionalFormatting>
  <conditionalFormatting sqref="U1:U498">
    <cfRule type="cellIs" dxfId="214" priority="19" operator="equal">
      <formula>1</formula>
    </cfRule>
    <cfRule type="cellIs" dxfId="213" priority="20" operator="equal">
      <formula>-1</formula>
    </cfRule>
  </conditionalFormatting>
  <conditionalFormatting sqref="V457:V458 V469:V470 V1:V316 V421:V430">
    <cfRule type="cellIs" dxfId="212" priority="44" operator="equal">
      <formula>TRUE</formula>
    </cfRule>
    <cfRule type="cellIs" dxfId="211" priority="45" operator="equal">
      <formula>FALSE</formula>
    </cfRule>
  </conditionalFormatting>
  <conditionalFormatting sqref="V317:V341">
    <cfRule type="cellIs" dxfId="210" priority="35" operator="equal">
      <formula>TRUE</formula>
    </cfRule>
    <cfRule type="cellIs" dxfId="209" priority="36" operator="equal">
      <formula>FALSE</formula>
    </cfRule>
  </conditionalFormatting>
  <conditionalFormatting sqref="V342:V346">
    <cfRule type="cellIs" dxfId="208" priority="82" operator="equal">
      <formula>TRUE</formula>
    </cfRule>
    <cfRule type="cellIs" dxfId="207" priority="83" operator="equal">
      <formula>FALSE</formula>
    </cfRule>
  </conditionalFormatting>
  <conditionalFormatting sqref="V347:V391">
    <cfRule type="cellIs" dxfId="206" priority="32" operator="equal">
      <formula>TRUE</formula>
    </cfRule>
    <cfRule type="cellIs" dxfId="205" priority="33" operator="equal">
      <formula>FALSE</formula>
    </cfRule>
  </conditionalFormatting>
  <conditionalFormatting sqref="V392:V393 V398:V399 V431:V432 V437:V438">
    <cfRule type="cellIs" dxfId="204" priority="91" operator="equal">
      <formula>TRUE</formula>
    </cfRule>
    <cfRule type="cellIs" dxfId="203" priority="92" operator="equal">
      <formula>FALSE</formula>
    </cfRule>
  </conditionalFormatting>
  <conditionalFormatting sqref="V394:V397">
    <cfRule type="cellIs" dxfId="202" priority="30" operator="equal">
      <formula>TRUE</formula>
    </cfRule>
    <cfRule type="cellIs" dxfId="201" priority="31" operator="equal">
      <formula>FALSE</formula>
    </cfRule>
  </conditionalFormatting>
  <conditionalFormatting sqref="V400:V414">
    <cfRule type="cellIs" dxfId="200" priority="28" operator="equal">
      <formula>TRUE</formula>
    </cfRule>
    <cfRule type="cellIs" dxfId="199" priority="29" operator="equal">
      <formula>FALSE</formula>
    </cfRule>
  </conditionalFormatting>
  <conditionalFormatting sqref="V415:V420">
    <cfRule type="cellIs" dxfId="198" priority="80" operator="equal">
      <formula>TRUE</formula>
    </cfRule>
    <cfRule type="cellIs" dxfId="197" priority="81" operator="equal">
      <formula>FALSE</formula>
    </cfRule>
  </conditionalFormatting>
  <conditionalFormatting sqref="V433:V436">
    <cfRule type="cellIs" dxfId="196" priority="23" operator="equal">
      <formula>TRUE</formula>
    </cfRule>
    <cfRule type="cellIs" dxfId="195" priority="24" operator="equal">
      <formula>FALSE</formula>
    </cfRule>
  </conditionalFormatting>
  <conditionalFormatting sqref="V439:V442">
    <cfRule type="cellIs" dxfId="194" priority="21" operator="equal">
      <formula>TRUE</formula>
    </cfRule>
    <cfRule type="cellIs" dxfId="193" priority="22" operator="equal">
      <formula>FALSE</formula>
    </cfRule>
  </conditionalFormatting>
  <conditionalFormatting sqref="V443:V447 V454:V455">
    <cfRule type="cellIs" dxfId="192" priority="84" operator="equal">
      <formula>TRUE</formula>
    </cfRule>
    <cfRule type="cellIs" dxfId="191" priority="85" operator="equal">
      <formula>FALSE</formula>
    </cfRule>
  </conditionalFormatting>
  <conditionalFormatting sqref="V471:V474">
    <cfRule type="cellIs" dxfId="190" priority="17" operator="equal">
      <formula>TRUE</formula>
    </cfRule>
    <cfRule type="cellIs" dxfId="189" priority="18" operator="equal">
      <formula>FALSE</formula>
    </cfRule>
  </conditionalFormatting>
  <conditionalFormatting sqref="V475:V498">
    <cfRule type="cellIs" dxfId="188" priority="86" operator="equal">
      <formula>TRUE</formula>
    </cfRule>
    <cfRule type="cellIs" dxfId="187" priority="87" operator="equal">
      <formula>FALSE</formula>
    </cfRule>
  </conditionalFormatting>
  <conditionalFormatting sqref="V312:AE312 V313:AI313 V345:AG345 AJ345:AN345 AQ345:AR345 V346:AA346 W347:AA391 V392:AA393 W394:AA395 W396:AI396 V418:AN419 V420:AA420 V431:AA432 W433:AA434 W435:AI435 AD73:AH73 V314:AH314 W397:AH397 W436:AH436 V67:AC93 AS67:BD93 AJ73:AR73 AF311:AR311 AH312:AR312 AK313:AR313 AJ314:AR314 V315:AR316 X317:AR341 V342:AR344 AB346:AR395 AK396:AR396 AJ397:AR397 V398:AR399 W400:AR414 V415:AR417 AK435:AR435 AJ436:AR436 V437:AR438 W439:AR442 W471:AR474 AD67:AR72 AD74:AR93 V443:AR448 V469:AR470 V449:BD468 V1:BD66 V94:BD211 V212:AC311 AD212:AR310 W421:AA427 AB420:AR427 W429:AA430 AS429:BD448 AB429:AR434 AS469:BD1048576 V475:AR1048576 AS212:BD427 W428:BD428">
    <cfRule type="expression" dxfId="186" priority="40">
      <formula>EXACT($U1,1)</formula>
    </cfRule>
  </conditionalFormatting>
  <conditionalFormatting sqref="AB474:AC474">
    <cfRule type="expression" dxfId="185" priority="94">
      <formula>EXACT($U341,1)</formula>
    </cfRule>
  </conditionalFormatting>
  <conditionalFormatting sqref="AQ34">
    <cfRule type="duplicateValues" dxfId="184" priority="88"/>
  </conditionalFormatting>
  <conditionalFormatting sqref="AQ478">
    <cfRule type="duplicateValues" dxfId="183" priority="12"/>
  </conditionalFormatting>
  <conditionalFormatting sqref="V448:V453">
    <cfRule type="cellIs" dxfId="182" priority="10" operator="equal">
      <formula>TRUE</formula>
    </cfRule>
    <cfRule type="cellIs" dxfId="181" priority="11" operator="equal">
      <formula>FALSE</formula>
    </cfRule>
  </conditionalFormatting>
  <conditionalFormatting sqref="AQ459:AQ467">
    <cfRule type="duplicateValues" dxfId="180" priority="9"/>
  </conditionalFormatting>
  <conditionalFormatting sqref="V459:V467">
    <cfRule type="cellIs" dxfId="179" priority="7" operator="equal">
      <formula>TRUE</formula>
    </cfRule>
    <cfRule type="cellIs" dxfId="178" priority="8" operator="equal">
      <formula>FALSE</formula>
    </cfRule>
  </conditionalFormatting>
  <conditionalFormatting sqref="AQ448 AQ450:AQ453">
    <cfRule type="duplicateValues" dxfId="177" priority="337"/>
  </conditionalFormatting>
  <conditionalFormatting sqref="V456">
    <cfRule type="cellIs" dxfId="176" priority="4" operator="equal">
      <formula>TRUE</formula>
    </cfRule>
    <cfRule type="cellIs" dxfId="175" priority="5" operator="equal">
      <formula>FALSE</formula>
    </cfRule>
  </conditionalFormatting>
  <conditionalFormatting sqref="AQ456">
    <cfRule type="duplicateValues" dxfId="174" priority="6"/>
  </conditionalFormatting>
  <conditionalFormatting sqref="V468">
    <cfRule type="cellIs" dxfId="173" priority="1" operator="equal">
      <formula>TRUE</formula>
    </cfRule>
    <cfRule type="cellIs" dxfId="172" priority="2" operator="equal">
      <formula>FALSE</formula>
    </cfRule>
  </conditionalFormatting>
  <conditionalFormatting sqref="AQ468">
    <cfRule type="duplicateValues" dxfId="171" priority="3"/>
  </conditionalFormatting>
  <conditionalFormatting sqref="T253:T263">
    <cfRule type="duplicateValues" dxfId="170" priority="464"/>
    <cfRule type="duplicateValues" dxfId="169" priority="465"/>
    <cfRule type="duplicateValues" dxfId="168" priority="466"/>
  </conditionalFormatting>
  <conditionalFormatting sqref="T266:T285">
    <cfRule type="duplicateValues" dxfId="167" priority="533"/>
    <cfRule type="duplicateValues" dxfId="166" priority="534"/>
    <cfRule type="duplicateValues" dxfId="165" priority="535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CB4F-FB52-497B-AFCC-14DB2671D310}">
  <dimension ref="A1:BG216"/>
  <sheetViews>
    <sheetView zoomScale="70" zoomScaleNormal="70" workbookViewId="0">
      <pane xSplit="4" ySplit="1" topLeftCell="AU44" activePane="bottomRight" state="frozen"/>
      <selection pane="topRight" activeCell="A39" sqref="A39"/>
      <selection pane="bottomLeft" activeCell="A39" sqref="A39"/>
      <selection pane="bottomRight" activeCell="A60" sqref="A60:XFD60"/>
    </sheetView>
  </sheetViews>
  <sheetFormatPr defaultRowHeight="14.5" x14ac:dyDescent="0.35"/>
  <cols>
    <col min="1" max="1" width="11" bestFit="1" customWidth="1"/>
    <col min="2" max="2" width="18.1796875" bestFit="1" customWidth="1"/>
    <col min="3" max="3" width="28.1796875" bestFit="1" customWidth="1"/>
    <col min="4" max="4" width="100.453125" customWidth="1"/>
    <col min="5" max="7" width="9.1796875" customWidth="1"/>
    <col min="8" max="8" width="5.453125" customWidth="1"/>
    <col min="9" max="9" width="6.54296875" customWidth="1"/>
    <col min="10" max="11" width="9.1796875" customWidth="1"/>
    <col min="12" max="13" width="6.54296875" customWidth="1"/>
    <col min="14" max="14" width="19.1796875" customWidth="1"/>
    <col min="15" max="15" width="33.81640625" customWidth="1"/>
    <col min="16" max="16" width="43.54296875" customWidth="1"/>
    <col min="17" max="17" width="68" customWidth="1"/>
    <col min="18" max="18" width="4.453125" customWidth="1"/>
    <col min="19" max="19" width="4.1796875" customWidth="1"/>
    <col min="20" max="20" width="10.81640625" customWidth="1"/>
    <col min="21" max="22" width="9.1796875" customWidth="1"/>
    <col min="23" max="23" width="13.54296875" customWidth="1"/>
    <col min="24" max="24" width="15.1796875" customWidth="1"/>
    <col min="25" max="25" width="21" customWidth="1"/>
    <col min="26" max="26" width="52.1796875" bestFit="1" customWidth="1"/>
    <col min="27" max="27" width="24.1796875" customWidth="1"/>
    <col min="28" max="28" width="46.54296875" bestFit="1" customWidth="1"/>
    <col min="29" max="29" width="15.453125" bestFit="1" customWidth="1"/>
    <col min="30" max="31" width="15.453125" customWidth="1"/>
    <col min="32" max="33" width="9.1796875" customWidth="1"/>
    <col min="34" max="34" width="19" bestFit="1" customWidth="1"/>
    <col min="35" max="35" width="16.54296875" bestFit="1" customWidth="1"/>
    <col min="36" max="37" width="14.54296875" customWidth="1"/>
    <col min="38" max="38" width="32.1796875" customWidth="1"/>
    <col min="39" max="39" width="11.54296875" customWidth="1"/>
    <col min="40" max="40" width="13.453125" bestFit="1" customWidth="1"/>
    <col min="41" max="41" width="19.81640625" customWidth="1"/>
    <col min="42" max="42" width="18.1796875" bestFit="1" customWidth="1"/>
    <col min="43" max="44" width="9.1796875" customWidth="1"/>
    <col min="45" max="45" width="45" bestFit="1" customWidth="1"/>
    <col min="46" max="46" width="20.453125" bestFit="1" customWidth="1"/>
    <col min="47" max="47" width="32.54296875" bestFit="1" customWidth="1"/>
    <col min="48" max="49" width="9.1796875" customWidth="1"/>
    <col min="50" max="50" width="75.54296875" bestFit="1" customWidth="1"/>
    <col min="51" max="51" width="73.54296875" bestFit="1" customWidth="1"/>
    <col min="52" max="52" width="9.1796875" customWidth="1"/>
    <col min="53" max="54" width="79.54296875" bestFit="1" customWidth="1"/>
    <col min="55" max="59" width="9.1796875" customWidth="1"/>
  </cols>
  <sheetData>
    <row r="1" spans="1:59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167</v>
      </c>
      <c r="V1" t="s">
        <v>168</v>
      </c>
      <c r="W1" t="s">
        <v>169</v>
      </c>
      <c r="X1" t="s">
        <v>898</v>
      </c>
      <c r="Y1" t="s">
        <v>189</v>
      </c>
      <c r="Z1" t="s">
        <v>190</v>
      </c>
      <c r="AA1" t="s">
        <v>899</v>
      </c>
      <c r="AB1" t="s">
        <v>187</v>
      </c>
      <c r="AC1" t="s">
        <v>188</v>
      </c>
      <c r="AD1" t="s">
        <v>900</v>
      </c>
      <c r="AE1" t="s">
        <v>901</v>
      </c>
      <c r="AF1" t="s">
        <v>902</v>
      </c>
      <c r="AG1" t="s">
        <v>903</v>
      </c>
      <c r="AH1" t="s">
        <v>181</v>
      </c>
      <c r="AI1" t="s">
        <v>178</v>
      </c>
      <c r="AJ1" t="s">
        <v>179</v>
      </c>
      <c r="AK1" t="s">
        <v>180</v>
      </c>
      <c r="AL1" t="s">
        <v>184</v>
      </c>
      <c r="AM1" t="s">
        <v>904</v>
      </c>
      <c r="AN1" t="s">
        <v>905</v>
      </c>
      <c r="AO1" t="s">
        <v>906</v>
      </c>
      <c r="AP1" t="s">
        <v>907</v>
      </c>
      <c r="AQ1" t="s">
        <v>908</v>
      </c>
      <c r="AR1" t="s">
        <v>182</v>
      </c>
      <c r="AS1" t="s">
        <v>909</v>
      </c>
      <c r="AT1" t="s">
        <v>910</v>
      </c>
      <c r="AU1" t="s">
        <v>911</v>
      </c>
      <c r="AV1" t="s">
        <v>191</v>
      </c>
      <c r="AW1" t="s">
        <v>192</v>
      </c>
      <c r="AX1" t="s">
        <v>193</v>
      </c>
      <c r="AY1" t="s">
        <v>194</v>
      </c>
      <c r="AZ1" t="s">
        <v>195</v>
      </c>
      <c r="BA1" t="s">
        <v>196</v>
      </c>
      <c r="BB1" t="s">
        <v>197</v>
      </c>
      <c r="BC1" t="s">
        <v>198</v>
      </c>
      <c r="BD1" t="s">
        <v>199</v>
      </c>
      <c r="BE1" t="s">
        <v>200</v>
      </c>
      <c r="BF1" t="s">
        <v>201</v>
      </c>
      <c r="BG1" t="s">
        <v>202</v>
      </c>
    </row>
    <row r="2" spans="1:59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28</v>
      </c>
    </row>
    <row r="3" spans="1:59" x14ac:dyDescent="0.35">
      <c r="A3" s="5" t="s">
        <v>12</v>
      </c>
      <c r="B3" s="5" t="s">
        <v>49</v>
      </c>
      <c r="C3" s="5" t="str">
        <f>VLOOKUP(B3,templateLookup!A:B,2,0)</f>
        <v>COMPOSITE</v>
      </c>
      <c r="D3" s="5" t="s">
        <v>12</v>
      </c>
      <c r="E3" s="6"/>
      <c r="F3" s="6" t="s">
        <v>28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x14ac:dyDescent="0.35">
      <c r="A4" s="7" t="s">
        <v>12</v>
      </c>
      <c r="B4" s="7" t="s">
        <v>61</v>
      </c>
      <c r="C4" s="7" t="str">
        <f>VLOOKUP(B4,templateLookup!A:B,2,0)</f>
        <v>PrimePatConfigTestMethod</v>
      </c>
      <c r="D4" t="str">
        <f>E4&amp;"_"&amp;F4&amp;"_"&amp;G4&amp;"_"&amp;H4&amp;"_"&amp;A4&amp;"_"&amp;I4&amp;"_"&amp;J4&amp;"_"&amp;K4&amp;"_"&amp;L4&amp;"_"&amp;M4&amp;"_"&amp;N4</f>
        <v>ALL_ATOM_PATMOD_K_BEGIN_X_X_X_X_X_RESET_FREQ</v>
      </c>
      <c r="E4" t="s">
        <v>7</v>
      </c>
      <c r="F4" t="s">
        <v>28</v>
      </c>
      <c r="G4" t="s">
        <v>252</v>
      </c>
      <c r="H4" t="s">
        <v>253</v>
      </c>
      <c r="I4" t="s">
        <v>208</v>
      </c>
      <c r="J4" t="s">
        <v>208</v>
      </c>
      <c r="K4" t="s">
        <v>208</v>
      </c>
      <c r="L4" t="s">
        <v>208</v>
      </c>
      <c r="M4" t="s">
        <v>208</v>
      </c>
      <c r="N4" t="s">
        <v>278</v>
      </c>
      <c r="R4">
        <v>90</v>
      </c>
      <c r="S4">
        <v>60</v>
      </c>
      <c r="T4">
        <v>15</v>
      </c>
      <c r="U4">
        <v>-1</v>
      </c>
      <c r="V4" t="b">
        <v>1</v>
      </c>
      <c r="Y4" t="s">
        <v>257</v>
      </c>
      <c r="Z4" t="s">
        <v>912</v>
      </c>
      <c r="AB4" t="s">
        <v>279</v>
      </c>
      <c r="AC4" t="s">
        <v>280</v>
      </c>
      <c r="AV4">
        <v>2</v>
      </c>
      <c r="AW4">
        <v>1</v>
      </c>
      <c r="AX4" t="s">
        <v>913</v>
      </c>
      <c r="AY4" t="s">
        <v>913</v>
      </c>
      <c r="BF4" s="8"/>
      <c r="BG4" s="8"/>
    </row>
    <row r="5" spans="1:59" x14ac:dyDescent="0.35">
      <c r="A5" s="9" t="s">
        <v>12</v>
      </c>
      <c r="B5" s="9" t="s">
        <v>49</v>
      </c>
      <c r="C5" s="9" t="str">
        <f>VLOOKUP(B5,templateLookup!A:B,2,0)</f>
        <v>COMPOSITE</v>
      </c>
      <c r="D5" s="10" t="s">
        <v>913</v>
      </c>
      <c r="F5" t="s">
        <v>28</v>
      </c>
      <c r="AV5">
        <f t="shared" ref="AV5:AV19" si="0">COUNTA(AX5:BG5)</f>
        <v>3</v>
      </c>
      <c r="AW5" t="s">
        <v>218</v>
      </c>
      <c r="AX5" t="str">
        <f>D39</f>
        <v>L2_LRU_NOM_REP</v>
      </c>
      <c r="AY5" t="str">
        <f>D21</f>
        <v>L2_SSA_MIN_REP</v>
      </c>
      <c r="AZ5" t="str">
        <f>D39</f>
        <v>L2_LRU_NOM_REP</v>
      </c>
    </row>
    <row r="6" spans="1:59" x14ac:dyDescent="0.35">
      <c r="A6" s="11" t="s">
        <v>12</v>
      </c>
      <c r="B6" s="11" t="s">
        <v>89</v>
      </c>
      <c r="C6" s="11" t="str">
        <f>VLOOKUP(B6,templateLookup!A:B,2,0)</f>
        <v>iCHSRTest</v>
      </c>
      <c r="D6" t="str">
        <f t="shared" ref="D6:D19" si="1">E6&amp;"_"&amp;F6&amp;"_"&amp;G6&amp;"_"&amp;H6&amp;"_"&amp;A6&amp;"_"&amp;I6&amp;"_"&amp;J6&amp;"_"&amp;K6&amp;"_"&amp;L6&amp;"_"&amp;M6&amp;"_"&amp;N6</f>
        <v>SSA_ATOM_HRY_E_BEGIN_TITO_ATOML_NOM_LFM_0800_L2_ALL_PRE_HRY</v>
      </c>
      <c r="E6" t="s">
        <v>4</v>
      </c>
      <c r="F6" t="s">
        <v>28</v>
      </c>
      <c r="G6" t="s">
        <v>271</v>
      </c>
      <c r="H6" t="s">
        <v>207</v>
      </c>
      <c r="I6" t="s">
        <v>260</v>
      </c>
      <c r="J6" t="s">
        <v>914</v>
      </c>
      <c r="K6" t="s">
        <v>284</v>
      </c>
      <c r="L6" t="s">
        <v>285</v>
      </c>
      <c r="M6" t="str">
        <f>TEXT(800,"0000")</f>
        <v>0800</v>
      </c>
      <c r="N6" t="s">
        <v>915</v>
      </c>
      <c r="O6" t="s">
        <v>267</v>
      </c>
      <c r="P6" t="s">
        <v>397</v>
      </c>
      <c r="Q6" t="s">
        <v>916</v>
      </c>
      <c r="R6">
        <v>60</v>
      </c>
      <c r="S6">
        <v>60</v>
      </c>
      <c r="T6">
        <v>0</v>
      </c>
      <c r="U6">
        <v>-1</v>
      </c>
      <c r="V6" t="b">
        <v>0</v>
      </c>
      <c r="W6" t="s">
        <v>917</v>
      </c>
      <c r="AS6" t="s">
        <v>918</v>
      </c>
      <c r="AT6" t="s">
        <v>919</v>
      </c>
      <c r="AV6">
        <f t="shared" si="0"/>
        <v>4</v>
      </c>
      <c r="AW6" t="s">
        <v>920</v>
      </c>
      <c r="AX6" t="str">
        <f>D7</f>
        <v>SSA_ATOM_CAPTURE_E_BEGIN_TITO_ATOML_NOM_LFM_0800_L2_DAT_CAPTURE</v>
      </c>
      <c r="AY6">
        <v>1</v>
      </c>
      <c r="AZ6" t="str">
        <f>D7</f>
        <v>SSA_ATOM_CAPTURE_E_BEGIN_TITO_ATOML_NOM_LFM_0800_L2_DAT_CAPTURE</v>
      </c>
      <c r="BA6" t="str">
        <f>D7</f>
        <v>SSA_ATOM_CAPTURE_E_BEGIN_TITO_ATOML_NOM_LFM_0800_L2_DAT_CAPTURE</v>
      </c>
    </row>
    <row r="7" spans="1:59" x14ac:dyDescent="0.35">
      <c r="A7" s="11" t="s">
        <v>12</v>
      </c>
      <c r="B7" s="11" t="s">
        <v>80</v>
      </c>
      <c r="C7" s="11" t="str">
        <f>VLOOKUP(B7,templateLookup!A:B,2,0)</f>
        <v>iCCapturePacketsTest</v>
      </c>
      <c r="D7" t="str">
        <f t="shared" si="1"/>
        <v>SSA_ATOM_CAPTURE_E_BEGIN_TITO_ATOML_NOM_LFM_0800_L2_DAT_CAPTURE</v>
      </c>
      <c r="E7" t="s">
        <v>4</v>
      </c>
      <c r="F7" t="s">
        <v>28</v>
      </c>
      <c r="G7" t="s">
        <v>921</v>
      </c>
      <c r="H7" t="s">
        <v>207</v>
      </c>
      <c r="I7" t="s">
        <v>260</v>
      </c>
      <c r="J7" t="s">
        <v>914</v>
      </c>
      <c r="K7" t="s">
        <v>284</v>
      </c>
      <c r="L7" t="s">
        <v>285</v>
      </c>
      <c r="M7" t="str">
        <f t="shared" ref="M7:M19" si="2">TEXT(800,"0000")</f>
        <v>0800</v>
      </c>
      <c r="N7" t="s">
        <v>922</v>
      </c>
      <c r="O7" t="s">
        <v>267</v>
      </c>
      <c r="P7" t="s">
        <v>397</v>
      </c>
      <c r="Q7" t="s">
        <v>923</v>
      </c>
      <c r="R7">
        <v>60</v>
      </c>
      <c r="S7">
        <v>60</v>
      </c>
      <c r="T7">
        <v>1</v>
      </c>
      <c r="U7">
        <v>-1</v>
      </c>
      <c r="V7" t="b">
        <v>0</v>
      </c>
      <c r="W7" t="s">
        <v>917</v>
      </c>
      <c r="AM7" t="s">
        <v>924</v>
      </c>
      <c r="AV7">
        <f t="shared" si="0"/>
        <v>3</v>
      </c>
      <c r="AW7" t="s">
        <v>218</v>
      </c>
      <c r="AX7" t="str">
        <f>D10</f>
        <v>SSA_ATOM_CAPTURE_E_BEGIN_TITO_ATOML_NOM_LFM_0800_L2_C6S_CAPTURE</v>
      </c>
      <c r="AY7" t="str">
        <f>D8</f>
        <v>SSA_ATOM_REPAIR_E_BEGIN_TITO_ATOML_NOM_LFM_0800_L2_DAT_REPAIR</v>
      </c>
      <c r="AZ7" t="str">
        <f>D10</f>
        <v>SSA_ATOM_CAPTURE_E_BEGIN_TITO_ATOML_NOM_LFM_0800_L2_C6S_CAPTURE</v>
      </c>
    </row>
    <row r="8" spans="1:59" x14ac:dyDescent="0.35">
      <c r="A8" s="11" t="s">
        <v>12</v>
      </c>
      <c r="B8" s="11" t="s">
        <v>82</v>
      </c>
      <c r="C8" s="11" t="str">
        <f>VLOOKUP(B8,templateLookup!A:B,2,0)</f>
        <v>iCRepairTest</v>
      </c>
      <c r="D8" t="str">
        <f t="shared" si="1"/>
        <v>SSA_ATOM_REPAIR_E_BEGIN_TITO_ATOML_NOM_LFM_0800_L2_DAT_REPAIR</v>
      </c>
      <c r="E8" t="s">
        <v>4</v>
      </c>
      <c r="F8" t="s">
        <v>28</v>
      </c>
      <c r="G8" t="s">
        <v>261</v>
      </c>
      <c r="H8" t="s">
        <v>207</v>
      </c>
      <c r="I8" t="s">
        <v>260</v>
      </c>
      <c r="J8" t="s">
        <v>914</v>
      </c>
      <c r="K8" t="s">
        <v>284</v>
      </c>
      <c r="L8" t="s">
        <v>285</v>
      </c>
      <c r="M8" t="str">
        <f t="shared" si="2"/>
        <v>0800</v>
      </c>
      <c r="N8" t="s">
        <v>925</v>
      </c>
      <c r="O8" t="s">
        <v>267</v>
      </c>
      <c r="P8" t="s">
        <v>397</v>
      </c>
      <c r="Q8" t="s">
        <v>923</v>
      </c>
      <c r="R8">
        <v>60</v>
      </c>
      <c r="S8">
        <v>60</v>
      </c>
      <c r="T8">
        <v>2</v>
      </c>
      <c r="U8">
        <v>-1</v>
      </c>
      <c r="V8" s="12" t="b">
        <v>0</v>
      </c>
      <c r="W8" t="s">
        <v>917</v>
      </c>
      <c r="AM8" t="s">
        <v>924</v>
      </c>
      <c r="AN8" t="s">
        <v>926</v>
      </c>
      <c r="AO8" t="s">
        <v>927</v>
      </c>
      <c r="AP8" t="s">
        <v>928</v>
      </c>
      <c r="AV8">
        <f t="shared" si="0"/>
        <v>6</v>
      </c>
      <c r="AW8" t="s">
        <v>274</v>
      </c>
      <c r="AX8" t="str">
        <f>D10</f>
        <v>SSA_ATOM_CAPTURE_E_BEGIN_TITO_ATOML_NOM_LFM_0800_L2_C6S_CAPTURE</v>
      </c>
      <c r="AY8" t="str">
        <f>D10</f>
        <v>SSA_ATOM_CAPTURE_E_BEGIN_TITO_ATOML_NOM_LFM_0800_L2_C6S_CAPTURE</v>
      </c>
      <c r="AZ8" t="str">
        <f>D10</f>
        <v>SSA_ATOM_CAPTURE_E_BEGIN_TITO_ATOML_NOM_LFM_0800_L2_C6S_CAPTURE</v>
      </c>
      <c r="BA8" t="str">
        <f>D9</f>
        <v>SSA_ATOM_REPAIR_E_BEGIN_TITO_ATOML_NOM_LFM_0800_L2_DAT_REPAIR_TO_FUSE</v>
      </c>
      <c r="BB8" t="str">
        <f>D9</f>
        <v>SSA_ATOM_REPAIR_E_BEGIN_TITO_ATOML_NOM_LFM_0800_L2_DAT_REPAIR_TO_FUSE</v>
      </c>
      <c r="BC8" t="str">
        <f>D10</f>
        <v>SSA_ATOM_CAPTURE_E_BEGIN_TITO_ATOML_NOM_LFM_0800_L2_C6S_CAPTURE</v>
      </c>
    </row>
    <row r="9" spans="1:59" x14ac:dyDescent="0.35">
      <c r="A9" s="11" t="s">
        <v>12</v>
      </c>
      <c r="B9" s="11" t="s">
        <v>84</v>
      </c>
      <c r="C9" s="11" t="str">
        <f>VLOOKUP(B9,templateLookup!A:B,2,0)</f>
        <v>iCRepairTest</v>
      </c>
      <c r="D9" t="str">
        <f t="shared" si="1"/>
        <v>SSA_ATOM_REPAIR_E_BEGIN_TITO_ATOML_NOM_LFM_0800_L2_DAT_REPAIR_TO_FUSE</v>
      </c>
      <c r="E9" t="s">
        <v>4</v>
      </c>
      <c r="F9" t="s">
        <v>28</v>
      </c>
      <c r="G9" t="s">
        <v>261</v>
      </c>
      <c r="H9" t="s">
        <v>207</v>
      </c>
      <c r="I9" t="s">
        <v>260</v>
      </c>
      <c r="J9" t="s">
        <v>914</v>
      </c>
      <c r="K9" t="s">
        <v>284</v>
      </c>
      <c r="L9" t="s">
        <v>285</v>
      </c>
      <c r="M9" t="str">
        <f t="shared" si="2"/>
        <v>0800</v>
      </c>
      <c r="N9" t="s">
        <v>929</v>
      </c>
      <c r="O9" t="s">
        <v>267</v>
      </c>
      <c r="P9" t="s">
        <v>397</v>
      </c>
      <c r="Q9" t="s">
        <v>923</v>
      </c>
      <c r="R9">
        <v>60</v>
      </c>
      <c r="S9">
        <v>60</v>
      </c>
      <c r="T9">
        <v>3</v>
      </c>
      <c r="U9">
        <v>-1</v>
      </c>
      <c r="V9" t="b">
        <v>0</v>
      </c>
      <c r="W9" t="s">
        <v>917</v>
      </c>
      <c r="AM9" t="s">
        <v>924</v>
      </c>
      <c r="AN9" t="s">
        <v>926</v>
      </c>
      <c r="AO9" t="s">
        <v>927</v>
      </c>
      <c r="AP9" t="s">
        <v>930</v>
      </c>
      <c r="AV9">
        <f t="shared" si="0"/>
        <v>6</v>
      </c>
      <c r="AW9" t="s">
        <v>274</v>
      </c>
      <c r="AX9" t="str">
        <f>D10</f>
        <v>SSA_ATOM_CAPTURE_E_BEGIN_TITO_ATOML_NOM_LFM_0800_L2_C6S_CAPTURE</v>
      </c>
      <c r="AY9" t="str">
        <f>D10</f>
        <v>SSA_ATOM_CAPTURE_E_BEGIN_TITO_ATOML_NOM_LFM_0800_L2_C6S_CAPTURE</v>
      </c>
      <c r="AZ9" t="str">
        <f>D10</f>
        <v>SSA_ATOM_CAPTURE_E_BEGIN_TITO_ATOML_NOM_LFM_0800_L2_C6S_CAPTURE</v>
      </c>
      <c r="BA9" t="str">
        <f>D10</f>
        <v>SSA_ATOM_CAPTURE_E_BEGIN_TITO_ATOML_NOM_LFM_0800_L2_C6S_CAPTURE</v>
      </c>
      <c r="BB9" t="str">
        <f>D10</f>
        <v>SSA_ATOM_CAPTURE_E_BEGIN_TITO_ATOML_NOM_LFM_0800_L2_C6S_CAPTURE</v>
      </c>
      <c r="BC9" t="str">
        <f>D10</f>
        <v>SSA_ATOM_CAPTURE_E_BEGIN_TITO_ATOML_NOM_LFM_0800_L2_C6S_CAPTURE</v>
      </c>
    </row>
    <row r="10" spans="1:59" x14ac:dyDescent="0.35">
      <c r="A10" s="11" t="s">
        <v>12</v>
      </c>
      <c r="B10" s="11" t="s">
        <v>80</v>
      </c>
      <c r="C10" s="11" t="str">
        <f>VLOOKUP(B10,templateLookup!A:B,2,0)</f>
        <v>iCCapturePacketsTest</v>
      </c>
      <c r="D10" t="str">
        <f t="shared" si="1"/>
        <v>SSA_ATOM_CAPTURE_E_BEGIN_TITO_ATOML_NOM_LFM_0800_L2_C6S_CAPTURE</v>
      </c>
      <c r="E10" t="s">
        <v>4</v>
      </c>
      <c r="F10" t="s">
        <v>28</v>
      </c>
      <c r="G10" t="s">
        <v>921</v>
      </c>
      <c r="H10" t="s">
        <v>207</v>
      </c>
      <c r="I10" t="s">
        <v>260</v>
      </c>
      <c r="J10" t="s">
        <v>914</v>
      </c>
      <c r="K10" t="s">
        <v>284</v>
      </c>
      <c r="L10" t="s">
        <v>285</v>
      </c>
      <c r="M10" t="str">
        <f t="shared" si="2"/>
        <v>0800</v>
      </c>
      <c r="N10" t="s">
        <v>931</v>
      </c>
      <c r="O10" t="s">
        <v>267</v>
      </c>
      <c r="P10" t="s">
        <v>397</v>
      </c>
      <c r="Q10" t="s">
        <v>932</v>
      </c>
      <c r="R10">
        <v>60</v>
      </c>
      <c r="S10">
        <v>60</v>
      </c>
      <c r="T10">
        <v>4</v>
      </c>
      <c r="U10">
        <v>-1</v>
      </c>
      <c r="V10" t="b">
        <v>0</v>
      </c>
      <c r="W10" t="s">
        <v>917</v>
      </c>
      <c r="AM10" t="s">
        <v>933</v>
      </c>
      <c r="AV10">
        <f t="shared" si="0"/>
        <v>3</v>
      </c>
      <c r="AW10" t="s">
        <v>218</v>
      </c>
      <c r="AX10" t="str">
        <f>D13</f>
        <v>SSA_ATOM_CAPTURE_E_BEGIN_TITO_ATOML_NOM_LFM_0800_L2_TSP_CAPTURE</v>
      </c>
      <c r="AY10" t="str">
        <f>D11</f>
        <v>SSA_ATOM_REPAIR_E_BEGIN_TITO_ATOML_NOM_LFM_0800_L2_C6S_REPAIR</v>
      </c>
      <c r="AZ10" t="str">
        <f>D13</f>
        <v>SSA_ATOM_CAPTURE_E_BEGIN_TITO_ATOML_NOM_LFM_0800_L2_TSP_CAPTURE</v>
      </c>
    </row>
    <row r="11" spans="1:59" x14ac:dyDescent="0.35">
      <c r="A11" s="11" t="s">
        <v>12</v>
      </c>
      <c r="B11" s="11" t="s">
        <v>82</v>
      </c>
      <c r="C11" s="11" t="str">
        <f>VLOOKUP(B11,templateLookup!A:B,2,0)</f>
        <v>iCRepairTest</v>
      </c>
      <c r="D11" t="str">
        <f t="shared" si="1"/>
        <v>SSA_ATOM_REPAIR_E_BEGIN_TITO_ATOML_NOM_LFM_0800_L2_C6S_REPAIR</v>
      </c>
      <c r="E11" t="s">
        <v>4</v>
      </c>
      <c r="F11" t="s">
        <v>28</v>
      </c>
      <c r="G11" t="s">
        <v>261</v>
      </c>
      <c r="H11" t="s">
        <v>207</v>
      </c>
      <c r="I11" t="s">
        <v>260</v>
      </c>
      <c r="J11" t="s">
        <v>914</v>
      </c>
      <c r="K11" t="s">
        <v>284</v>
      </c>
      <c r="L11" t="s">
        <v>285</v>
      </c>
      <c r="M11" t="str">
        <f t="shared" si="2"/>
        <v>0800</v>
      </c>
      <c r="N11" t="s">
        <v>934</v>
      </c>
      <c r="O11" t="s">
        <v>267</v>
      </c>
      <c r="P11" t="s">
        <v>397</v>
      </c>
      <c r="Q11" t="s">
        <v>932</v>
      </c>
      <c r="R11">
        <v>60</v>
      </c>
      <c r="S11">
        <v>60</v>
      </c>
      <c r="T11">
        <v>5</v>
      </c>
      <c r="U11">
        <v>-1</v>
      </c>
      <c r="V11" s="12" t="b">
        <v>0</v>
      </c>
      <c r="W11" t="s">
        <v>917</v>
      </c>
      <c r="AM11" t="s">
        <v>933</v>
      </c>
      <c r="AN11" t="s">
        <v>935</v>
      </c>
      <c r="AO11" t="s">
        <v>936</v>
      </c>
      <c r="AP11" t="s">
        <v>928</v>
      </c>
      <c r="AV11">
        <f t="shared" si="0"/>
        <v>6</v>
      </c>
      <c r="AW11" t="s">
        <v>274</v>
      </c>
      <c r="AX11" t="str">
        <f>D13</f>
        <v>SSA_ATOM_CAPTURE_E_BEGIN_TITO_ATOML_NOM_LFM_0800_L2_TSP_CAPTURE</v>
      </c>
      <c r="AY11" t="str">
        <f>D13</f>
        <v>SSA_ATOM_CAPTURE_E_BEGIN_TITO_ATOML_NOM_LFM_0800_L2_TSP_CAPTURE</v>
      </c>
      <c r="AZ11" t="str">
        <f>D13</f>
        <v>SSA_ATOM_CAPTURE_E_BEGIN_TITO_ATOML_NOM_LFM_0800_L2_TSP_CAPTURE</v>
      </c>
      <c r="BA11" t="str">
        <f>D12</f>
        <v>SSA_ATOM_REPAIR_E_BEGIN_TITO_ATOML_NOM_LFM_0800_L2_C6S_REPAIR_TO_FUSE</v>
      </c>
      <c r="BB11" t="str">
        <f>D12</f>
        <v>SSA_ATOM_REPAIR_E_BEGIN_TITO_ATOML_NOM_LFM_0800_L2_C6S_REPAIR_TO_FUSE</v>
      </c>
      <c r="BC11" t="str">
        <f>D13</f>
        <v>SSA_ATOM_CAPTURE_E_BEGIN_TITO_ATOML_NOM_LFM_0800_L2_TSP_CAPTURE</v>
      </c>
    </row>
    <row r="12" spans="1:59" x14ac:dyDescent="0.35">
      <c r="A12" s="11" t="s">
        <v>12</v>
      </c>
      <c r="B12" s="11" t="s">
        <v>84</v>
      </c>
      <c r="C12" s="11" t="str">
        <f>VLOOKUP(B12,templateLookup!A:B,2,0)</f>
        <v>iCRepairTest</v>
      </c>
      <c r="D12" t="str">
        <f t="shared" si="1"/>
        <v>SSA_ATOM_REPAIR_E_BEGIN_TITO_ATOML_NOM_LFM_0800_L2_C6S_REPAIR_TO_FUSE</v>
      </c>
      <c r="E12" t="s">
        <v>4</v>
      </c>
      <c r="F12" t="s">
        <v>28</v>
      </c>
      <c r="G12" t="s">
        <v>261</v>
      </c>
      <c r="H12" t="s">
        <v>207</v>
      </c>
      <c r="I12" t="s">
        <v>260</v>
      </c>
      <c r="J12" t="s">
        <v>914</v>
      </c>
      <c r="K12" t="s">
        <v>284</v>
      </c>
      <c r="L12" t="s">
        <v>285</v>
      </c>
      <c r="M12" t="str">
        <f t="shared" si="2"/>
        <v>0800</v>
      </c>
      <c r="N12" t="s">
        <v>937</v>
      </c>
      <c r="O12" t="s">
        <v>267</v>
      </c>
      <c r="P12" t="s">
        <v>397</v>
      </c>
      <c r="Q12" t="s">
        <v>932</v>
      </c>
      <c r="R12">
        <v>60</v>
      </c>
      <c r="S12">
        <v>60</v>
      </c>
      <c r="T12">
        <v>6</v>
      </c>
      <c r="U12">
        <v>-1</v>
      </c>
      <c r="V12" t="b">
        <v>0</v>
      </c>
      <c r="W12" t="s">
        <v>917</v>
      </c>
      <c r="AM12" t="s">
        <v>933</v>
      </c>
      <c r="AN12" t="s">
        <v>935</v>
      </c>
      <c r="AO12" t="s">
        <v>936</v>
      </c>
      <c r="AP12" t="s">
        <v>930</v>
      </c>
      <c r="AV12">
        <f t="shared" si="0"/>
        <v>6</v>
      </c>
      <c r="AW12" t="s">
        <v>274</v>
      </c>
      <c r="AX12" t="str">
        <f>D13</f>
        <v>SSA_ATOM_CAPTURE_E_BEGIN_TITO_ATOML_NOM_LFM_0800_L2_TSP_CAPTURE</v>
      </c>
      <c r="AY12" t="str">
        <f>D13</f>
        <v>SSA_ATOM_CAPTURE_E_BEGIN_TITO_ATOML_NOM_LFM_0800_L2_TSP_CAPTURE</v>
      </c>
      <c r="AZ12" t="str">
        <f>D13</f>
        <v>SSA_ATOM_CAPTURE_E_BEGIN_TITO_ATOML_NOM_LFM_0800_L2_TSP_CAPTURE</v>
      </c>
      <c r="BA12" t="str">
        <f>D13</f>
        <v>SSA_ATOM_CAPTURE_E_BEGIN_TITO_ATOML_NOM_LFM_0800_L2_TSP_CAPTURE</v>
      </c>
      <c r="BB12" t="str">
        <f>D13</f>
        <v>SSA_ATOM_CAPTURE_E_BEGIN_TITO_ATOML_NOM_LFM_0800_L2_TSP_CAPTURE</v>
      </c>
      <c r="BC12" t="str">
        <f>D13</f>
        <v>SSA_ATOM_CAPTURE_E_BEGIN_TITO_ATOML_NOM_LFM_0800_L2_TSP_CAPTURE</v>
      </c>
    </row>
    <row r="13" spans="1:59" x14ac:dyDescent="0.35">
      <c r="A13" s="11" t="s">
        <v>12</v>
      </c>
      <c r="B13" s="11" t="s">
        <v>80</v>
      </c>
      <c r="C13" s="11" t="str">
        <f>VLOOKUP(B13,templateLookup!A:B,2,0)</f>
        <v>iCCapturePacketsTest</v>
      </c>
      <c r="D13" t="str">
        <f t="shared" si="1"/>
        <v>SSA_ATOM_CAPTURE_E_BEGIN_TITO_ATOML_NOM_LFM_0800_L2_TSP_CAPTURE</v>
      </c>
      <c r="E13" t="s">
        <v>4</v>
      </c>
      <c r="F13" t="s">
        <v>28</v>
      </c>
      <c r="G13" t="s">
        <v>921</v>
      </c>
      <c r="H13" t="s">
        <v>207</v>
      </c>
      <c r="I13" t="s">
        <v>260</v>
      </c>
      <c r="J13" t="s">
        <v>914</v>
      </c>
      <c r="K13" t="s">
        <v>284</v>
      </c>
      <c r="L13" t="s">
        <v>285</v>
      </c>
      <c r="M13" t="str">
        <f t="shared" si="2"/>
        <v>0800</v>
      </c>
      <c r="N13" t="s">
        <v>938</v>
      </c>
      <c r="O13" t="s">
        <v>267</v>
      </c>
      <c r="P13" t="s">
        <v>397</v>
      </c>
      <c r="Q13" t="s">
        <v>939</v>
      </c>
      <c r="R13">
        <v>60</v>
      </c>
      <c r="S13">
        <v>60</v>
      </c>
      <c r="T13">
        <v>7</v>
      </c>
      <c r="U13">
        <v>-1</v>
      </c>
      <c r="V13" t="b">
        <v>0</v>
      </c>
      <c r="W13" t="s">
        <v>917</v>
      </c>
      <c r="AM13" t="s">
        <v>940</v>
      </c>
      <c r="AV13">
        <f t="shared" si="0"/>
        <v>3</v>
      </c>
      <c r="AW13" t="s">
        <v>218</v>
      </c>
      <c r="AX13" t="str">
        <f>D16</f>
        <v>SSA_ATOM_VFDM_E_BEGIN_X_X_X_X_0800_L2_ALL_VFDM</v>
      </c>
      <c r="AY13" t="str">
        <f>D14</f>
        <v>SSA_ATOM_REPAIR_E_BEGIN_TITO_ATOML_NOM_LFM_0800_L2_TSP_REPAIR</v>
      </c>
      <c r="AZ13" t="str">
        <f>D16</f>
        <v>SSA_ATOM_VFDM_E_BEGIN_X_X_X_X_0800_L2_ALL_VFDM</v>
      </c>
    </row>
    <row r="14" spans="1:59" x14ac:dyDescent="0.35">
      <c r="A14" s="11" t="s">
        <v>12</v>
      </c>
      <c r="B14" s="11" t="s">
        <v>82</v>
      </c>
      <c r="C14" s="11" t="str">
        <f>VLOOKUP(B14,templateLookup!A:B,2,0)</f>
        <v>iCRepairTest</v>
      </c>
      <c r="D14" t="str">
        <f t="shared" si="1"/>
        <v>SSA_ATOM_REPAIR_E_BEGIN_TITO_ATOML_NOM_LFM_0800_L2_TSP_REPAIR</v>
      </c>
      <c r="E14" t="s">
        <v>4</v>
      </c>
      <c r="F14" t="s">
        <v>28</v>
      </c>
      <c r="G14" t="s">
        <v>261</v>
      </c>
      <c r="H14" t="s">
        <v>207</v>
      </c>
      <c r="I14" t="s">
        <v>260</v>
      </c>
      <c r="J14" t="s">
        <v>914</v>
      </c>
      <c r="K14" t="s">
        <v>284</v>
      </c>
      <c r="L14" t="s">
        <v>285</v>
      </c>
      <c r="M14" t="str">
        <f t="shared" si="2"/>
        <v>0800</v>
      </c>
      <c r="N14" t="s">
        <v>941</v>
      </c>
      <c r="O14" t="s">
        <v>267</v>
      </c>
      <c r="P14" t="s">
        <v>397</v>
      </c>
      <c r="Q14" t="s">
        <v>939</v>
      </c>
      <c r="R14">
        <v>60</v>
      </c>
      <c r="S14">
        <v>60</v>
      </c>
      <c r="T14">
        <v>8</v>
      </c>
      <c r="U14">
        <v>-1</v>
      </c>
      <c r="V14" s="12" t="b">
        <v>0</v>
      </c>
      <c r="W14" t="s">
        <v>917</v>
      </c>
      <c r="AM14" t="s">
        <v>940</v>
      </c>
      <c r="AN14" t="s">
        <v>942</v>
      </c>
      <c r="AO14" t="s">
        <v>936</v>
      </c>
      <c r="AP14" t="s">
        <v>928</v>
      </c>
      <c r="AV14">
        <f t="shared" si="0"/>
        <v>6</v>
      </c>
      <c r="AW14" t="s">
        <v>274</v>
      </c>
      <c r="AX14" t="str">
        <f>D16</f>
        <v>SSA_ATOM_VFDM_E_BEGIN_X_X_X_X_0800_L2_ALL_VFDM</v>
      </c>
      <c r="AY14" t="str">
        <f>D16</f>
        <v>SSA_ATOM_VFDM_E_BEGIN_X_X_X_X_0800_L2_ALL_VFDM</v>
      </c>
      <c r="AZ14" t="str">
        <f>D16</f>
        <v>SSA_ATOM_VFDM_E_BEGIN_X_X_X_X_0800_L2_ALL_VFDM</v>
      </c>
      <c r="BA14" t="str">
        <f>D15</f>
        <v>SSA_ATOM_REPAIR_E_BEGIN_TITO_ATOML_NOM_LFM_0800_L2_TSP_REPAIR_TO_FUSE</v>
      </c>
      <c r="BB14" t="str">
        <f>D15</f>
        <v>SSA_ATOM_REPAIR_E_BEGIN_TITO_ATOML_NOM_LFM_0800_L2_TSP_REPAIR_TO_FUSE</v>
      </c>
      <c r="BC14" t="str">
        <f>D16</f>
        <v>SSA_ATOM_VFDM_E_BEGIN_X_X_X_X_0800_L2_ALL_VFDM</v>
      </c>
    </row>
    <row r="15" spans="1:59" x14ac:dyDescent="0.35">
      <c r="A15" s="11" t="s">
        <v>12</v>
      </c>
      <c r="B15" s="11" t="s">
        <v>84</v>
      </c>
      <c r="C15" s="11" t="str">
        <f>VLOOKUP(B15,templateLookup!A:B,2,0)</f>
        <v>iCRepairTest</v>
      </c>
      <c r="D15" t="str">
        <f t="shared" si="1"/>
        <v>SSA_ATOM_REPAIR_E_BEGIN_TITO_ATOML_NOM_LFM_0800_L2_TSP_REPAIR_TO_FUSE</v>
      </c>
      <c r="E15" t="s">
        <v>4</v>
      </c>
      <c r="F15" t="s">
        <v>28</v>
      </c>
      <c r="G15" t="s">
        <v>261</v>
      </c>
      <c r="H15" t="s">
        <v>207</v>
      </c>
      <c r="I15" t="s">
        <v>260</v>
      </c>
      <c r="J15" t="s">
        <v>914</v>
      </c>
      <c r="K15" t="s">
        <v>284</v>
      </c>
      <c r="L15" t="s">
        <v>285</v>
      </c>
      <c r="M15" t="str">
        <f t="shared" si="2"/>
        <v>0800</v>
      </c>
      <c r="N15" t="s">
        <v>943</v>
      </c>
      <c r="O15" t="s">
        <v>267</v>
      </c>
      <c r="P15" t="s">
        <v>397</v>
      </c>
      <c r="Q15" t="s">
        <v>939</v>
      </c>
      <c r="R15">
        <v>60</v>
      </c>
      <c r="S15">
        <v>60</v>
      </c>
      <c r="T15">
        <v>9</v>
      </c>
      <c r="U15">
        <v>-1</v>
      </c>
      <c r="V15" t="b">
        <v>0</v>
      </c>
      <c r="W15" t="s">
        <v>917</v>
      </c>
      <c r="AM15" t="s">
        <v>940</v>
      </c>
      <c r="AN15" t="s">
        <v>942</v>
      </c>
      <c r="AO15" t="s">
        <v>936</v>
      </c>
      <c r="AP15" t="s">
        <v>930</v>
      </c>
      <c r="AV15">
        <f t="shared" si="0"/>
        <v>6</v>
      </c>
      <c r="AW15" t="s">
        <v>274</v>
      </c>
      <c r="AX15" t="str">
        <f>D16</f>
        <v>SSA_ATOM_VFDM_E_BEGIN_X_X_X_X_0800_L2_ALL_VFDM</v>
      </c>
      <c r="AY15" t="str">
        <f>D16</f>
        <v>SSA_ATOM_VFDM_E_BEGIN_X_X_X_X_0800_L2_ALL_VFDM</v>
      </c>
      <c r="AZ15" t="str">
        <f>D16</f>
        <v>SSA_ATOM_VFDM_E_BEGIN_X_X_X_X_0800_L2_ALL_VFDM</v>
      </c>
      <c r="BA15" t="str">
        <f>D16</f>
        <v>SSA_ATOM_VFDM_E_BEGIN_X_X_X_X_0800_L2_ALL_VFDM</v>
      </c>
      <c r="BB15" t="str">
        <f>D16</f>
        <v>SSA_ATOM_VFDM_E_BEGIN_X_X_X_X_0800_L2_ALL_VFDM</v>
      </c>
      <c r="BC15" t="str">
        <f>D16</f>
        <v>SSA_ATOM_VFDM_E_BEGIN_X_X_X_X_0800_L2_ALL_VFDM</v>
      </c>
    </row>
    <row r="16" spans="1:59" x14ac:dyDescent="0.35">
      <c r="A16" s="11" t="s">
        <v>12</v>
      </c>
      <c r="B16" s="11" t="s">
        <v>87</v>
      </c>
      <c r="C16" s="11" t="str">
        <f>VLOOKUP(B16,templateLookup!A:B,2,0)</f>
        <v>iCVFDMTest</v>
      </c>
      <c r="D16" t="str">
        <f t="shared" si="1"/>
        <v>SSA_ATOM_VFDM_E_BEGIN_X_X_X_X_0800_L2_ALL_VFDM</v>
      </c>
      <c r="E16" t="s">
        <v>4</v>
      </c>
      <c r="F16" t="s">
        <v>28</v>
      </c>
      <c r="G16" t="s">
        <v>178</v>
      </c>
      <c r="H16" t="s">
        <v>207</v>
      </c>
      <c r="I16" t="s">
        <v>208</v>
      </c>
      <c r="J16" t="s">
        <v>208</v>
      </c>
      <c r="K16" t="s">
        <v>208</v>
      </c>
      <c r="L16" t="s">
        <v>208</v>
      </c>
      <c r="M16" t="str">
        <f t="shared" si="2"/>
        <v>0800</v>
      </c>
      <c r="N16" t="s">
        <v>944</v>
      </c>
      <c r="O16" t="s">
        <v>267</v>
      </c>
      <c r="P16" t="s">
        <v>397</v>
      </c>
      <c r="Q16" t="s">
        <v>212</v>
      </c>
      <c r="R16">
        <v>60</v>
      </c>
      <c r="S16">
        <v>60</v>
      </c>
      <c r="T16">
        <v>10</v>
      </c>
      <c r="U16">
        <v>-1</v>
      </c>
      <c r="V16" t="b">
        <v>0</v>
      </c>
      <c r="W16" t="s">
        <v>917</v>
      </c>
      <c r="AI16" t="s">
        <v>217</v>
      </c>
      <c r="AJ16" t="s">
        <v>7</v>
      </c>
      <c r="AV16">
        <f t="shared" si="0"/>
        <v>3</v>
      </c>
      <c r="AW16" t="s">
        <v>218</v>
      </c>
      <c r="AX16" t="str">
        <f>D19</f>
        <v>SSA_ATOM_HRY_E_BEGIN_TITO_ATOML_NOM_LFM_0800_L2_ALL_POST_HRY</v>
      </c>
      <c r="AY16" t="str">
        <f>D17</f>
        <v>SSA_ATOM_UF_E_BEGIN_X_X_X_X_0800_L2_ALL_VFDM_APPLY</v>
      </c>
      <c r="AZ16">
        <v>2</v>
      </c>
    </row>
    <row r="17" spans="1:55" x14ac:dyDescent="0.35">
      <c r="A17" s="11" t="s">
        <v>12</v>
      </c>
      <c r="B17" s="11" t="s">
        <v>85</v>
      </c>
      <c r="C17" s="11" t="str">
        <f>VLOOKUP(B17,templateLookup!A:B,2,0)</f>
        <v>iCUserFuncTest</v>
      </c>
      <c r="D17" t="str">
        <f t="shared" si="1"/>
        <v>SSA_ATOM_UF_E_BEGIN_X_X_X_X_0800_L2_ALL_VFDM_APPLY</v>
      </c>
      <c r="E17" t="s">
        <v>4</v>
      </c>
      <c r="F17" t="s">
        <v>28</v>
      </c>
      <c r="G17" t="s">
        <v>353</v>
      </c>
      <c r="H17" t="s">
        <v>207</v>
      </c>
      <c r="I17" t="s">
        <v>208</v>
      </c>
      <c r="J17" t="s">
        <v>208</v>
      </c>
      <c r="K17" t="s">
        <v>208</v>
      </c>
      <c r="L17" t="s">
        <v>208</v>
      </c>
      <c r="M17" t="str">
        <f t="shared" si="2"/>
        <v>0800</v>
      </c>
      <c r="N17" t="s">
        <v>945</v>
      </c>
      <c r="O17" t="s">
        <v>267</v>
      </c>
      <c r="P17" t="s">
        <v>397</v>
      </c>
      <c r="Q17" t="s">
        <v>212</v>
      </c>
      <c r="R17">
        <v>60</v>
      </c>
      <c r="S17">
        <v>60</v>
      </c>
      <c r="T17">
        <v>11</v>
      </c>
      <c r="U17">
        <v>-1</v>
      </c>
      <c r="V17" s="12" t="b">
        <v>0</v>
      </c>
      <c r="W17" t="s">
        <v>917</v>
      </c>
      <c r="AR17" t="s">
        <v>946</v>
      </c>
      <c r="AV17">
        <f t="shared" si="0"/>
        <v>3</v>
      </c>
      <c r="AW17">
        <v>1</v>
      </c>
      <c r="AX17" t="str">
        <f>D19</f>
        <v>SSA_ATOM_HRY_E_BEGIN_TITO_ATOML_NOM_LFM_0800_L2_ALL_POST_HRY</v>
      </c>
      <c r="AY17" t="str">
        <f>D18</f>
        <v>SSA_ATOM_VFDM_E_BEGIN_X_X_X_X_0800_L2_ALL_FUSE</v>
      </c>
      <c r="AZ17" t="str">
        <f>D18</f>
        <v>SSA_ATOM_VFDM_E_BEGIN_X_X_X_X_0800_L2_ALL_FUSE</v>
      </c>
    </row>
    <row r="18" spans="1:55" x14ac:dyDescent="0.35">
      <c r="A18" s="11" t="s">
        <v>12</v>
      </c>
      <c r="B18" s="11" t="s">
        <v>59</v>
      </c>
      <c r="C18" s="11" t="str">
        <f>VLOOKUP(B18,templateLookup!A:B,2,0)</f>
        <v>PrimePatConfigTestMethod</v>
      </c>
      <c r="D18" t="str">
        <f t="shared" si="1"/>
        <v>SSA_ATOM_VFDM_E_BEGIN_X_X_X_X_0800_L2_ALL_FUSE</v>
      </c>
      <c r="E18" t="s">
        <v>4</v>
      </c>
      <c r="F18" t="s">
        <v>28</v>
      </c>
      <c r="G18" t="s">
        <v>178</v>
      </c>
      <c r="H18" t="s">
        <v>207</v>
      </c>
      <c r="I18" t="s">
        <v>208</v>
      </c>
      <c r="J18" t="s">
        <v>208</v>
      </c>
      <c r="K18" t="s">
        <v>208</v>
      </c>
      <c r="L18" t="s">
        <v>208</v>
      </c>
      <c r="M18" t="str">
        <f t="shared" si="2"/>
        <v>0800</v>
      </c>
      <c r="N18" t="s">
        <v>947</v>
      </c>
      <c r="O18" t="s">
        <v>267</v>
      </c>
      <c r="P18" t="s">
        <v>397</v>
      </c>
      <c r="Q18" t="s">
        <v>212</v>
      </c>
      <c r="R18">
        <v>60</v>
      </c>
      <c r="S18">
        <v>60</v>
      </c>
      <c r="T18">
        <v>12</v>
      </c>
      <c r="U18">
        <v>-1</v>
      </c>
      <c r="V18" t="b">
        <v>0</v>
      </c>
      <c r="W18" t="s">
        <v>917</v>
      </c>
      <c r="AH18" s="13" t="s">
        <v>948</v>
      </c>
      <c r="AK18" t="s">
        <v>358</v>
      </c>
      <c r="AV18">
        <f t="shared" si="0"/>
        <v>2</v>
      </c>
      <c r="AW18">
        <v>1</v>
      </c>
      <c r="AX18" t="str">
        <f>D19</f>
        <v>SSA_ATOM_HRY_E_BEGIN_TITO_ATOML_NOM_LFM_0800_L2_ALL_POST_HRY</v>
      </c>
      <c r="AY18" t="str">
        <f>D19</f>
        <v>SSA_ATOM_HRY_E_BEGIN_TITO_ATOML_NOM_LFM_0800_L2_ALL_POST_HRY</v>
      </c>
    </row>
    <row r="19" spans="1:55" x14ac:dyDescent="0.35">
      <c r="A19" s="11" t="s">
        <v>12</v>
      </c>
      <c r="B19" s="11" t="s">
        <v>91</v>
      </c>
      <c r="C19" s="11" t="str">
        <f>VLOOKUP(B19,templateLookup!A:B,2,0)</f>
        <v>iCHSRTest</v>
      </c>
      <c r="D19" t="str">
        <f t="shared" si="1"/>
        <v>SSA_ATOM_HRY_E_BEGIN_TITO_ATOML_NOM_LFM_0800_L2_ALL_POST_HRY</v>
      </c>
      <c r="E19" t="s">
        <v>4</v>
      </c>
      <c r="F19" t="s">
        <v>28</v>
      </c>
      <c r="G19" t="s">
        <v>271</v>
      </c>
      <c r="H19" t="s">
        <v>207</v>
      </c>
      <c r="I19" t="s">
        <v>260</v>
      </c>
      <c r="J19" t="s">
        <v>914</v>
      </c>
      <c r="K19" t="s">
        <v>284</v>
      </c>
      <c r="L19" t="s">
        <v>285</v>
      </c>
      <c r="M19" t="str">
        <f t="shared" si="2"/>
        <v>0800</v>
      </c>
      <c r="N19" t="s">
        <v>949</v>
      </c>
      <c r="O19" t="s">
        <v>267</v>
      </c>
      <c r="P19" t="s">
        <v>397</v>
      </c>
      <c r="Q19" t="s">
        <v>916</v>
      </c>
      <c r="R19">
        <v>60</v>
      </c>
      <c r="S19">
        <v>60</v>
      </c>
      <c r="T19">
        <v>13</v>
      </c>
      <c r="U19">
        <v>-1</v>
      </c>
      <c r="V19" t="b">
        <v>0</v>
      </c>
      <c r="W19" t="s">
        <v>917</v>
      </c>
      <c r="AV19">
        <f t="shared" si="0"/>
        <v>4</v>
      </c>
      <c r="AW19" t="s">
        <v>920</v>
      </c>
      <c r="AX19">
        <v>2</v>
      </c>
      <c r="AY19">
        <v>1</v>
      </c>
      <c r="AZ19">
        <v>2</v>
      </c>
      <c r="BA19">
        <v>2</v>
      </c>
    </row>
    <row r="20" spans="1:55" x14ac:dyDescent="0.35">
      <c r="A20" s="9" t="s">
        <v>12</v>
      </c>
      <c r="B20" s="9" t="s">
        <v>50</v>
      </c>
      <c r="C20" s="9" t="str">
        <f>VLOOKUP(B20,templateLookup!A:B,2,0)</f>
        <v>COMPOSITE</v>
      </c>
    </row>
    <row r="21" spans="1:55" x14ac:dyDescent="0.35">
      <c r="A21" s="14" t="s">
        <v>12</v>
      </c>
      <c r="B21" s="14" t="s">
        <v>49</v>
      </c>
      <c r="C21" s="14" t="str">
        <f>VLOOKUP(B21,templateLookup!A:B,2,0)</f>
        <v>COMPOSITE</v>
      </c>
      <c r="D21" s="10" t="s">
        <v>950</v>
      </c>
      <c r="F21" t="s">
        <v>28</v>
      </c>
      <c r="AV21">
        <f>COUNTA(AX21:BG21)</f>
        <v>3</v>
      </c>
      <c r="AW21" t="s">
        <v>218</v>
      </c>
      <c r="AX21" t="str">
        <f>D39</f>
        <v>L2_LRU_NOM_REP</v>
      </c>
      <c r="AY21" t="str">
        <f>D39</f>
        <v>L2_LRU_NOM_REP</v>
      </c>
      <c r="AZ21" t="str">
        <f>D39</f>
        <v>L2_LRU_NOM_REP</v>
      </c>
    </row>
    <row r="22" spans="1:55" x14ac:dyDescent="0.35">
      <c r="A22" s="15" t="s">
        <v>12</v>
      </c>
      <c r="B22" s="15" t="s">
        <v>62</v>
      </c>
      <c r="C22" s="15" t="str">
        <f>VLOOKUP(B22,templateLookup!A:B,2,0)</f>
        <v>PrimeVminSearchTestMethod</v>
      </c>
      <c r="D22" t="str">
        <f t="shared" ref="D22:D37" si="3">E22&amp;"_"&amp;F22&amp;"_"&amp;G22&amp;"_"&amp;H22&amp;"_"&amp;A22&amp;"_"&amp;I22&amp;"_"&amp;J22&amp;"_"&amp;K22&amp;"_"&amp;L22&amp;"_"&amp;M22&amp;"_"&amp;N22</f>
        <v>SSA_ATOM_VMIN_E_BEGIN_TITO_ATOM_MIN_LFM_0800_L2_PRE_REPAIR_SEARCH</v>
      </c>
      <c r="E22" t="s">
        <v>4</v>
      </c>
      <c r="F22" t="s">
        <v>28</v>
      </c>
      <c r="G22" t="s">
        <v>951</v>
      </c>
      <c r="H22" t="s">
        <v>207</v>
      </c>
      <c r="I22" t="s">
        <v>260</v>
      </c>
      <c r="J22" t="s">
        <v>28</v>
      </c>
      <c r="K22" t="s">
        <v>952</v>
      </c>
      <c r="L22" t="s">
        <v>285</v>
      </c>
      <c r="M22" t="str">
        <f t="shared" ref="M22:M37" si="4">TEXT(800,"0000")</f>
        <v>0800</v>
      </c>
      <c r="N22" t="s">
        <v>953</v>
      </c>
      <c r="O22" t="s">
        <v>267</v>
      </c>
      <c r="P22" t="s">
        <v>397</v>
      </c>
      <c r="Q22" t="s">
        <v>954</v>
      </c>
      <c r="R22">
        <v>60</v>
      </c>
      <c r="S22">
        <v>60</v>
      </c>
      <c r="T22">
        <v>100</v>
      </c>
      <c r="U22">
        <v>1</v>
      </c>
      <c r="V22" s="12" t="b">
        <v>0</v>
      </c>
      <c r="W22" t="s">
        <v>917</v>
      </c>
      <c r="Y22" t="s">
        <v>257</v>
      </c>
      <c r="Z22" t="s">
        <v>912</v>
      </c>
      <c r="AF22">
        <v>8100</v>
      </c>
      <c r="AG22" t="s">
        <v>955</v>
      </c>
      <c r="AV22">
        <v>2</v>
      </c>
      <c r="AW22">
        <v>1</v>
      </c>
      <c r="AX22" t="str">
        <f>D23</f>
        <v>SSA_ATOM_HRY_E_BEGIN_TITO_ATOML_MIN_LFM_0800_L2_ALL_PRE_HRY</v>
      </c>
      <c r="AY22" t="str">
        <f>D23</f>
        <v>SSA_ATOM_HRY_E_BEGIN_TITO_ATOML_MIN_LFM_0800_L2_ALL_PRE_HRY</v>
      </c>
    </row>
    <row r="23" spans="1:55" x14ac:dyDescent="0.35">
      <c r="A23" s="15" t="s">
        <v>12</v>
      </c>
      <c r="B23" s="15" t="s">
        <v>89</v>
      </c>
      <c r="C23" s="15" t="str">
        <f>VLOOKUP(B23,templateLookup!A:B,2,0)</f>
        <v>iCHSRTest</v>
      </c>
      <c r="D23" t="str">
        <f t="shared" si="3"/>
        <v>SSA_ATOM_HRY_E_BEGIN_TITO_ATOML_MIN_LFM_0800_L2_ALL_PRE_HRY</v>
      </c>
      <c r="E23" t="s">
        <v>4</v>
      </c>
      <c r="F23" t="s">
        <v>28</v>
      </c>
      <c r="G23" t="s">
        <v>271</v>
      </c>
      <c r="H23" t="s">
        <v>207</v>
      </c>
      <c r="I23" t="s">
        <v>260</v>
      </c>
      <c r="J23" t="s">
        <v>914</v>
      </c>
      <c r="K23" t="s">
        <v>952</v>
      </c>
      <c r="L23" t="s">
        <v>285</v>
      </c>
      <c r="M23" t="str">
        <f t="shared" si="4"/>
        <v>0800</v>
      </c>
      <c r="N23" t="s">
        <v>915</v>
      </c>
      <c r="O23" t="s">
        <v>267</v>
      </c>
      <c r="P23" t="s">
        <v>397</v>
      </c>
      <c r="Q23" t="s">
        <v>916</v>
      </c>
      <c r="R23">
        <v>60</v>
      </c>
      <c r="S23">
        <v>60</v>
      </c>
      <c r="T23">
        <v>20</v>
      </c>
      <c r="U23">
        <v>1</v>
      </c>
      <c r="V23" t="b">
        <v>0</v>
      </c>
      <c r="W23" t="s">
        <v>917</v>
      </c>
      <c r="AV23">
        <f t="shared" ref="AV23:AV36" si="5">COUNTA(AX23:BG23)</f>
        <v>4</v>
      </c>
      <c r="AW23" t="s">
        <v>920</v>
      </c>
      <c r="AX23" t="str">
        <f>D24</f>
        <v>SSA_ATOM_CAPTURE_E_BEGIN_TITO_ATOML_MIN_LFM_0800_L2_DAT_CAPTURE</v>
      </c>
      <c r="AY23">
        <v>1</v>
      </c>
      <c r="AZ23" t="str">
        <f>D24</f>
        <v>SSA_ATOM_CAPTURE_E_BEGIN_TITO_ATOML_MIN_LFM_0800_L2_DAT_CAPTURE</v>
      </c>
      <c r="BA23" t="str">
        <f>D24</f>
        <v>SSA_ATOM_CAPTURE_E_BEGIN_TITO_ATOML_MIN_LFM_0800_L2_DAT_CAPTURE</v>
      </c>
    </row>
    <row r="24" spans="1:55" x14ac:dyDescent="0.35">
      <c r="A24" s="15" t="s">
        <v>12</v>
      </c>
      <c r="B24" s="15" t="s">
        <v>80</v>
      </c>
      <c r="C24" s="15" t="str">
        <f>VLOOKUP(B24,templateLookup!A:B,2,0)</f>
        <v>iCCapturePacketsTest</v>
      </c>
      <c r="D24" t="str">
        <f t="shared" si="3"/>
        <v>SSA_ATOM_CAPTURE_E_BEGIN_TITO_ATOML_MIN_LFM_0800_L2_DAT_CAPTURE</v>
      </c>
      <c r="E24" t="s">
        <v>4</v>
      </c>
      <c r="F24" t="s">
        <v>28</v>
      </c>
      <c r="G24" t="s">
        <v>921</v>
      </c>
      <c r="H24" t="s">
        <v>207</v>
      </c>
      <c r="I24" t="s">
        <v>260</v>
      </c>
      <c r="J24" t="s">
        <v>914</v>
      </c>
      <c r="K24" t="s">
        <v>952</v>
      </c>
      <c r="L24" t="s">
        <v>285</v>
      </c>
      <c r="M24" t="str">
        <f t="shared" si="4"/>
        <v>0800</v>
      </c>
      <c r="N24" t="s">
        <v>922</v>
      </c>
      <c r="O24" t="s">
        <v>267</v>
      </c>
      <c r="P24" t="s">
        <v>397</v>
      </c>
      <c r="Q24" t="s">
        <v>923</v>
      </c>
      <c r="R24">
        <v>60</v>
      </c>
      <c r="S24">
        <v>60</v>
      </c>
      <c r="T24">
        <v>21</v>
      </c>
      <c r="U24">
        <v>1</v>
      </c>
      <c r="V24" t="b">
        <v>0</v>
      </c>
      <c r="W24" t="s">
        <v>917</v>
      </c>
      <c r="AM24" t="s">
        <v>924</v>
      </c>
      <c r="AV24">
        <f t="shared" si="5"/>
        <v>3</v>
      </c>
      <c r="AW24" t="s">
        <v>218</v>
      </c>
      <c r="AX24" t="str">
        <f>D27</f>
        <v>SSA_ATOM_CAPTURE_E_BEGIN_TITO_ATOML_MIN_LFM_0800_L2_C6S_CAPTURE</v>
      </c>
      <c r="AY24" t="str">
        <f>D25</f>
        <v>SSA_ATOM_REPAIR_E_BEGIN_TITO_ATOML_MIN_LFM_0800_L2_DAT_REPAIR</v>
      </c>
      <c r="AZ24" t="str">
        <f>D27</f>
        <v>SSA_ATOM_CAPTURE_E_BEGIN_TITO_ATOML_MIN_LFM_0800_L2_C6S_CAPTURE</v>
      </c>
    </row>
    <row r="25" spans="1:55" x14ac:dyDescent="0.35">
      <c r="A25" s="15" t="s">
        <v>12</v>
      </c>
      <c r="B25" s="15" t="s">
        <v>82</v>
      </c>
      <c r="C25" s="15" t="str">
        <f>VLOOKUP(B25,templateLookup!A:B,2,0)</f>
        <v>iCRepairTest</v>
      </c>
      <c r="D25" t="str">
        <f t="shared" si="3"/>
        <v>SSA_ATOM_REPAIR_E_BEGIN_TITO_ATOML_MIN_LFM_0800_L2_DAT_REPAIR</v>
      </c>
      <c r="E25" t="s">
        <v>4</v>
      </c>
      <c r="F25" t="s">
        <v>28</v>
      </c>
      <c r="G25" t="s">
        <v>261</v>
      </c>
      <c r="H25" t="s">
        <v>207</v>
      </c>
      <c r="I25" t="s">
        <v>260</v>
      </c>
      <c r="J25" t="s">
        <v>914</v>
      </c>
      <c r="K25" t="s">
        <v>952</v>
      </c>
      <c r="L25" t="s">
        <v>285</v>
      </c>
      <c r="M25" t="str">
        <f t="shared" si="4"/>
        <v>0800</v>
      </c>
      <c r="N25" t="s">
        <v>925</v>
      </c>
      <c r="O25" t="s">
        <v>267</v>
      </c>
      <c r="P25" t="s">
        <v>397</v>
      </c>
      <c r="Q25" t="s">
        <v>923</v>
      </c>
      <c r="R25">
        <v>60</v>
      </c>
      <c r="S25">
        <v>60</v>
      </c>
      <c r="T25">
        <v>22</v>
      </c>
      <c r="U25">
        <v>1</v>
      </c>
      <c r="V25" t="b">
        <v>0</v>
      </c>
      <c r="W25" t="s">
        <v>917</v>
      </c>
      <c r="AM25" t="s">
        <v>924</v>
      </c>
      <c r="AN25" t="s">
        <v>926</v>
      </c>
      <c r="AO25" t="s">
        <v>936</v>
      </c>
      <c r="AP25" t="s">
        <v>928</v>
      </c>
      <c r="AV25">
        <f t="shared" si="5"/>
        <v>6</v>
      </c>
      <c r="AW25" t="s">
        <v>274</v>
      </c>
      <c r="AX25" t="str">
        <f>D27</f>
        <v>SSA_ATOM_CAPTURE_E_BEGIN_TITO_ATOML_MIN_LFM_0800_L2_C6S_CAPTURE</v>
      </c>
      <c r="AY25" t="str">
        <f>D27</f>
        <v>SSA_ATOM_CAPTURE_E_BEGIN_TITO_ATOML_MIN_LFM_0800_L2_C6S_CAPTURE</v>
      </c>
      <c r="AZ25" t="str">
        <f>D27</f>
        <v>SSA_ATOM_CAPTURE_E_BEGIN_TITO_ATOML_MIN_LFM_0800_L2_C6S_CAPTURE</v>
      </c>
      <c r="BA25" t="str">
        <f>D26</f>
        <v>SSA_ATOM_REPAIR_E_BEGIN_TITO_ATOML_MIN_LFM_0800_L2_DAT_REPAIR_TO_FUSE</v>
      </c>
      <c r="BB25" t="str">
        <f>D26</f>
        <v>SSA_ATOM_REPAIR_E_BEGIN_TITO_ATOML_MIN_LFM_0800_L2_DAT_REPAIR_TO_FUSE</v>
      </c>
      <c r="BC25" t="str">
        <f>D27</f>
        <v>SSA_ATOM_CAPTURE_E_BEGIN_TITO_ATOML_MIN_LFM_0800_L2_C6S_CAPTURE</v>
      </c>
    </row>
    <row r="26" spans="1:55" x14ac:dyDescent="0.35">
      <c r="A26" s="15" t="s">
        <v>12</v>
      </c>
      <c r="B26" s="15" t="s">
        <v>84</v>
      </c>
      <c r="C26" s="15" t="str">
        <f>VLOOKUP(B26,templateLookup!A:B,2,0)</f>
        <v>iCRepairTest</v>
      </c>
      <c r="D26" t="str">
        <f t="shared" si="3"/>
        <v>SSA_ATOM_REPAIR_E_BEGIN_TITO_ATOML_MIN_LFM_0800_L2_DAT_REPAIR_TO_FUSE</v>
      </c>
      <c r="E26" t="s">
        <v>4</v>
      </c>
      <c r="F26" t="s">
        <v>28</v>
      </c>
      <c r="G26" t="s">
        <v>261</v>
      </c>
      <c r="H26" t="s">
        <v>207</v>
      </c>
      <c r="I26" t="s">
        <v>260</v>
      </c>
      <c r="J26" t="s">
        <v>914</v>
      </c>
      <c r="K26" t="s">
        <v>952</v>
      </c>
      <c r="L26" t="s">
        <v>285</v>
      </c>
      <c r="M26" t="str">
        <f t="shared" si="4"/>
        <v>0800</v>
      </c>
      <c r="N26" t="s">
        <v>929</v>
      </c>
      <c r="O26" t="s">
        <v>267</v>
      </c>
      <c r="P26" t="s">
        <v>397</v>
      </c>
      <c r="Q26" t="s">
        <v>923</v>
      </c>
      <c r="R26">
        <v>60</v>
      </c>
      <c r="S26">
        <v>60</v>
      </c>
      <c r="T26">
        <v>23</v>
      </c>
      <c r="U26" s="16">
        <v>1</v>
      </c>
      <c r="V26" s="16" t="b">
        <v>0</v>
      </c>
      <c r="W26" t="s">
        <v>917</v>
      </c>
      <c r="AM26" t="s">
        <v>924</v>
      </c>
      <c r="AN26" t="s">
        <v>926</v>
      </c>
      <c r="AO26" t="s">
        <v>936</v>
      </c>
      <c r="AP26" t="s">
        <v>930</v>
      </c>
      <c r="AV26">
        <f t="shared" si="5"/>
        <v>6</v>
      </c>
      <c r="AW26" t="s">
        <v>274</v>
      </c>
      <c r="AX26" t="str">
        <f>D27</f>
        <v>SSA_ATOM_CAPTURE_E_BEGIN_TITO_ATOML_MIN_LFM_0800_L2_C6S_CAPTURE</v>
      </c>
      <c r="AY26" t="str">
        <f>D27</f>
        <v>SSA_ATOM_CAPTURE_E_BEGIN_TITO_ATOML_MIN_LFM_0800_L2_C6S_CAPTURE</v>
      </c>
      <c r="AZ26" t="str">
        <f>D27</f>
        <v>SSA_ATOM_CAPTURE_E_BEGIN_TITO_ATOML_MIN_LFM_0800_L2_C6S_CAPTURE</v>
      </c>
      <c r="BA26" t="str">
        <f>D27</f>
        <v>SSA_ATOM_CAPTURE_E_BEGIN_TITO_ATOML_MIN_LFM_0800_L2_C6S_CAPTURE</v>
      </c>
      <c r="BB26" t="str">
        <f>D27</f>
        <v>SSA_ATOM_CAPTURE_E_BEGIN_TITO_ATOML_MIN_LFM_0800_L2_C6S_CAPTURE</v>
      </c>
      <c r="BC26" t="str">
        <f>D27</f>
        <v>SSA_ATOM_CAPTURE_E_BEGIN_TITO_ATOML_MIN_LFM_0800_L2_C6S_CAPTURE</v>
      </c>
    </row>
    <row r="27" spans="1:55" x14ac:dyDescent="0.35">
      <c r="A27" s="15" t="s">
        <v>12</v>
      </c>
      <c r="B27" s="15" t="s">
        <v>80</v>
      </c>
      <c r="C27" s="15" t="str">
        <f>VLOOKUP(B27,templateLookup!A:B,2,0)</f>
        <v>iCCapturePacketsTest</v>
      </c>
      <c r="D27" t="str">
        <f t="shared" si="3"/>
        <v>SSA_ATOM_CAPTURE_E_BEGIN_TITO_ATOML_MIN_LFM_0800_L2_C6S_CAPTURE</v>
      </c>
      <c r="E27" t="s">
        <v>4</v>
      </c>
      <c r="F27" t="s">
        <v>28</v>
      </c>
      <c r="G27" t="s">
        <v>921</v>
      </c>
      <c r="H27" t="s">
        <v>207</v>
      </c>
      <c r="I27" t="s">
        <v>260</v>
      </c>
      <c r="J27" t="s">
        <v>914</v>
      </c>
      <c r="K27" t="s">
        <v>952</v>
      </c>
      <c r="L27" t="s">
        <v>285</v>
      </c>
      <c r="M27" t="str">
        <f t="shared" si="4"/>
        <v>0800</v>
      </c>
      <c r="N27" t="s">
        <v>931</v>
      </c>
      <c r="O27" t="s">
        <v>267</v>
      </c>
      <c r="P27" t="s">
        <v>397</v>
      </c>
      <c r="Q27" t="s">
        <v>932</v>
      </c>
      <c r="R27">
        <v>60</v>
      </c>
      <c r="S27">
        <v>60</v>
      </c>
      <c r="T27">
        <v>24</v>
      </c>
      <c r="U27">
        <v>1</v>
      </c>
      <c r="V27" t="b">
        <v>0</v>
      </c>
      <c r="W27" t="s">
        <v>917</v>
      </c>
      <c r="AM27" t="s">
        <v>933</v>
      </c>
      <c r="AV27">
        <f t="shared" si="5"/>
        <v>3</v>
      </c>
      <c r="AW27" t="s">
        <v>218</v>
      </c>
      <c r="AX27" t="str">
        <f>D30</f>
        <v>SSA_ATOM_CAPTURE_E_BEGIN_TITO_ATOML_MIN_LFM_0800_L2_TSP_CAPTURE</v>
      </c>
      <c r="AY27" t="str">
        <f>D28</f>
        <v>SSA_ATOM_REPAIR_E_BEGIN_TITO_ATOML_MIN_LFM_0800_L2_C6S_REPAIR</v>
      </c>
      <c r="AZ27" t="str">
        <f>D30</f>
        <v>SSA_ATOM_CAPTURE_E_BEGIN_TITO_ATOML_MIN_LFM_0800_L2_TSP_CAPTURE</v>
      </c>
    </row>
    <row r="28" spans="1:55" x14ac:dyDescent="0.35">
      <c r="A28" s="15" t="s">
        <v>12</v>
      </c>
      <c r="B28" s="15" t="s">
        <v>82</v>
      </c>
      <c r="C28" s="15" t="str">
        <f>VLOOKUP(B28,templateLookup!A:B,2,0)</f>
        <v>iCRepairTest</v>
      </c>
      <c r="D28" t="str">
        <f t="shared" si="3"/>
        <v>SSA_ATOM_REPAIR_E_BEGIN_TITO_ATOML_MIN_LFM_0800_L2_C6S_REPAIR</v>
      </c>
      <c r="E28" t="s">
        <v>4</v>
      </c>
      <c r="F28" t="s">
        <v>28</v>
      </c>
      <c r="G28" t="s">
        <v>261</v>
      </c>
      <c r="H28" t="s">
        <v>207</v>
      </c>
      <c r="I28" t="s">
        <v>260</v>
      </c>
      <c r="J28" t="s">
        <v>914</v>
      </c>
      <c r="K28" t="s">
        <v>952</v>
      </c>
      <c r="L28" t="s">
        <v>285</v>
      </c>
      <c r="M28" t="str">
        <f t="shared" si="4"/>
        <v>0800</v>
      </c>
      <c r="N28" t="s">
        <v>934</v>
      </c>
      <c r="O28" t="s">
        <v>267</v>
      </c>
      <c r="P28" t="s">
        <v>397</v>
      </c>
      <c r="Q28" t="s">
        <v>932</v>
      </c>
      <c r="R28">
        <v>60</v>
      </c>
      <c r="S28">
        <v>60</v>
      </c>
      <c r="T28">
        <v>25</v>
      </c>
      <c r="U28">
        <v>1</v>
      </c>
      <c r="V28" t="b">
        <v>0</v>
      </c>
      <c r="W28" t="s">
        <v>917</v>
      </c>
      <c r="AM28" t="s">
        <v>933</v>
      </c>
      <c r="AN28" t="s">
        <v>935</v>
      </c>
      <c r="AO28" t="s">
        <v>936</v>
      </c>
      <c r="AP28" t="s">
        <v>928</v>
      </c>
      <c r="AV28">
        <f t="shared" si="5"/>
        <v>6</v>
      </c>
      <c r="AW28" t="s">
        <v>274</v>
      </c>
      <c r="AX28" t="str">
        <f>D30</f>
        <v>SSA_ATOM_CAPTURE_E_BEGIN_TITO_ATOML_MIN_LFM_0800_L2_TSP_CAPTURE</v>
      </c>
      <c r="AY28" t="str">
        <f>D30</f>
        <v>SSA_ATOM_CAPTURE_E_BEGIN_TITO_ATOML_MIN_LFM_0800_L2_TSP_CAPTURE</v>
      </c>
      <c r="AZ28" t="str">
        <f>D30</f>
        <v>SSA_ATOM_CAPTURE_E_BEGIN_TITO_ATOML_MIN_LFM_0800_L2_TSP_CAPTURE</v>
      </c>
      <c r="BA28" t="str">
        <f>D29</f>
        <v>SSA_ATOM_REPAIR_E_BEGIN_TITO_ATOML_MIN_LFM_0800_L2_C6S_REPAIR_TO_FUSE</v>
      </c>
      <c r="BB28" t="str">
        <f>D29</f>
        <v>SSA_ATOM_REPAIR_E_BEGIN_TITO_ATOML_MIN_LFM_0800_L2_C6S_REPAIR_TO_FUSE</v>
      </c>
      <c r="BC28" t="str">
        <f>D30</f>
        <v>SSA_ATOM_CAPTURE_E_BEGIN_TITO_ATOML_MIN_LFM_0800_L2_TSP_CAPTURE</v>
      </c>
    </row>
    <row r="29" spans="1:55" x14ac:dyDescent="0.35">
      <c r="A29" s="15" t="s">
        <v>12</v>
      </c>
      <c r="B29" s="15" t="s">
        <v>84</v>
      </c>
      <c r="C29" s="15" t="str">
        <f>VLOOKUP(B29,templateLookup!A:B,2,0)</f>
        <v>iCRepairTest</v>
      </c>
      <c r="D29" t="str">
        <f t="shared" si="3"/>
        <v>SSA_ATOM_REPAIR_E_BEGIN_TITO_ATOML_MIN_LFM_0800_L2_C6S_REPAIR_TO_FUSE</v>
      </c>
      <c r="E29" t="s">
        <v>4</v>
      </c>
      <c r="F29" t="s">
        <v>28</v>
      </c>
      <c r="G29" t="s">
        <v>261</v>
      </c>
      <c r="H29" t="s">
        <v>207</v>
      </c>
      <c r="I29" t="s">
        <v>260</v>
      </c>
      <c r="J29" t="s">
        <v>914</v>
      </c>
      <c r="K29" t="s">
        <v>952</v>
      </c>
      <c r="L29" t="s">
        <v>285</v>
      </c>
      <c r="M29" t="str">
        <f t="shared" si="4"/>
        <v>0800</v>
      </c>
      <c r="N29" t="s">
        <v>937</v>
      </c>
      <c r="O29" t="s">
        <v>267</v>
      </c>
      <c r="P29" t="s">
        <v>397</v>
      </c>
      <c r="Q29" t="s">
        <v>932</v>
      </c>
      <c r="R29">
        <v>60</v>
      </c>
      <c r="S29">
        <v>60</v>
      </c>
      <c r="T29">
        <v>26</v>
      </c>
      <c r="U29" s="16">
        <v>1</v>
      </c>
      <c r="V29" t="b">
        <v>0</v>
      </c>
      <c r="W29" t="s">
        <v>917</v>
      </c>
      <c r="AM29" t="s">
        <v>933</v>
      </c>
      <c r="AN29" t="s">
        <v>935</v>
      </c>
      <c r="AO29" t="s">
        <v>936</v>
      </c>
      <c r="AP29" t="s">
        <v>930</v>
      </c>
      <c r="AV29">
        <f t="shared" si="5"/>
        <v>6</v>
      </c>
      <c r="AW29" t="s">
        <v>274</v>
      </c>
      <c r="AX29" t="str">
        <f>D30</f>
        <v>SSA_ATOM_CAPTURE_E_BEGIN_TITO_ATOML_MIN_LFM_0800_L2_TSP_CAPTURE</v>
      </c>
      <c r="AY29" t="str">
        <f>D30</f>
        <v>SSA_ATOM_CAPTURE_E_BEGIN_TITO_ATOML_MIN_LFM_0800_L2_TSP_CAPTURE</v>
      </c>
      <c r="AZ29" t="str">
        <f>D30</f>
        <v>SSA_ATOM_CAPTURE_E_BEGIN_TITO_ATOML_MIN_LFM_0800_L2_TSP_CAPTURE</v>
      </c>
      <c r="BA29" t="str">
        <f>D30</f>
        <v>SSA_ATOM_CAPTURE_E_BEGIN_TITO_ATOML_MIN_LFM_0800_L2_TSP_CAPTURE</v>
      </c>
      <c r="BB29" t="str">
        <f>D30</f>
        <v>SSA_ATOM_CAPTURE_E_BEGIN_TITO_ATOML_MIN_LFM_0800_L2_TSP_CAPTURE</v>
      </c>
      <c r="BC29" t="str">
        <f>D30</f>
        <v>SSA_ATOM_CAPTURE_E_BEGIN_TITO_ATOML_MIN_LFM_0800_L2_TSP_CAPTURE</v>
      </c>
    </row>
    <row r="30" spans="1:55" x14ac:dyDescent="0.35">
      <c r="A30" s="15" t="s">
        <v>12</v>
      </c>
      <c r="B30" s="15" t="s">
        <v>80</v>
      </c>
      <c r="C30" s="15" t="str">
        <f>VLOOKUP(B30,templateLookup!A:B,2,0)</f>
        <v>iCCapturePacketsTest</v>
      </c>
      <c r="D30" t="str">
        <f t="shared" si="3"/>
        <v>SSA_ATOM_CAPTURE_E_BEGIN_TITO_ATOML_MIN_LFM_0800_L2_TSP_CAPTURE</v>
      </c>
      <c r="E30" t="s">
        <v>4</v>
      </c>
      <c r="F30" t="s">
        <v>28</v>
      </c>
      <c r="G30" t="s">
        <v>921</v>
      </c>
      <c r="H30" t="s">
        <v>207</v>
      </c>
      <c r="I30" t="s">
        <v>260</v>
      </c>
      <c r="J30" t="s">
        <v>914</v>
      </c>
      <c r="K30" t="s">
        <v>952</v>
      </c>
      <c r="L30" t="s">
        <v>285</v>
      </c>
      <c r="M30" t="str">
        <f t="shared" si="4"/>
        <v>0800</v>
      </c>
      <c r="N30" t="s">
        <v>938</v>
      </c>
      <c r="O30" t="s">
        <v>267</v>
      </c>
      <c r="P30" t="s">
        <v>397</v>
      </c>
      <c r="Q30" t="s">
        <v>939</v>
      </c>
      <c r="R30">
        <v>60</v>
      </c>
      <c r="S30">
        <v>60</v>
      </c>
      <c r="T30">
        <v>27</v>
      </c>
      <c r="U30">
        <v>1</v>
      </c>
      <c r="V30" t="b">
        <v>0</v>
      </c>
      <c r="W30" t="s">
        <v>917</v>
      </c>
      <c r="AM30" t="s">
        <v>940</v>
      </c>
      <c r="AV30">
        <f t="shared" si="5"/>
        <v>3</v>
      </c>
      <c r="AW30" t="s">
        <v>218</v>
      </c>
      <c r="AX30" t="str">
        <f>D33</f>
        <v>SSA_ATOM_VFDM_E_BEGIN_X_X_X_X_0800_L2_ALL_VFDM_MIN</v>
      </c>
      <c r="AY30" t="str">
        <f>D31</f>
        <v>SSA_ATOM_REPAIR_E_BEGIN_TITO_ATOML_MIN_LFM_0800_L2_TSP_REPAIR</v>
      </c>
      <c r="AZ30" t="str">
        <f>D33</f>
        <v>SSA_ATOM_VFDM_E_BEGIN_X_X_X_X_0800_L2_ALL_VFDM_MIN</v>
      </c>
    </row>
    <row r="31" spans="1:55" x14ac:dyDescent="0.35">
      <c r="A31" s="15" t="s">
        <v>12</v>
      </c>
      <c r="B31" s="15" t="s">
        <v>82</v>
      </c>
      <c r="C31" s="15" t="str">
        <f>VLOOKUP(B31,templateLookup!A:B,2,0)</f>
        <v>iCRepairTest</v>
      </c>
      <c r="D31" t="str">
        <f t="shared" si="3"/>
        <v>SSA_ATOM_REPAIR_E_BEGIN_TITO_ATOML_MIN_LFM_0800_L2_TSP_REPAIR</v>
      </c>
      <c r="E31" t="s">
        <v>4</v>
      </c>
      <c r="F31" t="s">
        <v>28</v>
      </c>
      <c r="G31" t="s">
        <v>261</v>
      </c>
      <c r="H31" t="s">
        <v>207</v>
      </c>
      <c r="I31" t="s">
        <v>260</v>
      </c>
      <c r="J31" t="s">
        <v>914</v>
      </c>
      <c r="K31" t="s">
        <v>952</v>
      </c>
      <c r="L31" t="s">
        <v>285</v>
      </c>
      <c r="M31" t="str">
        <f t="shared" si="4"/>
        <v>0800</v>
      </c>
      <c r="N31" t="s">
        <v>941</v>
      </c>
      <c r="O31" t="s">
        <v>267</v>
      </c>
      <c r="P31" t="s">
        <v>397</v>
      </c>
      <c r="Q31" t="s">
        <v>939</v>
      </c>
      <c r="R31">
        <v>60</v>
      </c>
      <c r="S31">
        <v>60</v>
      </c>
      <c r="T31">
        <v>28</v>
      </c>
      <c r="U31">
        <v>1</v>
      </c>
      <c r="V31" t="b">
        <v>0</v>
      </c>
      <c r="W31" t="s">
        <v>917</v>
      </c>
      <c r="AM31" t="s">
        <v>940</v>
      </c>
      <c r="AN31" t="s">
        <v>942</v>
      </c>
      <c r="AO31" t="s">
        <v>936</v>
      </c>
      <c r="AP31" t="s">
        <v>928</v>
      </c>
      <c r="AV31">
        <f t="shared" si="5"/>
        <v>6</v>
      </c>
      <c r="AW31" t="s">
        <v>274</v>
      </c>
      <c r="AX31" t="str">
        <f>D33</f>
        <v>SSA_ATOM_VFDM_E_BEGIN_X_X_X_X_0800_L2_ALL_VFDM_MIN</v>
      </c>
      <c r="AY31" t="str">
        <f>D33</f>
        <v>SSA_ATOM_VFDM_E_BEGIN_X_X_X_X_0800_L2_ALL_VFDM_MIN</v>
      </c>
      <c r="AZ31" t="str">
        <f>D33</f>
        <v>SSA_ATOM_VFDM_E_BEGIN_X_X_X_X_0800_L2_ALL_VFDM_MIN</v>
      </c>
      <c r="BA31" t="str">
        <f>D32</f>
        <v>SSA_ATOM_REPAIR_E_BEGIN_TITO_ATOML_MIN_LFM_0800_L2_TSP_REPAIR_TO_FUSE</v>
      </c>
      <c r="BB31" t="str">
        <f>D32</f>
        <v>SSA_ATOM_REPAIR_E_BEGIN_TITO_ATOML_MIN_LFM_0800_L2_TSP_REPAIR_TO_FUSE</v>
      </c>
      <c r="BC31" t="str">
        <f>D33</f>
        <v>SSA_ATOM_VFDM_E_BEGIN_X_X_X_X_0800_L2_ALL_VFDM_MIN</v>
      </c>
    </row>
    <row r="32" spans="1:55" x14ac:dyDescent="0.35">
      <c r="A32" s="15" t="s">
        <v>12</v>
      </c>
      <c r="B32" s="15" t="s">
        <v>84</v>
      </c>
      <c r="C32" s="15" t="str">
        <f>VLOOKUP(B32,templateLookup!A:B,2,0)</f>
        <v>iCRepairTest</v>
      </c>
      <c r="D32" t="str">
        <f t="shared" si="3"/>
        <v>SSA_ATOM_REPAIR_E_BEGIN_TITO_ATOML_MIN_LFM_0800_L2_TSP_REPAIR_TO_FUSE</v>
      </c>
      <c r="E32" t="s">
        <v>4</v>
      </c>
      <c r="F32" t="s">
        <v>28</v>
      </c>
      <c r="G32" t="s">
        <v>261</v>
      </c>
      <c r="H32" t="s">
        <v>207</v>
      </c>
      <c r="I32" t="s">
        <v>260</v>
      </c>
      <c r="J32" t="s">
        <v>914</v>
      </c>
      <c r="K32" t="s">
        <v>952</v>
      </c>
      <c r="L32" t="s">
        <v>285</v>
      </c>
      <c r="M32" t="str">
        <f t="shared" si="4"/>
        <v>0800</v>
      </c>
      <c r="N32" t="s">
        <v>943</v>
      </c>
      <c r="O32" t="s">
        <v>267</v>
      </c>
      <c r="P32" t="s">
        <v>397</v>
      </c>
      <c r="Q32" t="s">
        <v>939</v>
      </c>
      <c r="R32">
        <v>60</v>
      </c>
      <c r="S32">
        <v>60</v>
      </c>
      <c r="T32">
        <v>29</v>
      </c>
      <c r="U32" s="16">
        <v>1</v>
      </c>
      <c r="V32" t="b">
        <v>0</v>
      </c>
      <c r="W32" t="s">
        <v>917</v>
      </c>
      <c r="AM32" t="s">
        <v>940</v>
      </c>
      <c r="AN32" t="s">
        <v>942</v>
      </c>
      <c r="AO32" t="s">
        <v>936</v>
      </c>
      <c r="AP32" t="s">
        <v>930</v>
      </c>
      <c r="AV32">
        <f t="shared" si="5"/>
        <v>6</v>
      </c>
      <c r="AW32" t="s">
        <v>274</v>
      </c>
      <c r="AX32" t="str">
        <f>D33</f>
        <v>SSA_ATOM_VFDM_E_BEGIN_X_X_X_X_0800_L2_ALL_VFDM_MIN</v>
      </c>
      <c r="AY32" t="str">
        <f>D33</f>
        <v>SSA_ATOM_VFDM_E_BEGIN_X_X_X_X_0800_L2_ALL_VFDM_MIN</v>
      </c>
      <c r="AZ32" t="str">
        <f>D33</f>
        <v>SSA_ATOM_VFDM_E_BEGIN_X_X_X_X_0800_L2_ALL_VFDM_MIN</v>
      </c>
      <c r="BA32" t="str">
        <f>D33</f>
        <v>SSA_ATOM_VFDM_E_BEGIN_X_X_X_X_0800_L2_ALL_VFDM_MIN</v>
      </c>
      <c r="BB32" t="str">
        <f>D33</f>
        <v>SSA_ATOM_VFDM_E_BEGIN_X_X_X_X_0800_L2_ALL_VFDM_MIN</v>
      </c>
      <c r="BC32" t="str">
        <f>D33</f>
        <v>SSA_ATOM_VFDM_E_BEGIN_X_X_X_X_0800_L2_ALL_VFDM_MIN</v>
      </c>
    </row>
    <row r="33" spans="1:55" x14ac:dyDescent="0.35">
      <c r="A33" s="15" t="s">
        <v>12</v>
      </c>
      <c r="B33" s="15" t="s">
        <v>87</v>
      </c>
      <c r="C33" s="15" t="str">
        <f>VLOOKUP(B33,templateLookup!A:B,2,0)</f>
        <v>iCVFDMTest</v>
      </c>
      <c r="D33" t="str">
        <f t="shared" si="3"/>
        <v>SSA_ATOM_VFDM_E_BEGIN_X_X_X_X_0800_L2_ALL_VFDM_MIN</v>
      </c>
      <c r="E33" t="s">
        <v>4</v>
      </c>
      <c r="F33" t="s">
        <v>28</v>
      </c>
      <c r="G33" t="s">
        <v>178</v>
      </c>
      <c r="H33" t="s">
        <v>207</v>
      </c>
      <c r="I33" t="s">
        <v>208</v>
      </c>
      <c r="J33" t="s">
        <v>208</v>
      </c>
      <c r="K33" t="s">
        <v>208</v>
      </c>
      <c r="L33" t="s">
        <v>208</v>
      </c>
      <c r="M33" t="str">
        <f t="shared" si="4"/>
        <v>0800</v>
      </c>
      <c r="N33" t="s">
        <v>956</v>
      </c>
      <c r="O33" t="s">
        <v>267</v>
      </c>
      <c r="P33" t="s">
        <v>397</v>
      </c>
      <c r="Q33" t="s">
        <v>212</v>
      </c>
      <c r="R33">
        <v>60</v>
      </c>
      <c r="S33">
        <v>60</v>
      </c>
      <c r="T33">
        <v>30</v>
      </c>
      <c r="U33">
        <v>1</v>
      </c>
      <c r="V33" t="b">
        <v>0</v>
      </c>
      <c r="W33" t="s">
        <v>917</v>
      </c>
      <c r="AI33" t="s">
        <v>217</v>
      </c>
      <c r="AJ33" t="s">
        <v>7</v>
      </c>
      <c r="AV33">
        <f t="shared" si="5"/>
        <v>3</v>
      </c>
      <c r="AW33" t="s">
        <v>218</v>
      </c>
      <c r="AX33" t="str">
        <f>D36</f>
        <v>SSA_ATOM_HRY_E_BEGIN_TITO_ATOML_MIN_LFM_0800_L2_ALL_POST_HRY</v>
      </c>
      <c r="AY33" t="str">
        <f>D34</f>
        <v>SSA_ATOM_UF_E_BEGIN_X_X_X_X_0800_L2_ALL_VFDM_APPLY_MIN</v>
      </c>
      <c r="AZ33">
        <v>2</v>
      </c>
    </row>
    <row r="34" spans="1:55" x14ac:dyDescent="0.35">
      <c r="A34" s="15" t="s">
        <v>12</v>
      </c>
      <c r="B34" s="15" t="s">
        <v>85</v>
      </c>
      <c r="C34" s="15" t="str">
        <f>VLOOKUP(B34,templateLookup!A:B,2,0)</f>
        <v>iCUserFuncTest</v>
      </c>
      <c r="D34" t="str">
        <f t="shared" si="3"/>
        <v>SSA_ATOM_UF_E_BEGIN_X_X_X_X_0800_L2_ALL_VFDM_APPLY_MIN</v>
      </c>
      <c r="E34" t="s">
        <v>4</v>
      </c>
      <c r="F34" t="s">
        <v>28</v>
      </c>
      <c r="G34" t="s">
        <v>353</v>
      </c>
      <c r="H34" t="s">
        <v>207</v>
      </c>
      <c r="I34" t="s">
        <v>208</v>
      </c>
      <c r="J34" t="s">
        <v>208</v>
      </c>
      <c r="K34" t="s">
        <v>208</v>
      </c>
      <c r="L34" t="s">
        <v>208</v>
      </c>
      <c r="M34" t="str">
        <f t="shared" si="4"/>
        <v>0800</v>
      </c>
      <c r="N34" t="s">
        <v>957</v>
      </c>
      <c r="O34" t="s">
        <v>267</v>
      </c>
      <c r="P34" t="s">
        <v>397</v>
      </c>
      <c r="Q34" t="s">
        <v>212</v>
      </c>
      <c r="R34">
        <v>60</v>
      </c>
      <c r="S34">
        <v>60</v>
      </c>
      <c r="T34">
        <v>31</v>
      </c>
      <c r="U34">
        <v>1</v>
      </c>
      <c r="V34" t="b">
        <v>0</v>
      </c>
      <c r="W34" t="s">
        <v>917</v>
      </c>
      <c r="AR34" t="s">
        <v>946</v>
      </c>
      <c r="AV34">
        <f t="shared" si="5"/>
        <v>3</v>
      </c>
      <c r="AW34">
        <v>1</v>
      </c>
      <c r="AX34" t="str">
        <f>D36</f>
        <v>SSA_ATOM_HRY_E_BEGIN_TITO_ATOML_MIN_LFM_0800_L2_ALL_POST_HRY</v>
      </c>
      <c r="AY34" t="str">
        <f>D35</f>
        <v>SSA_ATOM_VFDM_E_BEGIN_X_X_X_X_0800_L2_ALL_FUSE_MIN</v>
      </c>
      <c r="AZ34" t="str">
        <f>D35</f>
        <v>SSA_ATOM_VFDM_E_BEGIN_X_X_X_X_0800_L2_ALL_FUSE_MIN</v>
      </c>
    </row>
    <row r="35" spans="1:55" x14ac:dyDescent="0.35">
      <c r="A35" s="15" t="s">
        <v>12</v>
      </c>
      <c r="B35" s="15" t="s">
        <v>59</v>
      </c>
      <c r="C35" s="15" t="str">
        <f>VLOOKUP(B35,templateLookup!A:B,2,0)</f>
        <v>PrimePatConfigTestMethod</v>
      </c>
      <c r="D35" t="str">
        <f t="shared" si="3"/>
        <v>SSA_ATOM_VFDM_E_BEGIN_X_X_X_X_0800_L2_ALL_FUSE_MIN</v>
      </c>
      <c r="E35" t="s">
        <v>4</v>
      </c>
      <c r="F35" t="s">
        <v>28</v>
      </c>
      <c r="G35" t="s">
        <v>178</v>
      </c>
      <c r="H35" t="s">
        <v>207</v>
      </c>
      <c r="I35" t="s">
        <v>208</v>
      </c>
      <c r="J35" t="s">
        <v>208</v>
      </c>
      <c r="K35" t="s">
        <v>208</v>
      </c>
      <c r="L35" t="s">
        <v>208</v>
      </c>
      <c r="M35" t="str">
        <f t="shared" si="4"/>
        <v>0800</v>
      </c>
      <c r="N35" t="s">
        <v>958</v>
      </c>
      <c r="O35" t="s">
        <v>267</v>
      </c>
      <c r="P35" t="s">
        <v>397</v>
      </c>
      <c r="Q35" t="s">
        <v>212</v>
      </c>
      <c r="R35">
        <v>60</v>
      </c>
      <c r="S35">
        <v>60</v>
      </c>
      <c r="T35">
        <v>32</v>
      </c>
      <c r="U35">
        <v>1</v>
      </c>
      <c r="V35" t="b">
        <v>0</v>
      </c>
      <c r="W35" t="s">
        <v>917</v>
      </c>
      <c r="AH35" s="13" t="s">
        <v>948</v>
      </c>
      <c r="AK35" t="s">
        <v>358</v>
      </c>
      <c r="AV35">
        <f t="shared" si="5"/>
        <v>2</v>
      </c>
      <c r="AW35">
        <v>1</v>
      </c>
      <c r="AX35" t="str">
        <f>D36</f>
        <v>SSA_ATOM_HRY_E_BEGIN_TITO_ATOML_MIN_LFM_0800_L2_ALL_POST_HRY</v>
      </c>
      <c r="AY35" t="str">
        <f>D36</f>
        <v>SSA_ATOM_HRY_E_BEGIN_TITO_ATOML_MIN_LFM_0800_L2_ALL_POST_HRY</v>
      </c>
    </row>
    <row r="36" spans="1:55" x14ac:dyDescent="0.35">
      <c r="A36" s="15" t="s">
        <v>12</v>
      </c>
      <c r="B36" s="15" t="s">
        <v>91</v>
      </c>
      <c r="C36" s="15" t="str">
        <f>VLOOKUP(B36,templateLookup!A:B,2,0)</f>
        <v>iCHSRTest</v>
      </c>
      <c r="D36" t="str">
        <f t="shared" si="3"/>
        <v>SSA_ATOM_HRY_E_BEGIN_TITO_ATOML_MIN_LFM_0800_L2_ALL_POST_HRY</v>
      </c>
      <c r="E36" t="s">
        <v>4</v>
      </c>
      <c r="F36" t="s">
        <v>28</v>
      </c>
      <c r="G36" t="s">
        <v>271</v>
      </c>
      <c r="H36" t="s">
        <v>207</v>
      </c>
      <c r="I36" t="s">
        <v>260</v>
      </c>
      <c r="J36" t="s">
        <v>914</v>
      </c>
      <c r="K36" t="s">
        <v>952</v>
      </c>
      <c r="L36" t="s">
        <v>285</v>
      </c>
      <c r="M36" t="str">
        <f t="shared" si="4"/>
        <v>0800</v>
      </c>
      <c r="N36" t="s">
        <v>949</v>
      </c>
      <c r="O36" t="s">
        <v>267</v>
      </c>
      <c r="P36" t="s">
        <v>397</v>
      </c>
      <c r="Q36" t="s">
        <v>916</v>
      </c>
      <c r="R36">
        <v>60</v>
      </c>
      <c r="S36">
        <v>60</v>
      </c>
      <c r="T36">
        <v>33</v>
      </c>
      <c r="U36">
        <v>1</v>
      </c>
      <c r="V36" s="12" t="b">
        <v>0</v>
      </c>
      <c r="W36" t="s">
        <v>917</v>
      </c>
      <c r="AV36">
        <f t="shared" si="5"/>
        <v>4</v>
      </c>
      <c r="AW36" t="s">
        <v>920</v>
      </c>
      <c r="AX36">
        <v>2</v>
      </c>
      <c r="AY36">
        <v>1</v>
      </c>
      <c r="AZ36">
        <v>2</v>
      </c>
      <c r="BA36">
        <v>2</v>
      </c>
    </row>
    <row r="37" spans="1:55" x14ac:dyDescent="0.35">
      <c r="A37" s="15" t="s">
        <v>12</v>
      </c>
      <c r="B37" s="15" t="s">
        <v>62</v>
      </c>
      <c r="C37" s="15" t="str">
        <f>VLOOKUP(B37,templateLookup!A:B,2,0)</f>
        <v>PrimeVminSearchTestMethod</v>
      </c>
      <c r="D37" t="str">
        <f t="shared" si="3"/>
        <v>SSA_ATOM_VMIN_E_BEGIN_TITO_ATOM_MIN_LFM_0800_L2_POST_REPAIR_SEARCH</v>
      </c>
      <c r="E37" t="s">
        <v>4</v>
      </c>
      <c r="F37" t="s">
        <v>28</v>
      </c>
      <c r="G37" t="s">
        <v>951</v>
      </c>
      <c r="H37" t="s">
        <v>207</v>
      </c>
      <c r="I37" t="s">
        <v>260</v>
      </c>
      <c r="J37" t="s">
        <v>28</v>
      </c>
      <c r="K37" t="s">
        <v>952</v>
      </c>
      <c r="L37" t="s">
        <v>285</v>
      </c>
      <c r="M37" t="str">
        <f t="shared" si="4"/>
        <v>0800</v>
      </c>
      <c r="N37" t="s">
        <v>959</v>
      </c>
      <c r="O37" t="s">
        <v>267</v>
      </c>
      <c r="P37" t="s">
        <v>397</v>
      </c>
      <c r="Q37" t="s">
        <v>954</v>
      </c>
      <c r="R37">
        <v>60</v>
      </c>
      <c r="S37">
        <v>60</v>
      </c>
      <c r="T37">
        <v>101</v>
      </c>
      <c r="U37">
        <v>1</v>
      </c>
      <c r="V37" t="b">
        <v>0</v>
      </c>
      <c r="W37" t="s">
        <v>917</v>
      </c>
      <c r="Y37" t="s">
        <v>960</v>
      </c>
      <c r="AF37">
        <v>8101</v>
      </c>
      <c r="AG37" t="s">
        <v>955</v>
      </c>
      <c r="AV37">
        <v>2</v>
      </c>
      <c r="AW37">
        <v>1</v>
      </c>
      <c r="AX37">
        <v>1</v>
      </c>
      <c r="AY37">
        <v>1</v>
      </c>
    </row>
    <row r="38" spans="1:55" x14ac:dyDescent="0.35">
      <c r="A38" s="14" t="s">
        <v>12</v>
      </c>
      <c r="B38" s="14" t="s">
        <v>50</v>
      </c>
      <c r="C38" s="14" t="str">
        <f>VLOOKUP(B38,templateLookup!A:B,2,0)</f>
        <v>COMPOSITE</v>
      </c>
    </row>
    <row r="39" spans="1:55" x14ac:dyDescent="0.35">
      <c r="A39" s="17" t="s">
        <v>12</v>
      </c>
      <c r="B39" s="17" t="s">
        <v>49</v>
      </c>
      <c r="C39" s="17" t="str">
        <f>VLOOKUP(B39,templateLookup!A:B,2,0)</f>
        <v>COMPOSITE</v>
      </c>
      <c r="D39" s="10" t="s">
        <v>961</v>
      </c>
      <c r="F39" t="s">
        <v>28</v>
      </c>
      <c r="AV39">
        <f t="shared" ref="AV39:AV47" si="6">COUNTA(AX39:BG39)</f>
        <v>3</v>
      </c>
      <c r="AW39" t="s">
        <v>218</v>
      </c>
      <c r="AX39" t="str">
        <f>D59</f>
        <v>RF_NOM_REP</v>
      </c>
      <c r="AY39" t="str">
        <f>D49</f>
        <v>L2_LRU_MIN_REP</v>
      </c>
      <c r="AZ39" t="str">
        <f>D59</f>
        <v>RF_NOM_REP</v>
      </c>
    </row>
    <row r="40" spans="1:55" x14ac:dyDescent="0.35">
      <c r="A40" s="3" t="s">
        <v>12</v>
      </c>
      <c r="B40" s="3" t="s">
        <v>89</v>
      </c>
      <c r="C40" s="3" t="str">
        <f>VLOOKUP(B40,templateLookup!A:B,2,0)</f>
        <v>iCHSRTest</v>
      </c>
      <c r="D40" t="str">
        <f t="shared" ref="D40:D47" si="7">E40&amp;"_"&amp;F40&amp;"_"&amp;G40&amp;"_"&amp;H40&amp;"_"&amp;A40&amp;"_"&amp;I40&amp;"_"&amp;J40&amp;"_"&amp;K40&amp;"_"&amp;L40&amp;"_"&amp;M40&amp;"_"&amp;N40</f>
        <v>LSA_ATOM_HRY_E_BEGIN_TITO_ATOM_NOM_LFM_0800_L2_LRU_PRE_HRY</v>
      </c>
      <c r="E40" t="s">
        <v>5</v>
      </c>
      <c r="F40" t="s">
        <v>28</v>
      </c>
      <c r="G40" t="s">
        <v>271</v>
      </c>
      <c r="H40" t="s">
        <v>207</v>
      </c>
      <c r="I40" t="s">
        <v>260</v>
      </c>
      <c r="J40" t="s">
        <v>28</v>
      </c>
      <c r="K40" t="s">
        <v>284</v>
      </c>
      <c r="L40" t="s">
        <v>285</v>
      </c>
      <c r="M40" t="str">
        <f t="shared" ref="M40:M47" si="8">TEXT(800,"0000")</f>
        <v>0800</v>
      </c>
      <c r="N40" t="s">
        <v>962</v>
      </c>
      <c r="O40" t="s">
        <v>267</v>
      </c>
      <c r="P40" t="s">
        <v>397</v>
      </c>
      <c r="Q40" t="s">
        <v>349</v>
      </c>
      <c r="R40">
        <v>20</v>
      </c>
      <c r="S40">
        <v>60</v>
      </c>
      <c r="T40">
        <v>0</v>
      </c>
      <c r="U40">
        <v>-1</v>
      </c>
      <c r="V40" t="b">
        <v>0</v>
      </c>
      <c r="W40" t="s">
        <v>963</v>
      </c>
      <c r="AV40">
        <f t="shared" si="6"/>
        <v>4</v>
      </c>
      <c r="AW40" t="s">
        <v>920</v>
      </c>
      <c r="AX40" t="str">
        <f>D41</f>
        <v>LSA_ATOM_CAPTURE_E_BEGIN_TITO_ATOM_NOM_LFM_0800_L2_LRU_CAPTURE</v>
      </c>
      <c r="AY40">
        <v>1</v>
      </c>
      <c r="AZ40" t="str">
        <f>D41</f>
        <v>LSA_ATOM_CAPTURE_E_BEGIN_TITO_ATOM_NOM_LFM_0800_L2_LRU_CAPTURE</v>
      </c>
      <c r="BA40" t="str">
        <f>D41</f>
        <v>LSA_ATOM_CAPTURE_E_BEGIN_TITO_ATOM_NOM_LFM_0800_L2_LRU_CAPTURE</v>
      </c>
    </row>
    <row r="41" spans="1:55" x14ac:dyDescent="0.35">
      <c r="A41" s="3" t="s">
        <v>12</v>
      </c>
      <c r="B41" s="3" t="s">
        <v>80</v>
      </c>
      <c r="C41" s="3" t="str">
        <f>VLOOKUP(B41,templateLookup!A:B,2,0)</f>
        <v>iCCapturePacketsTest</v>
      </c>
      <c r="D41" t="str">
        <f t="shared" si="7"/>
        <v>LSA_ATOM_CAPTURE_E_BEGIN_TITO_ATOM_NOM_LFM_0800_L2_LRU_CAPTURE</v>
      </c>
      <c r="E41" t="s">
        <v>5</v>
      </c>
      <c r="F41" t="s">
        <v>28</v>
      </c>
      <c r="G41" t="s">
        <v>921</v>
      </c>
      <c r="H41" t="s">
        <v>207</v>
      </c>
      <c r="I41" t="s">
        <v>260</v>
      </c>
      <c r="J41" t="s">
        <v>28</v>
      </c>
      <c r="K41" t="s">
        <v>284</v>
      </c>
      <c r="L41" t="s">
        <v>285</v>
      </c>
      <c r="M41" t="str">
        <f t="shared" si="8"/>
        <v>0800</v>
      </c>
      <c r="N41" t="s">
        <v>964</v>
      </c>
      <c r="O41" t="s">
        <v>267</v>
      </c>
      <c r="P41" t="s">
        <v>397</v>
      </c>
      <c r="Q41" t="s">
        <v>965</v>
      </c>
      <c r="R41">
        <v>20</v>
      </c>
      <c r="S41">
        <v>60</v>
      </c>
      <c r="T41">
        <v>1</v>
      </c>
      <c r="U41">
        <v>-1</v>
      </c>
      <c r="V41" t="b">
        <v>0</v>
      </c>
      <c r="W41" t="s">
        <v>963</v>
      </c>
      <c r="AM41" t="s">
        <v>966</v>
      </c>
      <c r="AV41">
        <f t="shared" si="6"/>
        <v>3</v>
      </c>
      <c r="AW41" t="s">
        <v>218</v>
      </c>
      <c r="AX41" t="str">
        <f>D47</f>
        <v>LSA_ATOM_HRY_E_BEGIN_TITO_ATOM_NOM_LFM_0800_L2_LRU_POST_HRY</v>
      </c>
      <c r="AY41" t="str">
        <f>D42</f>
        <v>LSA_ATOM_REPAIR_E_BEGIN_TITO_ATOM_NOM_LFM_0800_L2_LRU_REPAIR</v>
      </c>
      <c r="AZ41" t="str">
        <f>D47</f>
        <v>LSA_ATOM_HRY_E_BEGIN_TITO_ATOM_NOM_LFM_0800_L2_LRU_POST_HRY</v>
      </c>
    </row>
    <row r="42" spans="1:55" x14ac:dyDescent="0.35">
      <c r="A42" s="3" t="s">
        <v>12</v>
      </c>
      <c r="B42" s="3" t="s">
        <v>82</v>
      </c>
      <c r="C42" s="3" t="str">
        <f>VLOOKUP(B42,templateLookup!A:B,2,0)</f>
        <v>iCRepairTest</v>
      </c>
      <c r="D42" t="str">
        <f t="shared" si="7"/>
        <v>LSA_ATOM_REPAIR_E_BEGIN_TITO_ATOM_NOM_LFM_0800_L2_LRU_REPAIR</v>
      </c>
      <c r="E42" t="s">
        <v>5</v>
      </c>
      <c r="F42" t="s">
        <v>28</v>
      </c>
      <c r="G42" t="s">
        <v>261</v>
      </c>
      <c r="H42" t="s">
        <v>207</v>
      </c>
      <c r="I42" t="s">
        <v>260</v>
      </c>
      <c r="J42" t="s">
        <v>28</v>
      </c>
      <c r="K42" t="s">
        <v>284</v>
      </c>
      <c r="L42" t="s">
        <v>285</v>
      </c>
      <c r="M42" t="str">
        <f t="shared" si="8"/>
        <v>0800</v>
      </c>
      <c r="N42" t="s">
        <v>967</v>
      </c>
      <c r="O42" t="s">
        <v>267</v>
      </c>
      <c r="P42" t="s">
        <v>397</v>
      </c>
      <c r="Q42" t="s">
        <v>965</v>
      </c>
      <c r="R42">
        <v>20</v>
      </c>
      <c r="S42">
        <v>60</v>
      </c>
      <c r="T42">
        <v>2</v>
      </c>
      <c r="U42">
        <v>-1</v>
      </c>
      <c r="V42" t="b">
        <v>0</v>
      </c>
      <c r="W42" t="s">
        <v>963</v>
      </c>
      <c r="AM42" t="s">
        <v>966</v>
      </c>
      <c r="AN42" t="s">
        <v>968</v>
      </c>
      <c r="AO42" t="s">
        <v>936</v>
      </c>
      <c r="AP42" t="s">
        <v>928</v>
      </c>
      <c r="AV42">
        <f t="shared" si="6"/>
        <v>6</v>
      </c>
      <c r="AW42" t="s">
        <v>274</v>
      </c>
      <c r="AX42" t="str">
        <f>D44</f>
        <v>LSA_ATOM_VFDM_E_BEGIN_X_X_X_X_0800_L2_LRU_VFDM</v>
      </c>
      <c r="AY42" t="str">
        <f>D44</f>
        <v>LSA_ATOM_VFDM_E_BEGIN_X_X_X_X_0800_L2_LRU_VFDM</v>
      </c>
      <c r="AZ42" t="str">
        <f>D44</f>
        <v>LSA_ATOM_VFDM_E_BEGIN_X_X_X_X_0800_L2_LRU_VFDM</v>
      </c>
      <c r="BA42" t="str">
        <f>D43</f>
        <v>LSA_ATOM_REPAIR_E_BEGIN_TITO_ATOM_NOM_LFM_0800_L2_LRU_REPAIR_TO_FUSE</v>
      </c>
      <c r="BB42" t="str">
        <f>D43</f>
        <v>LSA_ATOM_REPAIR_E_BEGIN_TITO_ATOM_NOM_LFM_0800_L2_LRU_REPAIR_TO_FUSE</v>
      </c>
      <c r="BC42" t="str">
        <f>D44</f>
        <v>LSA_ATOM_VFDM_E_BEGIN_X_X_X_X_0800_L2_LRU_VFDM</v>
      </c>
    </row>
    <row r="43" spans="1:55" x14ac:dyDescent="0.35">
      <c r="A43" s="3" t="s">
        <v>12</v>
      </c>
      <c r="B43" s="3" t="s">
        <v>84</v>
      </c>
      <c r="C43" s="3" t="str">
        <f>VLOOKUP(B43,templateLookup!A:B,2,0)</f>
        <v>iCRepairTest</v>
      </c>
      <c r="D43" t="str">
        <f t="shared" si="7"/>
        <v>LSA_ATOM_REPAIR_E_BEGIN_TITO_ATOM_NOM_LFM_0800_L2_LRU_REPAIR_TO_FUSE</v>
      </c>
      <c r="E43" t="s">
        <v>5</v>
      </c>
      <c r="F43" t="s">
        <v>28</v>
      </c>
      <c r="G43" t="s">
        <v>261</v>
      </c>
      <c r="H43" t="s">
        <v>207</v>
      </c>
      <c r="I43" t="s">
        <v>260</v>
      </c>
      <c r="J43" t="s">
        <v>28</v>
      </c>
      <c r="K43" t="s">
        <v>284</v>
      </c>
      <c r="L43" t="s">
        <v>285</v>
      </c>
      <c r="M43" t="str">
        <f t="shared" si="8"/>
        <v>0800</v>
      </c>
      <c r="N43" t="s">
        <v>969</v>
      </c>
      <c r="O43" t="s">
        <v>267</v>
      </c>
      <c r="P43" t="s">
        <v>397</v>
      </c>
      <c r="Q43" t="s">
        <v>965</v>
      </c>
      <c r="R43">
        <v>20</v>
      </c>
      <c r="S43">
        <v>60</v>
      </c>
      <c r="T43">
        <v>3</v>
      </c>
      <c r="U43">
        <v>-1</v>
      </c>
      <c r="V43" s="12" t="b">
        <v>0</v>
      </c>
      <c r="W43" t="s">
        <v>963</v>
      </c>
      <c r="AM43" t="s">
        <v>966</v>
      </c>
      <c r="AN43" t="s">
        <v>968</v>
      </c>
      <c r="AO43" t="s">
        <v>936</v>
      </c>
      <c r="AP43" t="s">
        <v>930</v>
      </c>
      <c r="AV43">
        <f t="shared" si="6"/>
        <v>6</v>
      </c>
      <c r="AW43" t="s">
        <v>274</v>
      </c>
      <c r="AX43" t="str">
        <f>D44</f>
        <v>LSA_ATOM_VFDM_E_BEGIN_X_X_X_X_0800_L2_LRU_VFDM</v>
      </c>
      <c r="AY43" t="str">
        <f>D44</f>
        <v>LSA_ATOM_VFDM_E_BEGIN_X_X_X_X_0800_L2_LRU_VFDM</v>
      </c>
      <c r="AZ43" t="str">
        <f>D44</f>
        <v>LSA_ATOM_VFDM_E_BEGIN_X_X_X_X_0800_L2_LRU_VFDM</v>
      </c>
      <c r="BA43" t="str">
        <f>D44</f>
        <v>LSA_ATOM_VFDM_E_BEGIN_X_X_X_X_0800_L2_LRU_VFDM</v>
      </c>
      <c r="BB43" t="str">
        <f>D44</f>
        <v>LSA_ATOM_VFDM_E_BEGIN_X_X_X_X_0800_L2_LRU_VFDM</v>
      </c>
      <c r="BC43" t="str">
        <f>D44</f>
        <v>LSA_ATOM_VFDM_E_BEGIN_X_X_X_X_0800_L2_LRU_VFDM</v>
      </c>
    </row>
    <row r="44" spans="1:55" x14ac:dyDescent="0.35">
      <c r="A44" s="3" t="s">
        <v>12</v>
      </c>
      <c r="B44" s="3" t="s">
        <v>87</v>
      </c>
      <c r="C44" s="3" t="str">
        <f>VLOOKUP(B44,templateLookup!A:B,2,0)</f>
        <v>iCVFDMTest</v>
      </c>
      <c r="D44" t="str">
        <f t="shared" si="7"/>
        <v>LSA_ATOM_VFDM_E_BEGIN_X_X_X_X_0800_L2_LRU_VFDM</v>
      </c>
      <c r="E44" t="s">
        <v>5</v>
      </c>
      <c r="F44" t="s">
        <v>28</v>
      </c>
      <c r="G44" t="s">
        <v>178</v>
      </c>
      <c r="H44" t="s">
        <v>207</v>
      </c>
      <c r="I44" t="s">
        <v>208</v>
      </c>
      <c r="J44" t="s">
        <v>208</v>
      </c>
      <c r="K44" t="s">
        <v>208</v>
      </c>
      <c r="L44" t="s">
        <v>208</v>
      </c>
      <c r="M44" t="str">
        <f t="shared" si="8"/>
        <v>0800</v>
      </c>
      <c r="N44" t="s">
        <v>970</v>
      </c>
      <c r="O44" t="s">
        <v>267</v>
      </c>
      <c r="P44" t="s">
        <v>397</v>
      </c>
      <c r="Q44" t="s">
        <v>212</v>
      </c>
      <c r="R44">
        <v>20</v>
      </c>
      <c r="S44">
        <v>60</v>
      </c>
      <c r="T44">
        <v>4</v>
      </c>
      <c r="U44">
        <v>-1</v>
      </c>
      <c r="V44" t="b">
        <v>0</v>
      </c>
      <c r="W44" t="s">
        <v>963</v>
      </c>
      <c r="AI44" t="s">
        <v>217</v>
      </c>
      <c r="AJ44" t="s">
        <v>7</v>
      </c>
      <c r="AV44">
        <f t="shared" si="6"/>
        <v>3</v>
      </c>
      <c r="AW44" t="s">
        <v>218</v>
      </c>
      <c r="AX44" t="str">
        <f>D47</f>
        <v>LSA_ATOM_HRY_E_BEGIN_TITO_ATOM_NOM_LFM_0800_L2_LRU_POST_HRY</v>
      </c>
      <c r="AY44" t="str">
        <f>D45</f>
        <v>LSA_ATOM_UF_E_BEGIN_X_X_X_X_0800_L2_LRU_VFDM_APPLY</v>
      </c>
      <c r="AZ44">
        <v>2</v>
      </c>
    </row>
    <row r="45" spans="1:55" x14ac:dyDescent="0.35">
      <c r="A45" s="3" t="s">
        <v>12</v>
      </c>
      <c r="B45" s="3" t="s">
        <v>85</v>
      </c>
      <c r="C45" s="3" t="str">
        <f>VLOOKUP(B45,templateLookup!A:B,2,0)</f>
        <v>iCUserFuncTest</v>
      </c>
      <c r="D45" t="str">
        <f t="shared" si="7"/>
        <v>LSA_ATOM_UF_E_BEGIN_X_X_X_X_0800_L2_LRU_VFDM_APPLY</v>
      </c>
      <c r="E45" t="s">
        <v>5</v>
      </c>
      <c r="F45" t="s">
        <v>28</v>
      </c>
      <c r="G45" t="s">
        <v>353</v>
      </c>
      <c r="H45" t="s">
        <v>207</v>
      </c>
      <c r="I45" t="s">
        <v>208</v>
      </c>
      <c r="J45" t="s">
        <v>208</v>
      </c>
      <c r="K45" t="s">
        <v>208</v>
      </c>
      <c r="L45" t="s">
        <v>208</v>
      </c>
      <c r="M45" t="str">
        <f t="shared" si="8"/>
        <v>0800</v>
      </c>
      <c r="N45" t="s">
        <v>971</v>
      </c>
      <c r="O45" t="s">
        <v>267</v>
      </c>
      <c r="P45" t="s">
        <v>397</v>
      </c>
      <c r="Q45" t="s">
        <v>212</v>
      </c>
      <c r="R45">
        <v>20</v>
      </c>
      <c r="S45">
        <v>60</v>
      </c>
      <c r="T45">
        <v>5</v>
      </c>
      <c r="U45">
        <v>-1</v>
      </c>
      <c r="V45" t="b">
        <v>0</v>
      </c>
      <c r="W45" t="s">
        <v>963</v>
      </c>
      <c r="AR45" t="s">
        <v>946</v>
      </c>
      <c r="AV45">
        <f t="shared" si="6"/>
        <v>3</v>
      </c>
      <c r="AW45">
        <v>1</v>
      </c>
      <c r="AX45" t="str">
        <f>D47</f>
        <v>LSA_ATOM_HRY_E_BEGIN_TITO_ATOM_NOM_LFM_0800_L2_LRU_POST_HRY</v>
      </c>
      <c r="AY45" t="str">
        <f>D46</f>
        <v>LSA_ATOM_VFDM_E_BEGIN_X_X_X_X_0800_L2_LRU_FUSE</v>
      </c>
      <c r="AZ45" t="str">
        <f>D46</f>
        <v>LSA_ATOM_VFDM_E_BEGIN_X_X_X_X_0800_L2_LRU_FUSE</v>
      </c>
    </row>
    <row r="46" spans="1:55" x14ac:dyDescent="0.35">
      <c r="A46" s="3" t="s">
        <v>12</v>
      </c>
      <c r="B46" s="3" t="s">
        <v>59</v>
      </c>
      <c r="C46" s="3" t="str">
        <f>VLOOKUP(B46,templateLookup!A:B,2,0)</f>
        <v>PrimePatConfigTestMethod</v>
      </c>
      <c r="D46" t="str">
        <f t="shared" si="7"/>
        <v>LSA_ATOM_VFDM_E_BEGIN_X_X_X_X_0800_L2_LRU_FUSE</v>
      </c>
      <c r="E46" t="s">
        <v>5</v>
      </c>
      <c r="F46" t="s">
        <v>28</v>
      </c>
      <c r="G46" t="s">
        <v>178</v>
      </c>
      <c r="H46" t="s">
        <v>207</v>
      </c>
      <c r="I46" t="s">
        <v>208</v>
      </c>
      <c r="J46" t="s">
        <v>208</v>
      </c>
      <c r="K46" t="s">
        <v>208</v>
      </c>
      <c r="L46" t="s">
        <v>208</v>
      </c>
      <c r="M46" t="str">
        <f t="shared" si="8"/>
        <v>0800</v>
      </c>
      <c r="N46" t="s">
        <v>972</v>
      </c>
      <c r="O46" t="s">
        <v>267</v>
      </c>
      <c r="P46" t="s">
        <v>397</v>
      </c>
      <c r="Q46" t="s">
        <v>212</v>
      </c>
      <c r="R46">
        <v>20</v>
      </c>
      <c r="S46">
        <v>60</v>
      </c>
      <c r="T46">
        <v>6</v>
      </c>
      <c r="U46">
        <v>-1</v>
      </c>
      <c r="V46" t="b">
        <v>0</v>
      </c>
      <c r="W46" t="s">
        <v>963</v>
      </c>
      <c r="AH46" s="13" t="s">
        <v>948</v>
      </c>
      <c r="AK46" t="s">
        <v>358</v>
      </c>
      <c r="AV46">
        <f t="shared" si="6"/>
        <v>2</v>
      </c>
      <c r="AW46">
        <v>1</v>
      </c>
      <c r="AX46" t="str">
        <f>D47</f>
        <v>LSA_ATOM_HRY_E_BEGIN_TITO_ATOM_NOM_LFM_0800_L2_LRU_POST_HRY</v>
      </c>
      <c r="AY46" t="str">
        <f>D47</f>
        <v>LSA_ATOM_HRY_E_BEGIN_TITO_ATOM_NOM_LFM_0800_L2_LRU_POST_HRY</v>
      </c>
    </row>
    <row r="47" spans="1:55" x14ac:dyDescent="0.35">
      <c r="A47" s="3" t="s">
        <v>12</v>
      </c>
      <c r="B47" s="3" t="s">
        <v>91</v>
      </c>
      <c r="C47" s="3" t="str">
        <f>VLOOKUP(B47,templateLookup!A:B,2,0)</f>
        <v>iCHSRTest</v>
      </c>
      <c r="D47" t="str">
        <f t="shared" si="7"/>
        <v>LSA_ATOM_HRY_E_BEGIN_TITO_ATOM_NOM_LFM_0800_L2_LRU_POST_HRY</v>
      </c>
      <c r="E47" t="s">
        <v>5</v>
      </c>
      <c r="F47" t="s">
        <v>28</v>
      </c>
      <c r="G47" t="s">
        <v>271</v>
      </c>
      <c r="H47" t="s">
        <v>207</v>
      </c>
      <c r="I47" t="s">
        <v>260</v>
      </c>
      <c r="J47" t="s">
        <v>28</v>
      </c>
      <c r="K47" t="s">
        <v>284</v>
      </c>
      <c r="L47" t="s">
        <v>285</v>
      </c>
      <c r="M47" t="str">
        <f t="shared" si="8"/>
        <v>0800</v>
      </c>
      <c r="N47" t="s">
        <v>973</v>
      </c>
      <c r="O47" t="s">
        <v>267</v>
      </c>
      <c r="P47" t="s">
        <v>397</v>
      </c>
      <c r="Q47" t="s">
        <v>349</v>
      </c>
      <c r="R47">
        <v>20</v>
      </c>
      <c r="S47">
        <v>60</v>
      </c>
      <c r="T47">
        <v>7</v>
      </c>
      <c r="U47">
        <v>-1</v>
      </c>
      <c r="V47" t="b">
        <v>0</v>
      </c>
      <c r="W47" t="s">
        <v>963</v>
      </c>
      <c r="AV47">
        <f t="shared" si="6"/>
        <v>4</v>
      </c>
      <c r="AW47" t="s">
        <v>920</v>
      </c>
      <c r="AX47">
        <v>2</v>
      </c>
      <c r="AY47">
        <v>1</v>
      </c>
      <c r="AZ47">
        <v>2</v>
      </c>
      <c r="BA47">
        <v>2</v>
      </c>
    </row>
    <row r="48" spans="1:55" x14ac:dyDescent="0.35">
      <c r="A48" s="17" t="s">
        <v>12</v>
      </c>
      <c r="B48" s="17" t="s">
        <v>50</v>
      </c>
      <c r="C48" s="17" t="str">
        <f>VLOOKUP(B48,templateLookup!A:B,2,0)</f>
        <v>COMPOSITE</v>
      </c>
    </row>
    <row r="49" spans="1:55" x14ac:dyDescent="0.35">
      <c r="A49" s="18" t="s">
        <v>12</v>
      </c>
      <c r="B49" s="18" t="s">
        <v>49</v>
      </c>
      <c r="C49" s="18" t="str">
        <f>VLOOKUP(B49,templateLookup!A:B,2,0)</f>
        <v>COMPOSITE</v>
      </c>
      <c r="D49" s="10" t="s">
        <v>974</v>
      </c>
      <c r="F49" t="s">
        <v>28</v>
      </c>
      <c r="AV49">
        <f t="shared" ref="AV49:AV57" si="9">COUNTA(AX49:BG49)</f>
        <v>3</v>
      </c>
      <c r="AW49" t="s">
        <v>218</v>
      </c>
      <c r="AX49" t="str">
        <f>D59</f>
        <v>RF_NOM_REP</v>
      </c>
      <c r="AY49" t="str">
        <f>D59</f>
        <v>RF_NOM_REP</v>
      </c>
      <c r="AZ49" t="str">
        <f>D59</f>
        <v>RF_NOM_REP</v>
      </c>
    </row>
    <row r="50" spans="1:55" x14ac:dyDescent="0.35">
      <c r="A50" s="19" t="s">
        <v>12</v>
      </c>
      <c r="B50" s="19" t="s">
        <v>89</v>
      </c>
      <c r="C50" s="19" t="str">
        <f>VLOOKUP(B50,templateLookup!A:B,2,0)</f>
        <v>iCHSRTest</v>
      </c>
      <c r="D50" t="str">
        <f t="shared" ref="D50:D57" si="10">E50&amp;"_"&amp;F50&amp;"_"&amp;G50&amp;"_"&amp;H50&amp;"_"&amp;A50&amp;"_"&amp;I50&amp;"_"&amp;J50&amp;"_"&amp;K50&amp;"_"&amp;L50&amp;"_"&amp;M50&amp;"_"&amp;N50</f>
        <v>LSA_ATOM_HRY_E_BEGIN_TITO_ATOM_MIN_LFM_0800_L2_LRU_PRE_HRY</v>
      </c>
      <c r="E50" t="s">
        <v>5</v>
      </c>
      <c r="F50" t="s">
        <v>28</v>
      </c>
      <c r="G50" t="s">
        <v>271</v>
      </c>
      <c r="H50" t="s">
        <v>207</v>
      </c>
      <c r="I50" t="s">
        <v>260</v>
      </c>
      <c r="J50" t="s">
        <v>28</v>
      </c>
      <c r="K50" t="s">
        <v>952</v>
      </c>
      <c r="L50" t="s">
        <v>285</v>
      </c>
      <c r="M50" t="str">
        <f t="shared" ref="M50:M57" si="11">TEXT(800,"0000")</f>
        <v>0800</v>
      </c>
      <c r="N50" t="s">
        <v>962</v>
      </c>
      <c r="O50" t="s">
        <v>267</v>
      </c>
      <c r="P50" t="s">
        <v>397</v>
      </c>
      <c r="Q50" t="s">
        <v>349</v>
      </c>
      <c r="R50">
        <v>20</v>
      </c>
      <c r="S50">
        <v>60</v>
      </c>
      <c r="T50">
        <v>10</v>
      </c>
      <c r="U50">
        <v>1</v>
      </c>
      <c r="V50" t="b">
        <v>0</v>
      </c>
      <c r="W50" t="s">
        <v>963</v>
      </c>
      <c r="AV50">
        <f t="shared" si="9"/>
        <v>4</v>
      </c>
      <c r="AW50" t="s">
        <v>920</v>
      </c>
      <c r="AX50" t="str">
        <f>D51</f>
        <v>LSA_ATOM_CAPTURE_E_BEGIN_TITO_ATOM_MIN_LFM_0800_L2_LRU_CAPTURE</v>
      </c>
      <c r="AY50">
        <v>1</v>
      </c>
      <c r="AZ50" t="str">
        <f>D51</f>
        <v>LSA_ATOM_CAPTURE_E_BEGIN_TITO_ATOM_MIN_LFM_0800_L2_LRU_CAPTURE</v>
      </c>
      <c r="BA50" t="str">
        <f>D51</f>
        <v>LSA_ATOM_CAPTURE_E_BEGIN_TITO_ATOM_MIN_LFM_0800_L2_LRU_CAPTURE</v>
      </c>
    </row>
    <row r="51" spans="1:55" x14ac:dyDescent="0.35">
      <c r="A51" s="19" t="s">
        <v>12</v>
      </c>
      <c r="B51" s="19" t="s">
        <v>80</v>
      </c>
      <c r="C51" s="19" t="str">
        <f>VLOOKUP(B51,templateLookup!A:B,2,0)</f>
        <v>iCCapturePacketsTest</v>
      </c>
      <c r="D51" t="str">
        <f t="shared" si="10"/>
        <v>LSA_ATOM_CAPTURE_E_BEGIN_TITO_ATOM_MIN_LFM_0800_L2_LRU_CAPTURE</v>
      </c>
      <c r="E51" t="s">
        <v>5</v>
      </c>
      <c r="F51" t="s">
        <v>28</v>
      </c>
      <c r="G51" t="s">
        <v>921</v>
      </c>
      <c r="H51" t="s">
        <v>207</v>
      </c>
      <c r="I51" t="s">
        <v>260</v>
      </c>
      <c r="J51" t="s">
        <v>28</v>
      </c>
      <c r="K51" t="s">
        <v>952</v>
      </c>
      <c r="L51" t="s">
        <v>285</v>
      </c>
      <c r="M51" t="str">
        <f t="shared" si="11"/>
        <v>0800</v>
      </c>
      <c r="N51" t="s">
        <v>964</v>
      </c>
      <c r="O51" t="s">
        <v>267</v>
      </c>
      <c r="P51" t="s">
        <v>397</v>
      </c>
      <c r="Q51" t="s">
        <v>965</v>
      </c>
      <c r="R51">
        <v>20</v>
      </c>
      <c r="S51">
        <v>60</v>
      </c>
      <c r="T51">
        <v>11</v>
      </c>
      <c r="U51">
        <v>1</v>
      </c>
      <c r="V51" s="12" t="b">
        <v>0</v>
      </c>
      <c r="W51" t="s">
        <v>963</v>
      </c>
      <c r="AM51" t="s">
        <v>966</v>
      </c>
      <c r="AV51">
        <f t="shared" si="9"/>
        <v>3</v>
      </c>
      <c r="AW51" t="s">
        <v>218</v>
      </c>
      <c r="AX51" t="str">
        <f>D57</f>
        <v>LSA_ATOM_HRY_E_BEGIN_TITO_ATOM_MIN_LFM_0800_L2_LRU_POST_HRY</v>
      </c>
      <c r="AY51" t="str">
        <f>D52</f>
        <v>LSA_ATOM_REPAIR_E_BEGIN_TITO_ATOM_MIN_LFM_0800_L2_LRU_REPAIR</v>
      </c>
      <c r="AZ51" t="str">
        <f>D57</f>
        <v>LSA_ATOM_HRY_E_BEGIN_TITO_ATOM_MIN_LFM_0800_L2_LRU_POST_HRY</v>
      </c>
    </row>
    <row r="52" spans="1:55" x14ac:dyDescent="0.35">
      <c r="A52" s="19" t="s">
        <v>12</v>
      </c>
      <c r="B52" s="19" t="s">
        <v>82</v>
      </c>
      <c r="C52" s="19" t="str">
        <f>VLOOKUP(B52,templateLookup!A:B,2,0)</f>
        <v>iCRepairTest</v>
      </c>
      <c r="D52" t="str">
        <f t="shared" si="10"/>
        <v>LSA_ATOM_REPAIR_E_BEGIN_TITO_ATOM_MIN_LFM_0800_L2_LRU_REPAIR</v>
      </c>
      <c r="E52" t="s">
        <v>5</v>
      </c>
      <c r="F52" t="s">
        <v>28</v>
      </c>
      <c r="G52" t="s">
        <v>261</v>
      </c>
      <c r="H52" t="s">
        <v>207</v>
      </c>
      <c r="I52" t="s">
        <v>260</v>
      </c>
      <c r="J52" t="s">
        <v>28</v>
      </c>
      <c r="K52" t="s">
        <v>952</v>
      </c>
      <c r="L52" t="s">
        <v>285</v>
      </c>
      <c r="M52" t="str">
        <f t="shared" si="11"/>
        <v>0800</v>
      </c>
      <c r="N52" t="s">
        <v>967</v>
      </c>
      <c r="O52" t="s">
        <v>267</v>
      </c>
      <c r="P52" t="s">
        <v>397</v>
      </c>
      <c r="Q52" t="s">
        <v>965</v>
      </c>
      <c r="R52">
        <v>20</v>
      </c>
      <c r="S52">
        <v>60</v>
      </c>
      <c r="T52">
        <v>12</v>
      </c>
      <c r="U52">
        <v>1</v>
      </c>
      <c r="V52" t="b">
        <v>0</v>
      </c>
      <c r="W52" t="s">
        <v>963</v>
      </c>
      <c r="AM52" t="s">
        <v>966</v>
      </c>
      <c r="AN52" t="s">
        <v>968</v>
      </c>
      <c r="AO52" t="s">
        <v>936</v>
      </c>
      <c r="AP52" t="s">
        <v>928</v>
      </c>
      <c r="AV52">
        <f t="shared" si="9"/>
        <v>6</v>
      </c>
      <c r="AW52" t="s">
        <v>274</v>
      </c>
      <c r="AX52" t="str">
        <f>D54</f>
        <v>LSA_ATOM_VFDM_E_BEGIN_X_X_X_X_0800_L2_LRU_VFDM_MIN</v>
      </c>
      <c r="AY52" t="str">
        <f>D54</f>
        <v>LSA_ATOM_VFDM_E_BEGIN_X_X_X_X_0800_L2_LRU_VFDM_MIN</v>
      </c>
      <c r="AZ52" t="str">
        <f>D54</f>
        <v>LSA_ATOM_VFDM_E_BEGIN_X_X_X_X_0800_L2_LRU_VFDM_MIN</v>
      </c>
      <c r="BA52" t="str">
        <f>D53</f>
        <v>LSA_ATOM_REPAIR_E_BEGIN_TITO_ATOM_MIN_LFM_0800_L2_LRU_REPAIR_TO_FUSE</v>
      </c>
      <c r="BB52" t="str">
        <f>D53</f>
        <v>LSA_ATOM_REPAIR_E_BEGIN_TITO_ATOM_MIN_LFM_0800_L2_LRU_REPAIR_TO_FUSE</v>
      </c>
      <c r="BC52" t="str">
        <f>D54</f>
        <v>LSA_ATOM_VFDM_E_BEGIN_X_X_X_X_0800_L2_LRU_VFDM_MIN</v>
      </c>
    </row>
    <row r="53" spans="1:55" x14ac:dyDescent="0.35">
      <c r="A53" s="19" t="s">
        <v>12</v>
      </c>
      <c r="B53" s="19" t="s">
        <v>84</v>
      </c>
      <c r="C53" s="19" t="str">
        <f>VLOOKUP(B53,templateLookup!A:B,2,0)</f>
        <v>iCRepairTest</v>
      </c>
      <c r="D53" t="str">
        <f t="shared" si="10"/>
        <v>LSA_ATOM_REPAIR_E_BEGIN_TITO_ATOM_MIN_LFM_0800_L2_LRU_REPAIR_TO_FUSE</v>
      </c>
      <c r="E53" t="s">
        <v>5</v>
      </c>
      <c r="F53" t="s">
        <v>28</v>
      </c>
      <c r="G53" t="s">
        <v>261</v>
      </c>
      <c r="H53" t="s">
        <v>207</v>
      </c>
      <c r="I53" t="s">
        <v>260</v>
      </c>
      <c r="J53" t="s">
        <v>28</v>
      </c>
      <c r="K53" t="s">
        <v>952</v>
      </c>
      <c r="L53" t="s">
        <v>285</v>
      </c>
      <c r="M53" t="str">
        <f t="shared" si="11"/>
        <v>0800</v>
      </c>
      <c r="N53" t="s">
        <v>969</v>
      </c>
      <c r="O53" t="s">
        <v>267</v>
      </c>
      <c r="P53" t="s">
        <v>397</v>
      </c>
      <c r="Q53" t="s">
        <v>965</v>
      </c>
      <c r="R53">
        <v>20</v>
      </c>
      <c r="S53">
        <v>60</v>
      </c>
      <c r="T53">
        <v>13</v>
      </c>
      <c r="U53">
        <v>1</v>
      </c>
      <c r="V53" t="b">
        <v>0</v>
      </c>
      <c r="W53" t="s">
        <v>963</v>
      </c>
      <c r="AM53" t="s">
        <v>966</v>
      </c>
      <c r="AN53" t="s">
        <v>968</v>
      </c>
      <c r="AO53" t="s">
        <v>936</v>
      </c>
      <c r="AP53" t="s">
        <v>930</v>
      </c>
      <c r="AV53">
        <f t="shared" si="9"/>
        <v>6</v>
      </c>
      <c r="AW53" t="s">
        <v>274</v>
      </c>
      <c r="AX53" t="str">
        <f>D54</f>
        <v>LSA_ATOM_VFDM_E_BEGIN_X_X_X_X_0800_L2_LRU_VFDM_MIN</v>
      </c>
      <c r="AY53" t="str">
        <f>D54</f>
        <v>LSA_ATOM_VFDM_E_BEGIN_X_X_X_X_0800_L2_LRU_VFDM_MIN</v>
      </c>
      <c r="AZ53" t="str">
        <f>D54</f>
        <v>LSA_ATOM_VFDM_E_BEGIN_X_X_X_X_0800_L2_LRU_VFDM_MIN</v>
      </c>
      <c r="BA53" t="str">
        <f>D54</f>
        <v>LSA_ATOM_VFDM_E_BEGIN_X_X_X_X_0800_L2_LRU_VFDM_MIN</v>
      </c>
      <c r="BB53" t="str">
        <f>D54</f>
        <v>LSA_ATOM_VFDM_E_BEGIN_X_X_X_X_0800_L2_LRU_VFDM_MIN</v>
      </c>
      <c r="BC53" t="str">
        <f>D54</f>
        <v>LSA_ATOM_VFDM_E_BEGIN_X_X_X_X_0800_L2_LRU_VFDM_MIN</v>
      </c>
    </row>
    <row r="54" spans="1:55" x14ac:dyDescent="0.35">
      <c r="A54" s="19" t="s">
        <v>12</v>
      </c>
      <c r="B54" s="19" t="s">
        <v>87</v>
      </c>
      <c r="C54" s="19" t="str">
        <f>VLOOKUP(B54,templateLookup!A:B,2,0)</f>
        <v>iCVFDMTest</v>
      </c>
      <c r="D54" t="str">
        <f t="shared" si="10"/>
        <v>LSA_ATOM_VFDM_E_BEGIN_X_X_X_X_0800_L2_LRU_VFDM_MIN</v>
      </c>
      <c r="E54" t="s">
        <v>5</v>
      </c>
      <c r="F54" t="s">
        <v>28</v>
      </c>
      <c r="G54" t="s">
        <v>178</v>
      </c>
      <c r="H54" t="s">
        <v>207</v>
      </c>
      <c r="I54" t="s">
        <v>208</v>
      </c>
      <c r="J54" t="s">
        <v>208</v>
      </c>
      <c r="K54" t="s">
        <v>208</v>
      </c>
      <c r="L54" t="s">
        <v>208</v>
      </c>
      <c r="M54" t="str">
        <f t="shared" si="11"/>
        <v>0800</v>
      </c>
      <c r="N54" t="s">
        <v>975</v>
      </c>
      <c r="O54" t="s">
        <v>267</v>
      </c>
      <c r="P54" t="s">
        <v>397</v>
      </c>
      <c r="Q54" t="s">
        <v>212</v>
      </c>
      <c r="R54">
        <v>20</v>
      </c>
      <c r="S54">
        <v>60</v>
      </c>
      <c r="T54">
        <v>14</v>
      </c>
      <c r="U54">
        <v>1</v>
      </c>
      <c r="V54" t="b">
        <v>0</v>
      </c>
      <c r="W54" t="s">
        <v>963</v>
      </c>
      <c r="AI54" t="s">
        <v>217</v>
      </c>
      <c r="AJ54" t="s">
        <v>7</v>
      </c>
      <c r="AV54">
        <f t="shared" si="9"/>
        <v>3</v>
      </c>
      <c r="AW54" t="s">
        <v>218</v>
      </c>
      <c r="AX54" t="str">
        <f>D57</f>
        <v>LSA_ATOM_HRY_E_BEGIN_TITO_ATOM_MIN_LFM_0800_L2_LRU_POST_HRY</v>
      </c>
      <c r="AY54" t="str">
        <f>D55</f>
        <v>LSA_ATOM_UF_E_BEGIN_X_X_X_X_0800_L2_LRU_VFDM_APPLY_MIN</v>
      </c>
      <c r="AZ54">
        <v>2</v>
      </c>
    </row>
    <row r="55" spans="1:55" x14ac:dyDescent="0.35">
      <c r="A55" s="19" t="s">
        <v>12</v>
      </c>
      <c r="B55" s="19" t="s">
        <v>85</v>
      </c>
      <c r="C55" s="19" t="str">
        <f>VLOOKUP(B55,templateLookup!A:B,2,0)</f>
        <v>iCUserFuncTest</v>
      </c>
      <c r="D55" t="str">
        <f t="shared" si="10"/>
        <v>LSA_ATOM_UF_E_BEGIN_X_X_X_X_0800_L2_LRU_VFDM_APPLY_MIN</v>
      </c>
      <c r="E55" t="s">
        <v>5</v>
      </c>
      <c r="F55" t="s">
        <v>28</v>
      </c>
      <c r="G55" t="s">
        <v>353</v>
      </c>
      <c r="H55" t="s">
        <v>207</v>
      </c>
      <c r="I55" t="s">
        <v>208</v>
      </c>
      <c r="J55" t="s">
        <v>208</v>
      </c>
      <c r="K55" t="s">
        <v>208</v>
      </c>
      <c r="L55" t="s">
        <v>208</v>
      </c>
      <c r="M55" t="str">
        <f t="shared" si="11"/>
        <v>0800</v>
      </c>
      <c r="N55" t="s">
        <v>976</v>
      </c>
      <c r="O55" t="s">
        <v>267</v>
      </c>
      <c r="P55" t="s">
        <v>397</v>
      </c>
      <c r="Q55" t="s">
        <v>212</v>
      </c>
      <c r="R55">
        <v>20</v>
      </c>
      <c r="S55">
        <v>60</v>
      </c>
      <c r="T55">
        <v>15</v>
      </c>
      <c r="U55">
        <v>1</v>
      </c>
      <c r="V55" t="b">
        <v>0</v>
      </c>
      <c r="W55" t="s">
        <v>963</v>
      </c>
      <c r="AR55" t="s">
        <v>946</v>
      </c>
      <c r="AV55">
        <f t="shared" si="9"/>
        <v>3</v>
      </c>
      <c r="AW55">
        <v>1</v>
      </c>
      <c r="AX55" t="str">
        <f>D57</f>
        <v>LSA_ATOM_HRY_E_BEGIN_TITO_ATOM_MIN_LFM_0800_L2_LRU_POST_HRY</v>
      </c>
      <c r="AY55" t="str">
        <f>D56</f>
        <v>LSA_ATOM_VFDM_E_BEGIN_X_X_X_X_0800_L2_LRU_FUSE_MIN</v>
      </c>
      <c r="AZ55" t="str">
        <f>D56</f>
        <v>LSA_ATOM_VFDM_E_BEGIN_X_X_X_X_0800_L2_LRU_FUSE_MIN</v>
      </c>
    </row>
    <row r="56" spans="1:55" x14ac:dyDescent="0.35">
      <c r="A56" s="19" t="s">
        <v>12</v>
      </c>
      <c r="B56" s="19" t="s">
        <v>59</v>
      </c>
      <c r="C56" s="19" t="str">
        <f>VLOOKUP(B56,templateLookup!A:B,2,0)</f>
        <v>PrimePatConfigTestMethod</v>
      </c>
      <c r="D56" t="str">
        <f t="shared" si="10"/>
        <v>LSA_ATOM_VFDM_E_BEGIN_X_X_X_X_0800_L2_LRU_FUSE_MIN</v>
      </c>
      <c r="E56" t="s">
        <v>5</v>
      </c>
      <c r="F56" t="s">
        <v>28</v>
      </c>
      <c r="G56" t="s">
        <v>178</v>
      </c>
      <c r="H56" t="s">
        <v>207</v>
      </c>
      <c r="I56" t="s">
        <v>208</v>
      </c>
      <c r="J56" t="s">
        <v>208</v>
      </c>
      <c r="K56" t="s">
        <v>208</v>
      </c>
      <c r="L56" t="s">
        <v>208</v>
      </c>
      <c r="M56" t="str">
        <f t="shared" si="11"/>
        <v>0800</v>
      </c>
      <c r="N56" t="s">
        <v>977</v>
      </c>
      <c r="O56" t="s">
        <v>267</v>
      </c>
      <c r="P56" t="s">
        <v>397</v>
      </c>
      <c r="Q56" t="s">
        <v>212</v>
      </c>
      <c r="R56">
        <v>20</v>
      </c>
      <c r="S56">
        <v>60</v>
      </c>
      <c r="T56">
        <v>16</v>
      </c>
      <c r="U56">
        <v>1</v>
      </c>
      <c r="V56" t="b">
        <v>0</v>
      </c>
      <c r="W56" t="s">
        <v>963</v>
      </c>
      <c r="AH56" s="13" t="s">
        <v>948</v>
      </c>
      <c r="AK56" t="s">
        <v>358</v>
      </c>
      <c r="AV56">
        <f t="shared" si="9"/>
        <v>2</v>
      </c>
      <c r="AW56">
        <v>1</v>
      </c>
      <c r="AX56" t="str">
        <f>D57</f>
        <v>LSA_ATOM_HRY_E_BEGIN_TITO_ATOM_MIN_LFM_0800_L2_LRU_POST_HRY</v>
      </c>
      <c r="AY56" t="str">
        <f>D57</f>
        <v>LSA_ATOM_HRY_E_BEGIN_TITO_ATOM_MIN_LFM_0800_L2_LRU_POST_HRY</v>
      </c>
    </row>
    <row r="57" spans="1:55" x14ac:dyDescent="0.35">
      <c r="A57" s="19" t="s">
        <v>12</v>
      </c>
      <c r="B57" s="19" t="s">
        <v>91</v>
      </c>
      <c r="C57" s="19" t="str">
        <f>VLOOKUP(B57,templateLookup!A:B,2,0)</f>
        <v>iCHSRTest</v>
      </c>
      <c r="D57" t="str">
        <f t="shared" si="10"/>
        <v>LSA_ATOM_HRY_E_BEGIN_TITO_ATOM_MIN_LFM_0800_L2_LRU_POST_HRY</v>
      </c>
      <c r="E57" t="s">
        <v>5</v>
      </c>
      <c r="F57" t="s">
        <v>28</v>
      </c>
      <c r="G57" t="s">
        <v>271</v>
      </c>
      <c r="H57" t="s">
        <v>207</v>
      </c>
      <c r="I57" t="s">
        <v>260</v>
      </c>
      <c r="J57" t="s">
        <v>28</v>
      </c>
      <c r="K57" t="s">
        <v>952</v>
      </c>
      <c r="L57" t="s">
        <v>285</v>
      </c>
      <c r="M57" t="str">
        <f t="shared" si="11"/>
        <v>0800</v>
      </c>
      <c r="N57" t="s">
        <v>973</v>
      </c>
      <c r="O57" t="s">
        <v>267</v>
      </c>
      <c r="P57" t="s">
        <v>397</v>
      </c>
      <c r="Q57" t="s">
        <v>349</v>
      </c>
      <c r="R57">
        <v>20</v>
      </c>
      <c r="S57">
        <v>60</v>
      </c>
      <c r="T57">
        <v>17</v>
      </c>
      <c r="U57">
        <v>1</v>
      </c>
      <c r="V57" t="b">
        <v>0</v>
      </c>
      <c r="W57" t="s">
        <v>963</v>
      </c>
      <c r="AV57">
        <f t="shared" si="9"/>
        <v>4</v>
      </c>
      <c r="AW57" t="s">
        <v>920</v>
      </c>
      <c r="AX57">
        <v>2</v>
      </c>
      <c r="AY57">
        <v>1</v>
      </c>
      <c r="AZ57">
        <v>2</v>
      </c>
      <c r="BA57">
        <v>2</v>
      </c>
    </row>
    <row r="58" spans="1:55" x14ac:dyDescent="0.35">
      <c r="A58" s="18" t="s">
        <v>12</v>
      </c>
      <c r="B58" s="18" t="s">
        <v>50</v>
      </c>
      <c r="C58" s="18" t="str">
        <f>VLOOKUP(B58,templateLookup!A:B,2,0)</f>
        <v>COMPOSITE</v>
      </c>
      <c r="D58" s="10"/>
    </row>
    <row r="59" spans="1:55" x14ac:dyDescent="0.35">
      <c r="A59" s="20" t="s">
        <v>12</v>
      </c>
      <c r="B59" s="20" t="s">
        <v>49</v>
      </c>
      <c r="C59" s="20" t="str">
        <f>VLOOKUP(B59,templateLookup!A:B,2,0)</f>
        <v>COMPOSITE</v>
      </c>
      <c r="D59" s="10" t="s">
        <v>978</v>
      </c>
      <c r="F59" t="s">
        <v>28</v>
      </c>
      <c r="V59" s="12"/>
      <c r="AV59">
        <f t="shared" ref="AV59:AV67" si="12">COUNTA(AX59:BG59)</f>
        <v>3</v>
      </c>
      <c r="AW59" t="s">
        <v>218</v>
      </c>
      <c r="AX59" t="str">
        <f>D79</f>
        <v>RF_NON_REPAIRABLE</v>
      </c>
      <c r="AY59" t="str">
        <f>D69</f>
        <v>RF_MIN_REP</v>
      </c>
      <c r="AZ59" t="str">
        <f>D79</f>
        <v>RF_NON_REPAIRABLE</v>
      </c>
    </row>
    <row r="60" spans="1:55" x14ac:dyDescent="0.35">
      <c r="A60" s="16" t="s">
        <v>12</v>
      </c>
      <c r="B60" s="16" t="s">
        <v>92</v>
      </c>
      <c r="C60" s="16" t="str">
        <f>VLOOKUP(B60,templateLookup!A:B,2,0)</f>
        <v>PrimeLSARasterTestMethod</v>
      </c>
      <c r="D60" t="str">
        <f t="shared" ref="D60:D67" si="13">E60&amp;"_"&amp;F60&amp;"_"&amp;G60&amp;"_"&amp;H60&amp;"_"&amp;A60&amp;"_"&amp;I60&amp;"_"&amp;J60&amp;"_"&amp;K60&amp;"_"&amp;L60&amp;"_"&amp;M60&amp;"_"&amp;N60</f>
        <v>LSA_ATOM_HRY_E_BEGIN_TITO_ATOM_NOM_LFM_0800_RF_PRE_HRY</v>
      </c>
      <c r="E60" t="s">
        <v>5</v>
      </c>
      <c r="F60" t="s">
        <v>28</v>
      </c>
      <c r="G60" t="s">
        <v>271</v>
      </c>
      <c r="H60" t="s">
        <v>207</v>
      </c>
      <c r="I60" t="s">
        <v>260</v>
      </c>
      <c r="J60" t="s">
        <v>28</v>
      </c>
      <c r="K60" t="s">
        <v>284</v>
      </c>
      <c r="L60" t="s">
        <v>285</v>
      </c>
      <c r="M60" t="str">
        <f t="shared" ref="M60:M67" si="14">TEXT(800,"0000")</f>
        <v>0800</v>
      </c>
      <c r="N60" t="s">
        <v>979</v>
      </c>
      <c r="O60" t="s">
        <v>267</v>
      </c>
      <c r="P60" t="s">
        <v>397</v>
      </c>
      <c r="Q60" t="s">
        <v>980</v>
      </c>
      <c r="R60">
        <v>20</v>
      </c>
      <c r="S60">
        <v>60</v>
      </c>
      <c r="T60">
        <v>20</v>
      </c>
      <c r="U60">
        <v>-1</v>
      </c>
      <c r="V60" t="b">
        <v>0</v>
      </c>
      <c r="W60" t="s">
        <v>963</v>
      </c>
      <c r="AM60" t="s">
        <v>981</v>
      </c>
      <c r="AP60" s="51" t="s">
        <v>982</v>
      </c>
      <c r="AQ60" s="51"/>
      <c r="AR60" s="51"/>
      <c r="AS60" s="51"/>
      <c r="AT60" s="51"/>
      <c r="AU60" s="51"/>
      <c r="AV60">
        <f t="shared" si="12"/>
        <v>4</v>
      </c>
      <c r="AW60" t="s">
        <v>920</v>
      </c>
      <c r="AX60" t="str">
        <f>D67</f>
        <v>LSA_ATOM_HRY_E_BEGIN_TITO_ATOM_NOM_LFM_0800_RF_POST_HRY</v>
      </c>
      <c r="AY60">
        <v>1</v>
      </c>
      <c r="AZ60" t="str">
        <f>D61</f>
        <v>LSA_ATOM_RASTER_E_BEGIN_TITO_ATOM_NOM_LFM_0800_RF_RASTER</v>
      </c>
      <c r="BA60" t="str">
        <f>D61</f>
        <v>LSA_ATOM_RASTER_E_BEGIN_TITO_ATOM_NOM_LFM_0800_RF_RASTER</v>
      </c>
    </row>
    <row r="61" spans="1:55" x14ac:dyDescent="0.35">
      <c r="A61" s="16" t="s">
        <v>12</v>
      </c>
      <c r="B61" s="16" t="s">
        <v>94</v>
      </c>
      <c r="C61" s="16" t="str">
        <f>VLOOKUP(B61,templateLookup!A:B,2,0)</f>
        <v>PrimeLSARasterTestMethod</v>
      </c>
      <c r="D61" t="str">
        <f t="shared" si="13"/>
        <v>LSA_ATOM_RASTER_E_BEGIN_TITO_ATOM_NOM_LFM_0800_RF_RASTER</v>
      </c>
      <c r="E61" t="s">
        <v>5</v>
      </c>
      <c r="F61" t="s">
        <v>28</v>
      </c>
      <c r="G61" t="s">
        <v>289</v>
      </c>
      <c r="H61" t="s">
        <v>207</v>
      </c>
      <c r="I61" t="s">
        <v>260</v>
      </c>
      <c r="J61" t="s">
        <v>28</v>
      </c>
      <c r="K61" t="s">
        <v>284</v>
      </c>
      <c r="L61" t="s">
        <v>285</v>
      </c>
      <c r="M61" t="str">
        <f t="shared" si="14"/>
        <v>0800</v>
      </c>
      <c r="N61" t="s">
        <v>983</v>
      </c>
      <c r="O61" t="s">
        <v>267</v>
      </c>
      <c r="P61" t="s">
        <v>397</v>
      </c>
      <c r="Q61" t="s">
        <v>984</v>
      </c>
      <c r="R61">
        <v>20</v>
      </c>
      <c r="S61">
        <v>60</v>
      </c>
      <c r="T61">
        <v>21</v>
      </c>
      <c r="U61">
        <v>-1</v>
      </c>
      <c r="V61" t="b">
        <v>0</v>
      </c>
      <c r="W61" t="s">
        <v>963</v>
      </c>
      <c r="AM61" t="s">
        <v>981</v>
      </c>
      <c r="AP61" s="51" t="s">
        <v>982</v>
      </c>
      <c r="AQ61" s="51"/>
      <c r="AR61" s="51"/>
      <c r="AS61" s="51"/>
      <c r="AT61" s="51"/>
      <c r="AU61" s="51"/>
      <c r="AV61">
        <f t="shared" si="12"/>
        <v>4</v>
      </c>
      <c r="AW61" t="s">
        <v>218</v>
      </c>
      <c r="AX61" t="str">
        <f>D67</f>
        <v>LSA_ATOM_HRY_E_BEGIN_TITO_ATOM_NOM_LFM_0800_RF_POST_HRY</v>
      </c>
      <c r="AY61" t="str">
        <f>D62</f>
        <v>LSA_ATOM_REPAIR_E_BEGIN_TITO_ATOM_NOM_LFM_0800_RF_REPAIR</v>
      </c>
      <c r="AZ61" t="str">
        <f>D67</f>
        <v>LSA_ATOM_HRY_E_BEGIN_TITO_ATOM_NOM_LFM_0800_RF_POST_HRY</v>
      </c>
      <c r="BA61" t="str">
        <f>D67</f>
        <v>LSA_ATOM_HRY_E_BEGIN_TITO_ATOM_NOM_LFM_0800_RF_POST_HRY</v>
      </c>
    </row>
    <row r="62" spans="1:55" x14ac:dyDescent="0.35">
      <c r="A62" s="16" t="s">
        <v>12</v>
      </c>
      <c r="B62" s="16" t="s">
        <v>82</v>
      </c>
      <c r="C62" s="16" t="str">
        <f>VLOOKUP(B62,templateLookup!A:B,2,0)</f>
        <v>iCRepairTest</v>
      </c>
      <c r="D62" t="str">
        <f t="shared" si="13"/>
        <v>LSA_ATOM_REPAIR_E_BEGIN_TITO_ATOM_NOM_LFM_0800_RF_REPAIR</v>
      </c>
      <c r="E62" t="s">
        <v>5</v>
      </c>
      <c r="F62" t="s">
        <v>28</v>
      </c>
      <c r="G62" t="s">
        <v>261</v>
      </c>
      <c r="H62" t="s">
        <v>207</v>
      </c>
      <c r="I62" t="s">
        <v>260</v>
      </c>
      <c r="J62" t="s">
        <v>28</v>
      </c>
      <c r="K62" t="s">
        <v>284</v>
      </c>
      <c r="L62" t="s">
        <v>285</v>
      </c>
      <c r="M62" t="str">
        <f t="shared" si="14"/>
        <v>0800</v>
      </c>
      <c r="N62" t="s">
        <v>985</v>
      </c>
      <c r="O62" t="s">
        <v>267</v>
      </c>
      <c r="P62" t="s">
        <v>397</v>
      </c>
      <c r="Q62" t="s">
        <v>984</v>
      </c>
      <c r="R62">
        <v>20</v>
      </c>
      <c r="S62">
        <v>60</v>
      </c>
      <c r="T62">
        <v>22</v>
      </c>
      <c r="U62">
        <v>-1</v>
      </c>
      <c r="V62" s="12" t="b">
        <v>0</v>
      </c>
      <c r="W62" t="s">
        <v>963</v>
      </c>
      <c r="AM62" t="s">
        <v>981</v>
      </c>
      <c r="AN62" t="s">
        <v>986</v>
      </c>
      <c r="AO62" t="s">
        <v>987</v>
      </c>
      <c r="AP62" t="s">
        <v>930</v>
      </c>
      <c r="AV62">
        <f t="shared" si="12"/>
        <v>6</v>
      </c>
      <c r="AW62" t="s">
        <v>274</v>
      </c>
      <c r="AX62" t="str">
        <f>D64</f>
        <v>LSA_ATOM_VFDM_E_BEGIN_X_X_X_X_0800_RF_VFDM</v>
      </c>
      <c r="AY62" t="str">
        <f>D64</f>
        <v>LSA_ATOM_VFDM_E_BEGIN_X_X_X_X_0800_RF_VFDM</v>
      </c>
      <c r="AZ62" t="str">
        <f>D64</f>
        <v>LSA_ATOM_VFDM_E_BEGIN_X_X_X_X_0800_RF_VFDM</v>
      </c>
      <c r="BA62" t="str">
        <f>D63</f>
        <v>LSA_ATOM_REPAIR_E_BEGIN_TITO_ATOM_NOM_LFM_0800_RF_REPAIR_TO_FUSE</v>
      </c>
      <c r="BB62" t="str">
        <f>D63</f>
        <v>LSA_ATOM_REPAIR_E_BEGIN_TITO_ATOM_NOM_LFM_0800_RF_REPAIR_TO_FUSE</v>
      </c>
      <c r="BC62" t="str">
        <f>D64</f>
        <v>LSA_ATOM_VFDM_E_BEGIN_X_X_X_X_0800_RF_VFDM</v>
      </c>
    </row>
    <row r="63" spans="1:55" x14ac:dyDescent="0.35">
      <c r="A63" s="16" t="s">
        <v>12</v>
      </c>
      <c r="B63" s="16" t="s">
        <v>84</v>
      </c>
      <c r="C63" s="16" t="str">
        <f>VLOOKUP(B63,templateLookup!A:B,2,0)</f>
        <v>iCRepairTest</v>
      </c>
      <c r="D63" t="str">
        <f t="shared" si="13"/>
        <v>LSA_ATOM_REPAIR_E_BEGIN_TITO_ATOM_NOM_LFM_0800_RF_REPAIR_TO_FUSE</v>
      </c>
      <c r="E63" t="s">
        <v>5</v>
      </c>
      <c r="F63" t="s">
        <v>28</v>
      </c>
      <c r="G63" t="s">
        <v>261</v>
      </c>
      <c r="H63" t="s">
        <v>207</v>
      </c>
      <c r="I63" t="s">
        <v>260</v>
      </c>
      <c r="J63" t="s">
        <v>28</v>
      </c>
      <c r="K63" t="s">
        <v>284</v>
      </c>
      <c r="L63" t="s">
        <v>285</v>
      </c>
      <c r="M63" t="str">
        <f t="shared" si="14"/>
        <v>0800</v>
      </c>
      <c r="N63" t="s">
        <v>988</v>
      </c>
      <c r="O63" t="s">
        <v>267</v>
      </c>
      <c r="P63" t="s">
        <v>397</v>
      </c>
      <c r="Q63" t="s">
        <v>984</v>
      </c>
      <c r="R63">
        <v>20</v>
      </c>
      <c r="S63">
        <v>60</v>
      </c>
      <c r="T63">
        <v>23</v>
      </c>
      <c r="U63">
        <v>-1</v>
      </c>
      <c r="V63" t="b">
        <v>0</v>
      </c>
      <c r="W63" t="s">
        <v>963</v>
      </c>
      <c r="AM63" t="s">
        <v>981</v>
      </c>
      <c r="AN63" t="s">
        <v>986</v>
      </c>
      <c r="AO63" t="s">
        <v>987</v>
      </c>
      <c r="AP63" t="s">
        <v>930</v>
      </c>
      <c r="AV63">
        <f t="shared" si="12"/>
        <v>6</v>
      </c>
      <c r="AW63" t="s">
        <v>274</v>
      </c>
      <c r="AX63" t="str">
        <f>D64</f>
        <v>LSA_ATOM_VFDM_E_BEGIN_X_X_X_X_0800_RF_VFDM</v>
      </c>
      <c r="AY63" t="str">
        <f>D64</f>
        <v>LSA_ATOM_VFDM_E_BEGIN_X_X_X_X_0800_RF_VFDM</v>
      </c>
      <c r="AZ63" t="str">
        <f>D64</f>
        <v>LSA_ATOM_VFDM_E_BEGIN_X_X_X_X_0800_RF_VFDM</v>
      </c>
      <c r="BA63" t="str">
        <f>D64</f>
        <v>LSA_ATOM_VFDM_E_BEGIN_X_X_X_X_0800_RF_VFDM</v>
      </c>
      <c r="BB63" t="str">
        <f>D64</f>
        <v>LSA_ATOM_VFDM_E_BEGIN_X_X_X_X_0800_RF_VFDM</v>
      </c>
      <c r="BC63" t="str">
        <f>D64</f>
        <v>LSA_ATOM_VFDM_E_BEGIN_X_X_X_X_0800_RF_VFDM</v>
      </c>
    </row>
    <row r="64" spans="1:55" x14ac:dyDescent="0.35">
      <c r="A64" s="16" t="s">
        <v>12</v>
      </c>
      <c r="B64" s="16" t="s">
        <v>87</v>
      </c>
      <c r="C64" s="16" t="str">
        <f>VLOOKUP(B64,templateLookup!A:B,2,0)</f>
        <v>iCVFDMTest</v>
      </c>
      <c r="D64" t="str">
        <f t="shared" si="13"/>
        <v>LSA_ATOM_VFDM_E_BEGIN_X_X_X_X_0800_RF_VFDM</v>
      </c>
      <c r="E64" t="s">
        <v>5</v>
      </c>
      <c r="F64" t="s">
        <v>28</v>
      </c>
      <c r="G64" t="s">
        <v>178</v>
      </c>
      <c r="H64" t="s">
        <v>207</v>
      </c>
      <c r="I64" t="s">
        <v>208</v>
      </c>
      <c r="J64" t="s">
        <v>208</v>
      </c>
      <c r="K64" t="s">
        <v>208</v>
      </c>
      <c r="L64" t="s">
        <v>208</v>
      </c>
      <c r="M64" t="str">
        <f t="shared" si="14"/>
        <v>0800</v>
      </c>
      <c r="N64" t="s">
        <v>989</v>
      </c>
      <c r="O64" t="s">
        <v>267</v>
      </c>
      <c r="P64" t="s">
        <v>397</v>
      </c>
      <c r="Q64" t="s">
        <v>212</v>
      </c>
      <c r="R64">
        <v>20</v>
      </c>
      <c r="S64">
        <v>60</v>
      </c>
      <c r="T64">
        <v>24</v>
      </c>
      <c r="U64">
        <v>-1</v>
      </c>
      <c r="V64" t="b">
        <v>0</v>
      </c>
      <c r="W64" t="s">
        <v>963</v>
      </c>
      <c r="AI64" t="s">
        <v>217</v>
      </c>
      <c r="AJ64" t="s">
        <v>7</v>
      </c>
      <c r="AV64">
        <f t="shared" si="12"/>
        <v>3</v>
      </c>
      <c r="AW64" t="s">
        <v>218</v>
      </c>
      <c r="AX64" t="str">
        <f>D67</f>
        <v>LSA_ATOM_HRY_E_BEGIN_TITO_ATOM_NOM_LFM_0800_RF_POST_HRY</v>
      </c>
      <c r="AY64" t="str">
        <f>D65</f>
        <v>LSA_ATOM_UF_E_BEGIN_X_X_X_X_0800_RF_VFDM_APPLY</v>
      </c>
      <c r="AZ64">
        <v>2</v>
      </c>
    </row>
    <row r="65" spans="1:55" x14ac:dyDescent="0.35">
      <c r="A65" s="16" t="s">
        <v>12</v>
      </c>
      <c r="B65" s="16" t="s">
        <v>85</v>
      </c>
      <c r="C65" s="16" t="str">
        <f>VLOOKUP(B65,templateLookup!A:B,2,0)</f>
        <v>iCUserFuncTest</v>
      </c>
      <c r="D65" t="str">
        <f t="shared" si="13"/>
        <v>LSA_ATOM_UF_E_BEGIN_X_X_X_X_0800_RF_VFDM_APPLY</v>
      </c>
      <c r="E65" t="s">
        <v>5</v>
      </c>
      <c r="F65" t="s">
        <v>28</v>
      </c>
      <c r="G65" t="s">
        <v>353</v>
      </c>
      <c r="H65" t="s">
        <v>207</v>
      </c>
      <c r="I65" t="s">
        <v>208</v>
      </c>
      <c r="J65" t="s">
        <v>208</v>
      </c>
      <c r="K65" t="s">
        <v>208</v>
      </c>
      <c r="L65" t="s">
        <v>208</v>
      </c>
      <c r="M65" t="str">
        <f t="shared" si="14"/>
        <v>0800</v>
      </c>
      <c r="N65" t="s">
        <v>990</v>
      </c>
      <c r="O65" t="s">
        <v>267</v>
      </c>
      <c r="P65" t="s">
        <v>397</v>
      </c>
      <c r="Q65" t="s">
        <v>212</v>
      </c>
      <c r="R65">
        <v>20</v>
      </c>
      <c r="S65">
        <v>60</v>
      </c>
      <c r="T65">
        <v>25</v>
      </c>
      <c r="U65">
        <v>-1</v>
      </c>
      <c r="V65" t="b">
        <v>0</v>
      </c>
      <c r="W65" t="s">
        <v>963</v>
      </c>
      <c r="AR65" t="s">
        <v>946</v>
      </c>
      <c r="AV65">
        <f t="shared" si="12"/>
        <v>3</v>
      </c>
      <c r="AW65">
        <v>1</v>
      </c>
      <c r="AX65" t="str">
        <f>D67</f>
        <v>LSA_ATOM_HRY_E_BEGIN_TITO_ATOM_NOM_LFM_0800_RF_POST_HRY</v>
      </c>
      <c r="AY65" t="str">
        <f>D66</f>
        <v>LSA_ATOM_VFDM_E_BEGIN_X_X_X_X_0800_RF_FUSE</v>
      </c>
      <c r="AZ65" t="str">
        <f>D66</f>
        <v>LSA_ATOM_VFDM_E_BEGIN_X_X_X_X_0800_RF_FUSE</v>
      </c>
    </row>
    <row r="66" spans="1:55" x14ac:dyDescent="0.35">
      <c r="A66" s="16" t="s">
        <v>12</v>
      </c>
      <c r="B66" s="16" t="s">
        <v>59</v>
      </c>
      <c r="C66" s="16" t="str">
        <f>VLOOKUP(B66,templateLookup!A:B,2,0)</f>
        <v>PrimePatConfigTestMethod</v>
      </c>
      <c r="D66" t="str">
        <f t="shared" si="13"/>
        <v>LSA_ATOM_VFDM_E_BEGIN_X_X_X_X_0800_RF_FUSE</v>
      </c>
      <c r="E66" t="s">
        <v>5</v>
      </c>
      <c r="F66" t="s">
        <v>28</v>
      </c>
      <c r="G66" t="s">
        <v>178</v>
      </c>
      <c r="H66" t="s">
        <v>207</v>
      </c>
      <c r="I66" t="s">
        <v>208</v>
      </c>
      <c r="J66" t="s">
        <v>208</v>
      </c>
      <c r="K66" t="s">
        <v>208</v>
      </c>
      <c r="L66" t="s">
        <v>208</v>
      </c>
      <c r="M66" t="str">
        <f t="shared" si="14"/>
        <v>0800</v>
      </c>
      <c r="N66" t="s">
        <v>991</v>
      </c>
      <c r="O66" t="s">
        <v>267</v>
      </c>
      <c r="P66" t="s">
        <v>397</v>
      </c>
      <c r="Q66" t="s">
        <v>212</v>
      </c>
      <c r="R66">
        <v>20</v>
      </c>
      <c r="S66">
        <v>60</v>
      </c>
      <c r="T66">
        <v>26</v>
      </c>
      <c r="U66">
        <v>-1</v>
      </c>
      <c r="V66" t="b">
        <v>0</v>
      </c>
      <c r="W66" t="s">
        <v>963</v>
      </c>
      <c r="AH66" s="13" t="s">
        <v>948</v>
      </c>
      <c r="AK66" t="s">
        <v>358</v>
      </c>
      <c r="AV66">
        <f t="shared" si="12"/>
        <v>2</v>
      </c>
      <c r="AW66">
        <v>1</v>
      </c>
      <c r="AX66" t="str">
        <f>D67</f>
        <v>LSA_ATOM_HRY_E_BEGIN_TITO_ATOM_NOM_LFM_0800_RF_POST_HRY</v>
      </c>
      <c r="AY66" t="str">
        <f>D67</f>
        <v>LSA_ATOM_HRY_E_BEGIN_TITO_ATOM_NOM_LFM_0800_RF_POST_HRY</v>
      </c>
    </row>
    <row r="67" spans="1:55" x14ac:dyDescent="0.35">
      <c r="A67" s="16" t="s">
        <v>12</v>
      </c>
      <c r="B67" s="16" t="s">
        <v>91</v>
      </c>
      <c r="C67" s="16" t="str">
        <f>VLOOKUP(B67,templateLookup!A:B,2,0)</f>
        <v>iCHSRTest</v>
      </c>
      <c r="D67" t="str">
        <f t="shared" si="13"/>
        <v>LSA_ATOM_HRY_E_BEGIN_TITO_ATOM_NOM_LFM_0800_RF_POST_HRY</v>
      </c>
      <c r="E67" t="s">
        <v>5</v>
      </c>
      <c r="F67" t="s">
        <v>28</v>
      </c>
      <c r="G67" t="s">
        <v>271</v>
      </c>
      <c r="H67" t="s">
        <v>207</v>
      </c>
      <c r="I67" t="s">
        <v>260</v>
      </c>
      <c r="J67" t="s">
        <v>28</v>
      </c>
      <c r="K67" t="s">
        <v>284</v>
      </c>
      <c r="L67" t="s">
        <v>285</v>
      </c>
      <c r="M67" t="str">
        <f t="shared" si="14"/>
        <v>0800</v>
      </c>
      <c r="N67" t="s">
        <v>992</v>
      </c>
      <c r="O67" t="s">
        <v>267</v>
      </c>
      <c r="P67" t="s">
        <v>397</v>
      </c>
      <c r="Q67" t="s">
        <v>980</v>
      </c>
      <c r="R67">
        <v>20</v>
      </c>
      <c r="S67">
        <v>60</v>
      </c>
      <c r="T67">
        <v>27</v>
      </c>
      <c r="U67">
        <v>-1</v>
      </c>
      <c r="V67" s="12" t="b">
        <v>0</v>
      </c>
      <c r="W67" t="s">
        <v>963</v>
      </c>
      <c r="AV67">
        <f t="shared" si="12"/>
        <v>4</v>
      </c>
      <c r="AW67" t="s">
        <v>920</v>
      </c>
      <c r="AX67">
        <v>2</v>
      </c>
      <c r="AY67">
        <v>1</v>
      </c>
      <c r="AZ67">
        <v>2</v>
      </c>
      <c r="BA67">
        <v>2</v>
      </c>
    </row>
    <row r="68" spans="1:55" x14ac:dyDescent="0.35">
      <c r="A68" s="20" t="s">
        <v>12</v>
      </c>
      <c r="B68" s="20" t="s">
        <v>50</v>
      </c>
      <c r="C68" s="20" t="str">
        <f>VLOOKUP(B68,templateLookup!A:B,2,0)</f>
        <v>COMPOSITE</v>
      </c>
      <c r="D68" s="10"/>
    </row>
    <row r="69" spans="1:55" x14ac:dyDescent="0.35">
      <c r="A69" s="17" t="s">
        <v>12</v>
      </c>
      <c r="B69" s="17" t="s">
        <v>49</v>
      </c>
      <c r="C69" s="17" t="str">
        <f>VLOOKUP(B69,templateLookup!A:B,2,0)</f>
        <v>COMPOSITE</v>
      </c>
      <c r="D69" s="10" t="s">
        <v>993</v>
      </c>
      <c r="F69" t="s">
        <v>28</v>
      </c>
      <c r="AV69">
        <f t="shared" ref="AV69:AV77" si="15">COUNTA(AX69:BG69)</f>
        <v>3</v>
      </c>
      <c r="AW69" t="s">
        <v>218</v>
      </c>
      <c r="AX69" t="str">
        <f>D79</f>
        <v>RF_NON_REPAIRABLE</v>
      </c>
      <c r="AY69" t="str">
        <f>D79</f>
        <v>RF_NON_REPAIRABLE</v>
      </c>
      <c r="AZ69" t="str">
        <f>D79</f>
        <v>RF_NON_REPAIRABLE</v>
      </c>
    </row>
    <row r="70" spans="1:55" x14ac:dyDescent="0.35">
      <c r="A70" s="3" t="s">
        <v>12</v>
      </c>
      <c r="B70" s="3" t="s">
        <v>92</v>
      </c>
      <c r="C70" s="3" t="str">
        <f>VLOOKUP(B70,templateLookup!A:B,2,0)</f>
        <v>PrimeLSARasterTestMethod</v>
      </c>
      <c r="D70" t="str">
        <f t="shared" ref="D70:D77" si="16">E70&amp;"_"&amp;F70&amp;"_"&amp;G70&amp;"_"&amp;H70&amp;"_"&amp;A70&amp;"_"&amp;I70&amp;"_"&amp;J70&amp;"_"&amp;K70&amp;"_"&amp;L70&amp;"_"&amp;M70&amp;"_"&amp;N70</f>
        <v>LSA_ATOM_HRY_E_BEGIN_TITO_ATOM_MIN_LFM_0800_RF_PRE_HRY</v>
      </c>
      <c r="E70" t="s">
        <v>5</v>
      </c>
      <c r="F70" t="s">
        <v>28</v>
      </c>
      <c r="G70" t="s">
        <v>271</v>
      </c>
      <c r="H70" t="s">
        <v>207</v>
      </c>
      <c r="I70" t="s">
        <v>260</v>
      </c>
      <c r="J70" t="s">
        <v>28</v>
      </c>
      <c r="K70" t="s">
        <v>952</v>
      </c>
      <c r="L70" t="s">
        <v>285</v>
      </c>
      <c r="M70" t="str">
        <f t="shared" ref="M70:M77" si="17">TEXT(800,"0000")</f>
        <v>0800</v>
      </c>
      <c r="N70" t="s">
        <v>979</v>
      </c>
      <c r="O70" t="s">
        <v>267</v>
      </c>
      <c r="P70" t="s">
        <v>397</v>
      </c>
      <c r="Q70" t="s">
        <v>980</v>
      </c>
      <c r="R70">
        <v>20</v>
      </c>
      <c r="S70">
        <v>60</v>
      </c>
      <c r="T70">
        <v>30</v>
      </c>
      <c r="U70">
        <v>1</v>
      </c>
      <c r="V70" t="b">
        <v>0</v>
      </c>
      <c r="W70" t="s">
        <v>963</v>
      </c>
      <c r="AM70" t="s">
        <v>981</v>
      </c>
      <c r="AP70" s="51" t="s">
        <v>982</v>
      </c>
      <c r="AQ70" s="51"/>
      <c r="AR70" s="51"/>
      <c r="AS70" s="51"/>
      <c r="AT70" s="51"/>
      <c r="AU70" s="51"/>
      <c r="AV70">
        <f t="shared" si="15"/>
        <v>4</v>
      </c>
      <c r="AW70" t="s">
        <v>920</v>
      </c>
      <c r="AX70" t="str">
        <f>D71</f>
        <v>LSA_ATOM_RASTER_E_BEGIN_TITO_ATOM_MIN_LFM_0800_RF_RASTER</v>
      </c>
      <c r="AY70">
        <v>1</v>
      </c>
      <c r="AZ70" t="str">
        <f>D71</f>
        <v>LSA_ATOM_RASTER_E_BEGIN_TITO_ATOM_MIN_LFM_0800_RF_RASTER</v>
      </c>
      <c r="BA70" t="str">
        <f>D71</f>
        <v>LSA_ATOM_RASTER_E_BEGIN_TITO_ATOM_MIN_LFM_0800_RF_RASTER</v>
      </c>
    </row>
    <row r="71" spans="1:55" x14ac:dyDescent="0.35">
      <c r="A71" s="3" t="s">
        <v>12</v>
      </c>
      <c r="B71" s="3" t="s">
        <v>94</v>
      </c>
      <c r="C71" s="3" t="str">
        <f>VLOOKUP(B71,templateLookup!A:B,2,0)</f>
        <v>PrimeLSARasterTestMethod</v>
      </c>
      <c r="D71" t="str">
        <f t="shared" si="16"/>
        <v>LSA_ATOM_RASTER_E_BEGIN_TITO_ATOM_MIN_LFM_0800_RF_RASTER</v>
      </c>
      <c r="E71" t="s">
        <v>5</v>
      </c>
      <c r="F71" t="s">
        <v>28</v>
      </c>
      <c r="G71" t="s">
        <v>289</v>
      </c>
      <c r="H71" t="s">
        <v>207</v>
      </c>
      <c r="I71" t="s">
        <v>260</v>
      </c>
      <c r="J71" t="s">
        <v>28</v>
      </c>
      <c r="K71" t="s">
        <v>952</v>
      </c>
      <c r="L71" t="s">
        <v>285</v>
      </c>
      <c r="M71" t="str">
        <f t="shared" si="17"/>
        <v>0800</v>
      </c>
      <c r="N71" t="s">
        <v>983</v>
      </c>
      <c r="O71" t="s">
        <v>267</v>
      </c>
      <c r="P71" t="s">
        <v>397</v>
      </c>
      <c r="Q71" t="s">
        <v>984</v>
      </c>
      <c r="R71">
        <v>20</v>
      </c>
      <c r="S71">
        <v>60</v>
      </c>
      <c r="T71">
        <v>31</v>
      </c>
      <c r="U71">
        <v>1</v>
      </c>
      <c r="V71" s="12" t="b">
        <v>0</v>
      </c>
      <c r="W71" t="s">
        <v>963</v>
      </c>
      <c r="AM71" t="s">
        <v>981</v>
      </c>
      <c r="AP71" s="51" t="s">
        <v>982</v>
      </c>
      <c r="AQ71" s="51"/>
      <c r="AR71" s="51"/>
      <c r="AS71" s="51"/>
      <c r="AT71" s="51"/>
      <c r="AU71" s="51"/>
      <c r="AV71">
        <f t="shared" si="15"/>
        <v>4</v>
      </c>
      <c r="AW71" t="s">
        <v>218</v>
      </c>
      <c r="AX71" t="str">
        <f>D77</f>
        <v>LSA_ATOM_HRY_E_BEGIN_TITO_ATOM_MIN_LFM_0800_RF_POST_HRY</v>
      </c>
      <c r="AY71" t="str">
        <f>D72</f>
        <v>LSA_ATOM_REPAIR_E_BEGIN_TITO_ATOM_MIN_LFM_0800_RF_REPAIR</v>
      </c>
      <c r="AZ71" t="str">
        <f>D77</f>
        <v>LSA_ATOM_HRY_E_BEGIN_TITO_ATOM_MIN_LFM_0800_RF_POST_HRY</v>
      </c>
      <c r="BA71" t="str">
        <f>D77</f>
        <v>LSA_ATOM_HRY_E_BEGIN_TITO_ATOM_MIN_LFM_0800_RF_POST_HRY</v>
      </c>
    </row>
    <row r="72" spans="1:55" x14ac:dyDescent="0.35">
      <c r="A72" s="3" t="s">
        <v>12</v>
      </c>
      <c r="B72" s="3" t="s">
        <v>82</v>
      </c>
      <c r="C72" s="3" t="str">
        <f>VLOOKUP(B72,templateLookup!A:B,2,0)</f>
        <v>iCRepairTest</v>
      </c>
      <c r="D72" t="str">
        <f t="shared" si="16"/>
        <v>LSA_ATOM_REPAIR_E_BEGIN_TITO_ATOM_MIN_LFM_0800_RF_REPAIR</v>
      </c>
      <c r="E72" t="s">
        <v>5</v>
      </c>
      <c r="F72" t="s">
        <v>28</v>
      </c>
      <c r="G72" t="s">
        <v>261</v>
      </c>
      <c r="H72" t="s">
        <v>207</v>
      </c>
      <c r="I72" t="s">
        <v>260</v>
      </c>
      <c r="J72" t="s">
        <v>28</v>
      </c>
      <c r="K72" t="s">
        <v>952</v>
      </c>
      <c r="L72" t="s">
        <v>285</v>
      </c>
      <c r="M72" t="str">
        <f t="shared" si="17"/>
        <v>0800</v>
      </c>
      <c r="N72" t="s">
        <v>985</v>
      </c>
      <c r="O72" t="s">
        <v>267</v>
      </c>
      <c r="P72" t="s">
        <v>397</v>
      </c>
      <c r="Q72" t="s">
        <v>984</v>
      </c>
      <c r="R72">
        <v>20</v>
      </c>
      <c r="S72">
        <v>60</v>
      </c>
      <c r="T72">
        <v>32</v>
      </c>
      <c r="U72">
        <v>1</v>
      </c>
      <c r="V72" t="b">
        <v>0</v>
      </c>
      <c r="W72" t="s">
        <v>963</v>
      </c>
      <c r="AM72" t="s">
        <v>981</v>
      </c>
      <c r="AN72" t="s">
        <v>986</v>
      </c>
      <c r="AO72" t="s">
        <v>987</v>
      </c>
      <c r="AP72" t="s">
        <v>930</v>
      </c>
      <c r="AV72">
        <f t="shared" si="15"/>
        <v>6</v>
      </c>
      <c r="AW72" t="s">
        <v>274</v>
      </c>
      <c r="AX72" t="str">
        <f>D74</f>
        <v>LSA_ATOM_VFDM_E_BEGIN_X_X_X_X_0800_RF_VFDM_MIN</v>
      </c>
      <c r="AY72" t="str">
        <f>D74</f>
        <v>LSA_ATOM_VFDM_E_BEGIN_X_X_X_X_0800_RF_VFDM_MIN</v>
      </c>
      <c r="AZ72" t="str">
        <f>D74</f>
        <v>LSA_ATOM_VFDM_E_BEGIN_X_X_X_X_0800_RF_VFDM_MIN</v>
      </c>
      <c r="BA72" t="str">
        <f>D73</f>
        <v>LSA_ATOM_REPAIR_E_BEGIN_TITO_ATOM_MIN_LFM_0800_RF_REPAIR_TO_FUSE</v>
      </c>
      <c r="BB72" t="str">
        <f>D73</f>
        <v>LSA_ATOM_REPAIR_E_BEGIN_TITO_ATOM_MIN_LFM_0800_RF_REPAIR_TO_FUSE</v>
      </c>
      <c r="BC72" t="str">
        <f>D74</f>
        <v>LSA_ATOM_VFDM_E_BEGIN_X_X_X_X_0800_RF_VFDM_MIN</v>
      </c>
    </row>
    <row r="73" spans="1:55" x14ac:dyDescent="0.35">
      <c r="A73" s="3" t="s">
        <v>12</v>
      </c>
      <c r="B73" s="3" t="s">
        <v>84</v>
      </c>
      <c r="C73" s="3" t="str">
        <f>VLOOKUP(B73,templateLookup!A:B,2,0)</f>
        <v>iCRepairTest</v>
      </c>
      <c r="D73" t="str">
        <f t="shared" si="16"/>
        <v>LSA_ATOM_REPAIR_E_BEGIN_TITO_ATOM_MIN_LFM_0800_RF_REPAIR_TO_FUSE</v>
      </c>
      <c r="E73" t="s">
        <v>5</v>
      </c>
      <c r="F73" t="s">
        <v>28</v>
      </c>
      <c r="G73" t="s">
        <v>261</v>
      </c>
      <c r="H73" t="s">
        <v>207</v>
      </c>
      <c r="I73" t="s">
        <v>260</v>
      </c>
      <c r="J73" t="s">
        <v>28</v>
      </c>
      <c r="K73" t="s">
        <v>952</v>
      </c>
      <c r="L73" t="s">
        <v>285</v>
      </c>
      <c r="M73" t="str">
        <f t="shared" si="17"/>
        <v>0800</v>
      </c>
      <c r="N73" t="s">
        <v>988</v>
      </c>
      <c r="O73" t="s">
        <v>267</v>
      </c>
      <c r="P73" t="s">
        <v>397</v>
      </c>
      <c r="Q73" t="s">
        <v>984</v>
      </c>
      <c r="R73">
        <v>20</v>
      </c>
      <c r="S73">
        <v>60</v>
      </c>
      <c r="T73">
        <v>33</v>
      </c>
      <c r="U73">
        <v>1</v>
      </c>
      <c r="V73" t="b">
        <v>0</v>
      </c>
      <c r="W73" t="s">
        <v>963</v>
      </c>
      <c r="AM73" t="s">
        <v>981</v>
      </c>
      <c r="AN73" t="s">
        <v>986</v>
      </c>
      <c r="AO73" t="s">
        <v>987</v>
      </c>
      <c r="AP73" t="s">
        <v>930</v>
      </c>
      <c r="AV73">
        <f t="shared" si="15"/>
        <v>6</v>
      </c>
      <c r="AW73" t="s">
        <v>274</v>
      </c>
      <c r="AX73" t="str">
        <f>D74</f>
        <v>LSA_ATOM_VFDM_E_BEGIN_X_X_X_X_0800_RF_VFDM_MIN</v>
      </c>
      <c r="AY73" t="str">
        <f>D74</f>
        <v>LSA_ATOM_VFDM_E_BEGIN_X_X_X_X_0800_RF_VFDM_MIN</v>
      </c>
      <c r="AZ73" t="str">
        <f>D74</f>
        <v>LSA_ATOM_VFDM_E_BEGIN_X_X_X_X_0800_RF_VFDM_MIN</v>
      </c>
      <c r="BA73" t="str">
        <f>D74</f>
        <v>LSA_ATOM_VFDM_E_BEGIN_X_X_X_X_0800_RF_VFDM_MIN</v>
      </c>
      <c r="BB73" t="str">
        <f>D74</f>
        <v>LSA_ATOM_VFDM_E_BEGIN_X_X_X_X_0800_RF_VFDM_MIN</v>
      </c>
      <c r="BC73" t="str">
        <f>D74</f>
        <v>LSA_ATOM_VFDM_E_BEGIN_X_X_X_X_0800_RF_VFDM_MIN</v>
      </c>
    </row>
    <row r="74" spans="1:55" x14ac:dyDescent="0.35">
      <c r="A74" s="3" t="s">
        <v>12</v>
      </c>
      <c r="B74" s="3" t="s">
        <v>87</v>
      </c>
      <c r="C74" s="3" t="str">
        <f>VLOOKUP(B74,templateLookup!A:B,2,0)</f>
        <v>iCVFDMTest</v>
      </c>
      <c r="D74" t="str">
        <f t="shared" si="16"/>
        <v>LSA_ATOM_VFDM_E_BEGIN_X_X_X_X_0800_RF_VFDM_MIN</v>
      </c>
      <c r="E74" t="s">
        <v>5</v>
      </c>
      <c r="F74" t="s">
        <v>28</v>
      </c>
      <c r="G74" t="s">
        <v>178</v>
      </c>
      <c r="H74" t="s">
        <v>207</v>
      </c>
      <c r="I74" t="s">
        <v>208</v>
      </c>
      <c r="J74" t="s">
        <v>208</v>
      </c>
      <c r="K74" t="s">
        <v>208</v>
      </c>
      <c r="L74" t="s">
        <v>208</v>
      </c>
      <c r="M74" t="str">
        <f t="shared" si="17"/>
        <v>0800</v>
      </c>
      <c r="N74" t="s">
        <v>994</v>
      </c>
      <c r="O74" t="s">
        <v>267</v>
      </c>
      <c r="P74" t="s">
        <v>397</v>
      </c>
      <c r="Q74" t="s">
        <v>212</v>
      </c>
      <c r="R74">
        <v>20</v>
      </c>
      <c r="S74">
        <v>60</v>
      </c>
      <c r="T74">
        <v>34</v>
      </c>
      <c r="U74">
        <v>1</v>
      </c>
      <c r="V74" s="12" t="b">
        <v>0</v>
      </c>
      <c r="W74" t="s">
        <v>963</v>
      </c>
      <c r="AI74" t="s">
        <v>217</v>
      </c>
      <c r="AJ74" t="s">
        <v>7</v>
      </c>
      <c r="AV74">
        <f t="shared" si="15"/>
        <v>3</v>
      </c>
      <c r="AW74" t="s">
        <v>218</v>
      </c>
      <c r="AX74" t="str">
        <f>D77</f>
        <v>LSA_ATOM_HRY_E_BEGIN_TITO_ATOM_MIN_LFM_0800_RF_POST_HRY</v>
      </c>
      <c r="AY74" t="str">
        <f>D75</f>
        <v>LSA_ATOM_UF_E_BEGIN_X_X_X_X_0800_RF_VFDM_APPLY_MIN</v>
      </c>
      <c r="AZ74">
        <v>2</v>
      </c>
    </row>
    <row r="75" spans="1:55" x14ac:dyDescent="0.35">
      <c r="A75" s="3" t="s">
        <v>12</v>
      </c>
      <c r="B75" s="3" t="s">
        <v>85</v>
      </c>
      <c r="C75" s="3" t="str">
        <f>VLOOKUP(B75,templateLookup!A:B,2,0)</f>
        <v>iCUserFuncTest</v>
      </c>
      <c r="D75" t="str">
        <f t="shared" si="16"/>
        <v>LSA_ATOM_UF_E_BEGIN_X_X_X_X_0800_RF_VFDM_APPLY_MIN</v>
      </c>
      <c r="E75" t="s">
        <v>5</v>
      </c>
      <c r="F75" t="s">
        <v>28</v>
      </c>
      <c r="G75" t="s">
        <v>353</v>
      </c>
      <c r="H75" t="s">
        <v>207</v>
      </c>
      <c r="I75" t="s">
        <v>208</v>
      </c>
      <c r="J75" t="s">
        <v>208</v>
      </c>
      <c r="K75" t="s">
        <v>208</v>
      </c>
      <c r="L75" t="s">
        <v>208</v>
      </c>
      <c r="M75" t="str">
        <f t="shared" si="17"/>
        <v>0800</v>
      </c>
      <c r="N75" t="s">
        <v>995</v>
      </c>
      <c r="O75" t="s">
        <v>267</v>
      </c>
      <c r="P75" t="s">
        <v>397</v>
      </c>
      <c r="Q75" t="s">
        <v>212</v>
      </c>
      <c r="R75">
        <v>20</v>
      </c>
      <c r="S75">
        <v>60</v>
      </c>
      <c r="T75">
        <v>35</v>
      </c>
      <c r="U75">
        <v>1</v>
      </c>
      <c r="V75" t="b">
        <v>0</v>
      </c>
      <c r="W75" t="s">
        <v>963</v>
      </c>
      <c r="AR75" t="s">
        <v>946</v>
      </c>
      <c r="AV75">
        <f t="shared" si="15"/>
        <v>3</v>
      </c>
      <c r="AW75">
        <v>1</v>
      </c>
      <c r="AX75" t="str">
        <f>D77</f>
        <v>LSA_ATOM_HRY_E_BEGIN_TITO_ATOM_MIN_LFM_0800_RF_POST_HRY</v>
      </c>
      <c r="AY75" t="str">
        <f>D76</f>
        <v>LSA_ATOM_VFDM_E_BEGIN_X_X_X_X_0800_RF_FUSE_MIN</v>
      </c>
      <c r="AZ75" t="str">
        <f>D76</f>
        <v>LSA_ATOM_VFDM_E_BEGIN_X_X_X_X_0800_RF_FUSE_MIN</v>
      </c>
    </row>
    <row r="76" spans="1:55" x14ac:dyDescent="0.35">
      <c r="A76" s="3" t="s">
        <v>12</v>
      </c>
      <c r="B76" s="3" t="s">
        <v>59</v>
      </c>
      <c r="C76" s="3" t="str">
        <f>VLOOKUP(B76,templateLookup!A:B,2,0)</f>
        <v>PrimePatConfigTestMethod</v>
      </c>
      <c r="D76" t="str">
        <f t="shared" si="16"/>
        <v>LSA_ATOM_VFDM_E_BEGIN_X_X_X_X_0800_RF_FUSE_MIN</v>
      </c>
      <c r="E76" t="s">
        <v>5</v>
      </c>
      <c r="F76" t="s">
        <v>28</v>
      </c>
      <c r="G76" t="s">
        <v>178</v>
      </c>
      <c r="H76" t="s">
        <v>207</v>
      </c>
      <c r="I76" t="s">
        <v>208</v>
      </c>
      <c r="J76" t="s">
        <v>208</v>
      </c>
      <c r="K76" t="s">
        <v>208</v>
      </c>
      <c r="L76" t="s">
        <v>208</v>
      </c>
      <c r="M76" t="str">
        <f t="shared" si="17"/>
        <v>0800</v>
      </c>
      <c r="N76" t="s">
        <v>996</v>
      </c>
      <c r="O76" t="s">
        <v>267</v>
      </c>
      <c r="P76" t="s">
        <v>397</v>
      </c>
      <c r="Q76" t="s">
        <v>212</v>
      </c>
      <c r="R76">
        <v>20</v>
      </c>
      <c r="S76">
        <v>60</v>
      </c>
      <c r="T76">
        <v>36</v>
      </c>
      <c r="U76">
        <v>1</v>
      </c>
      <c r="V76" t="b">
        <v>0</v>
      </c>
      <c r="W76" t="s">
        <v>963</v>
      </c>
      <c r="AK76" t="s">
        <v>358</v>
      </c>
      <c r="AV76">
        <f t="shared" si="15"/>
        <v>2</v>
      </c>
      <c r="AW76">
        <v>1</v>
      </c>
      <c r="AX76" t="str">
        <f>D77</f>
        <v>LSA_ATOM_HRY_E_BEGIN_TITO_ATOM_MIN_LFM_0800_RF_POST_HRY</v>
      </c>
      <c r="AY76" t="str">
        <f>D77</f>
        <v>LSA_ATOM_HRY_E_BEGIN_TITO_ATOM_MIN_LFM_0800_RF_POST_HRY</v>
      </c>
    </row>
    <row r="77" spans="1:55" x14ac:dyDescent="0.35">
      <c r="A77" s="3" t="s">
        <v>12</v>
      </c>
      <c r="B77" s="3" t="s">
        <v>91</v>
      </c>
      <c r="C77" s="3" t="str">
        <f>VLOOKUP(B77,templateLookup!A:B,2,0)</f>
        <v>iCHSRTest</v>
      </c>
      <c r="D77" t="str">
        <f t="shared" si="16"/>
        <v>LSA_ATOM_HRY_E_BEGIN_TITO_ATOM_MIN_LFM_0800_RF_POST_HRY</v>
      </c>
      <c r="E77" t="s">
        <v>5</v>
      </c>
      <c r="F77" t="s">
        <v>28</v>
      </c>
      <c r="G77" t="s">
        <v>271</v>
      </c>
      <c r="H77" t="s">
        <v>207</v>
      </c>
      <c r="I77" t="s">
        <v>260</v>
      </c>
      <c r="J77" t="s">
        <v>28</v>
      </c>
      <c r="K77" t="s">
        <v>952</v>
      </c>
      <c r="L77" t="s">
        <v>285</v>
      </c>
      <c r="M77" t="str">
        <f t="shared" si="17"/>
        <v>0800</v>
      </c>
      <c r="N77" t="s">
        <v>992</v>
      </c>
      <c r="O77" t="s">
        <v>267</v>
      </c>
      <c r="P77" t="s">
        <v>397</v>
      </c>
      <c r="Q77" t="s">
        <v>980</v>
      </c>
      <c r="R77">
        <v>20</v>
      </c>
      <c r="S77">
        <v>60</v>
      </c>
      <c r="T77">
        <v>37</v>
      </c>
      <c r="U77">
        <v>1</v>
      </c>
      <c r="V77" s="12" t="b">
        <v>0</v>
      </c>
      <c r="W77" t="s">
        <v>963</v>
      </c>
      <c r="AV77">
        <f t="shared" si="15"/>
        <v>4</v>
      </c>
      <c r="AW77" t="s">
        <v>920</v>
      </c>
      <c r="AX77">
        <v>2</v>
      </c>
      <c r="AY77">
        <v>1</v>
      </c>
      <c r="AZ77">
        <v>2</v>
      </c>
      <c r="BA77">
        <v>2</v>
      </c>
    </row>
    <row r="78" spans="1:55" x14ac:dyDescent="0.35">
      <c r="A78" s="17" t="s">
        <v>12</v>
      </c>
      <c r="B78" s="17" t="s">
        <v>50</v>
      </c>
      <c r="C78" s="17" t="str">
        <f>VLOOKUP(B78,templateLookup!A:B,2,0)</f>
        <v>COMPOSITE</v>
      </c>
      <c r="D78" s="10"/>
    </row>
    <row r="79" spans="1:55" x14ac:dyDescent="0.35">
      <c r="A79" s="21" t="s">
        <v>12</v>
      </c>
      <c r="B79" s="21" t="s">
        <v>49</v>
      </c>
      <c r="C79" s="21" t="str">
        <f>VLOOKUP(B79,templateLookup!A:B,2,0)</f>
        <v>COMPOSITE</v>
      </c>
      <c r="D79" s="10" t="s">
        <v>997</v>
      </c>
      <c r="F79" t="s">
        <v>28</v>
      </c>
      <c r="V79" s="12"/>
      <c r="AV79">
        <f>COUNTA(AX79:BG79)</f>
        <v>3</v>
      </c>
      <c r="AW79" t="s">
        <v>218</v>
      </c>
      <c r="AX79">
        <v>1</v>
      </c>
      <c r="AY79">
        <v>1</v>
      </c>
      <c r="AZ79">
        <v>1</v>
      </c>
    </row>
    <row r="80" spans="1:55" x14ac:dyDescent="0.35">
      <c r="A80" s="22" t="s">
        <v>12</v>
      </c>
      <c r="B80" s="22" t="s">
        <v>92</v>
      </c>
      <c r="C80" s="22" t="str">
        <f>VLOOKUP(B80,templateLookup!A:B,2,0)</f>
        <v>PrimeLSARasterTestMethod</v>
      </c>
      <c r="D80" t="str">
        <f>E80&amp;"_"&amp;F80&amp;"_"&amp;G80&amp;"_"&amp;H80&amp;"_"&amp;A80&amp;"_"&amp;I80&amp;"_"&amp;J80&amp;"_"&amp;K80&amp;"_"&amp;L80&amp;"_"&amp;M80&amp;"_"&amp;N80</f>
        <v>LSA_ATOM_HRY_E_BEGIN_TITO_ATOM_NOM_LFM_0800_RF_NON_REP_HRY</v>
      </c>
      <c r="E80" t="s">
        <v>5</v>
      </c>
      <c r="F80" t="s">
        <v>28</v>
      </c>
      <c r="G80" t="s">
        <v>271</v>
      </c>
      <c r="H80" t="s">
        <v>207</v>
      </c>
      <c r="I80" t="s">
        <v>260</v>
      </c>
      <c r="J80" t="s">
        <v>28</v>
      </c>
      <c r="K80" t="s">
        <v>284</v>
      </c>
      <c r="L80" t="s">
        <v>285</v>
      </c>
      <c r="M80" t="str">
        <f t="shared" ref="M80:M81" si="18">TEXT(800,"0000")</f>
        <v>0800</v>
      </c>
      <c r="N80" t="s">
        <v>998</v>
      </c>
      <c r="O80" t="s">
        <v>267</v>
      </c>
      <c r="P80" t="s">
        <v>397</v>
      </c>
      <c r="Q80" t="s">
        <v>999</v>
      </c>
      <c r="R80">
        <v>20</v>
      </c>
      <c r="S80">
        <v>60</v>
      </c>
      <c r="T80">
        <v>40</v>
      </c>
      <c r="U80">
        <v>-1</v>
      </c>
      <c r="V80" t="b">
        <v>0</v>
      </c>
      <c r="W80" t="s">
        <v>963</v>
      </c>
      <c r="AM80" t="s">
        <v>1000</v>
      </c>
      <c r="AP80" t="s">
        <v>930</v>
      </c>
      <c r="AV80">
        <f>COUNTA(AX80:BG80)</f>
        <v>4</v>
      </c>
      <c r="AW80" t="s">
        <v>920</v>
      </c>
      <c r="AX80" t="str">
        <f>D81</f>
        <v>LSA_ATOM_RASTER_E_BEGIN_TITO_ATOM_NOM_LFM_0800_RF_NON_REP_RASTER</v>
      </c>
      <c r="AY80">
        <v>1</v>
      </c>
      <c r="AZ80" t="str">
        <f>D81</f>
        <v>LSA_ATOM_RASTER_E_BEGIN_TITO_ATOM_NOM_LFM_0800_RF_NON_REP_RASTER</v>
      </c>
      <c r="BA80" t="str">
        <f>D81</f>
        <v>LSA_ATOM_RASTER_E_BEGIN_TITO_ATOM_NOM_LFM_0800_RF_NON_REP_RASTER</v>
      </c>
    </row>
    <row r="81" spans="1:59" x14ac:dyDescent="0.35">
      <c r="A81" s="22" t="s">
        <v>12</v>
      </c>
      <c r="B81" s="22" t="s">
        <v>94</v>
      </c>
      <c r="C81" s="22" t="str">
        <f>VLOOKUP(B81,templateLookup!A:B,2,0)</f>
        <v>PrimeLSARasterTestMethod</v>
      </c>
      <c r="D81" t="str">
        <f>E81&amp;"_"&amp;F81&amp;"_"&amp;G81&amp;"_"&amp;H81&amp;"_"&amp;A81&amp;"_"&amp;I81&amp;"_"&amp;J81&amp;"_"&amp;K81&amp;"_"&amp;L81&amp;"_"&amp;M81&amp;"_"&amp;N81</f>
        <v>LSA_ATOM_RASTER_E_BEGIN_TITO_ATOM_NOM_LFM_0800_RF_NON_REP_RASTER</v>
      </c>
      <c r="E81" t="s">
        <v>5</v>
      </c>
      <c r="F81" t="s">
        <v>28</v>
      </c>
      <c r="G81" t="s">
        <v>289</v>
      </c>
      <c r="H81" t="s">
        <v>207</v>
      </c>
      <c r="I81" t="s">
        <v>260</v>
      </c>
      <c r="J81" t="s">
        <v>28</v>
      </c>
      <c r="K81" t="s">
        <v>284</v>
      </c>
      <c r="L81" t="s">
        <v>285</v>
      </c>
      <c r="M81" t="str">
        <f t="shared" si="18"/>
        <v>0800</v>
      </c>
      <c r="N81" t="s">
        <v>1001</v>
      </c>
      <c r="O81" t="s">
        <v>267</v>
      </c>
      <c r="P81" t="s">
        <v>397</v>
      </c>
      <c r="Q81" t="s">
        <v>984</v>
      </c>
      <c r="R81">
        <v>20</v>
      </c>
      <c r="S81">
        <v>60</v>
      </c>
      <c r="T81">
        <v>41</v>
      </c>
      <c r="U81">
        <v>1</v>
      </c>
      <c r="V81" t="b">
        <v>0</v>
      </c>
      <c r="W81" t="s">
        <v>963</v>
      </c>
      <c r="AM81" t="s">
        <v>1000</v>
      </c>
      <c r="AP81" t="s">
        <v>930</v>
      </c>
      <c r="AV81">
        <f>COUNTA(AX81:BG81)</f>
        <v>4</v>
      </c>
      <c r="AW81" t="s">
        <v>218</v>
      </c>
      <c r="AX81">
        <v>1</v>
      </c>
      <c r="AY81">
        <v>1</v>
      </c>
      <c r="AZ81">
        <v>1</v>
      </c>
      <c r="BA81">
        <v>1</v>
      </c>
    </row>
    <row r="82" spans="1:59" x14ac:dyDescent="0.35">
      <c r="A82" s="21" t="s">
        <v>12</v>
      </c>
      <c r="B82" s="21" t="s">
        <v>50</v>
      </c>
      <c r="C82" s="21" t="str">
        <f>VLOOKUP(B82,templateLookup!A:B,2,0)</f>
        <v>COMPOSITE</v>
      </c>
      <c r="D82" s="10"/>
      <c r="V82" s="12"/>
    </row>
    <row r="83" spans="1:59" x14ac:dyDescent="0.35">
      <c r="A83" s="5" t="s">
        <v>12</v>
      </c>
      <c r="B83" s="5" t="s">
        <v>50</v>
      </c>
      <c r="C83" s="5" t="str">
        <f>VLOOKUP(B83,templateLookup!A:B,2,0)</f>
        <v>COMPOSITE</v>
      </c>
      <c r="D83" s="5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W83" s="6"/>
      <c r="X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5">
      <c r="A84" s="5" t="s">
        <v>871</v>
      </c>
      <c r="B84" s="5" t="s">
        <v>49</v>
      </c>
      <c r="C84" s="5" t="str">
        <f>VLOOKUP(B84,templateLookup!A:B,2,0)</f>
        <v>COMPOSITE</v>
      </c>
      <c r="D84" s="5" t="s">
        <v>871</v>
      </c>
      <c r="E84" s="6"/>
      <c r="F84" t="s">
        <v>28</v>
      </c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W84" s="6"/>
      <c r="X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5">
      <c r="A85" s="12" t="s">
        <v>871</v>
      </c>
      <c r="B85" s="12" t="s">
        <v>65</v>
      </c>
      <c r="C85" s="12" t="str">
        <f>VLOOKUP(B85,templateLookup!A:B,2,0)</f>
        <v>PrimeVminSearchTestMethod</v>
      </c>
      <c r="D85" t="str">
        <f>E85&amp;"_"&amp;F85&amp;"_"&amp;G85&amp;"_"&amp;H85&amp;"_"&amp;A85&amp;"_"&amp;I85&amp;"_"&amp;J85&amp;"_"&amp;K85&amp;"_"&amp;L85&amp;"_"&amp;M85&amp;"_"&amp;N85</f>
        <v>ALL_ATOM_VMIN_K_PREHVQK_TITO_ATOM_MIN_LFM_0800_LSA_ROM</v>
      </c>
      <c r="E85" t="s">
        <v>7</v>
      </c>
      <c r="F85" t="s">
        <v>28</v>
      </c>
      <c r="G85" t="s">
        <v>951</v>
      </c>
      <c r="H85" t="s">
        <v>253</v>
      </c>
      <c r="I85" t="s">
        <v>260</v>
      </c>
      <c r="J85" t="s">
        <v>28</v>
      </c>
      <c r="K85" t="s">
        <v>952</v>
      </c>
      <c r="L85" t="s">
        <v>285</v>
      </c>
      <c r="M85" t="str">
        <f t="shared" ref="M85:M86" si="19">TEXT(800,"0000")</f>
        <v>0800</v>
      </c>
      <c r="N85" t="s">
        <v>1002</v>
      </c>
      <c r="O85" t="s">
        <v>267</v>
      </c>
      <c r="P85" t="s">
        <v>397</v>
      </c>
      <c r="Q85" t="s">
        <v>1003</v>
      </c>
      <c r="R85">
        <v>20</v>
      </c>
      <c r="S85">
        <v>61</v>
      </c>
      <c r="T85">
        <v>200</v>
      </c>
      <c r="U85">
        <v>-1</v>
      </c>
      <c r="V85" t="b">
        <v>1</v>
      </c>
      <c r="W85" t="s">
        <v>963</v>
      </c>
      <c r="Y85" t="s">
        <v>257</v>
      </c>
      <c r="Z85" t="s">
        <v>912</v>
      </c>
      <c r="AF85">
        <v>2100</v>
      </c>
      <c r="AG85" t="s">
        <v>955</v>
      </c>
      <c r="AV85">
        <f>COUNTA(AX85:BG85)</f>
        <v>2</v>
      </c>
      <c r="AW85">
        <v>1</v>
      </c>
      <c r="AX85" t="str">
        <f>D86</f>
        <v>SSA_ATOM_VMIN_K_PREHVQK_TITO_ATOML_MIN_LFM_0800_SSA</v>
      </c>
      <c r="AY85" t="str">
        <f>D86</f>
        <v>SSA_ATOM_VMIN_K_PREHVQK_TITO_ATOML_MIN_LFM_0800_SSA</v>
      </c>
    </row>
    <row r="86" spans="1:59" x14ac:dyDescent="0.35">
      <c r="A86" s="12" t="s">
        <v>871</v>
      </c>
      <c r="B86" s="12" t="s">
        <v>65</v>
      </c>
      <c r="C86" s="12" t="str">
        <f>VLOOKUP(B86,templateLookup!A:B,2,0)</f>
        <v>PrimeVminSearchTestMethod</v>
      </c>
      <c r="D86" t="str">
        <f>E86&amp;"_"&amp;F86&amp;"_"&amp;G86&amp;"_"&amp;H86&amp;"_"&amp;A86&amp;"_"&amp;I86&amp;"_"&amp;J86&amp;"_"&amp;K86&amp;"_"&amp;L86&amp;"_"&amp;M86&amp;"_"&amp;N86</f>
        <v>SSA_ATOM_VMIN_K_PREHVQK_TITO_ATOML_MIN_LFM_0800_SSA</v>
      </c>
      <c r="E86" t="s">
        <v>4</v>
      </c>
      <c r="F86" t="s">
        <v>28</v>
      </c>
      <c r="G86" t="s">
        <v>951</v>
      </c>
      <c r="H86" t="s">
        <v>253</v>
      </c>
      <c r="I86" t="s">
        <v>260</v>
      </c>
      <c r="J86" t="s">
        <v>914</v>
      </c>
      <c r="K86" t="s">
        <v>952</v>
      </c>
      <c r="L86" t="s">
        <v>285</v>
      </c>
      <c r="M86" t="str">
        <f t="shared" si="19"/>
        <v>0800</v>
      </c>
      <c r="N86" t="s">
        <v>4</v>
      </c>
      <c r="O86" t="s">
        <v>267</v>
      </c>
      <c r="P86" t="s">
        <v>397</v>
      </c>
      <c r="Q86" t="s">
        <v>1004</v>
      </c>
      <c r="R86">
        <v>60</v>
      </c>
      <c r="S86">
        <v>61</v>
      </c>
      <c r="T86">
        <v>203</v>
      </c>
      <c r="U86">
        <v>-1</v>
      </c>
      <c r="V86" t="b">
        <v>1</v>
      </c>
      <c r="W86" t="s">
        <v>917</v>
      </c>
      <c r="Y86" t="s">
        <v>960</v>
      </c>
      <c r="AF86">
        <v>2101</v>
      </c>
      <c r="AG86" t="s">
        <v>955</v>
      </c>
      <c r="AV86">
        <f>COUNTA(AX86:BG86)</f>
        <v>2</v>
      </c>
      <c r="AW86">
        <v>1</v>
      </c>
      <c r="AX86">
        <v>1</v>
      </c>
      <c r="AY86">
        <v>1</v>
      </c>
    </row>
    <row r="87" spans="1:59" x14ac:dyDescent="0.35">
      <c r="A87" s="5" t="s">
        <v>871</v>
      </c>
      <c r="B87" s="5" t="s">
        <v>50</v>
      </c>
      <c r="C87" s="5" t="str">
        <f>VLOOKUP(B87,templateLookup!A:B,2,0)</f>
        <v>COMPOSITE</v>
      </c>
      <c r="D87" s="5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W87" s="6"/>
      <c r="X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5">
      <c r="A88" s="5" t="s">
        <v>14</v>
      </c>
      <c r="B88" s="5" t="s">
        <v>49</v>
      </c>
      <c r="C88" s="5" t="str">
        <f>VLOOKUP(B88,templateLookup!A:B,2,0)</f>
        <v>COMPOSITE</v>
      </c>
      <c r="D88" s="5" t="s">
        <v>14</v>
      </c>
      <c r="E88" s="6"/>
      <c r="F88" t="s">
        <v>28</v>
      </c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W88" s="6"/>
      <c r="X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5">
      <c r="A89" s="3" t="s">
        <v>14</v>
      </c>
      <c r="B89" s="3" t="s">
        <v>77</v>
      </c>
      <c r="C89" s="3" t="str">
        <f>VLOOKUP(B89,templateLookup!A:B,2,0)</f>
        <v>iCHVQKTest</v>
      </c>
      <c r="D89" t="str">
        <f>E89&amp;"_"&amp;F89&amp;"_"&amp;G89&amp;"_"&amp;H89&amp;"_"&amp;A89&amp;"_"&amp;I89&amp;"_"&amp;J89&amp;"_"&amp;K89&amp;"_"&amp;L89&amp;"_"&amp;M89&amp;"_"&amp;N89</f>
        <v>ALL_ATOM_HVQK_K_STRESS_TITO_ATOM_MAX_LFM_0800_LSA_ROM</v>
      </c>
      <c r="E89" t="s">
        <v>7</v>
      </c>
      <c r="F89" t="s">
        <v>28</v>
      </c>
      <c r="G89" t="s">
        <v>1005</v>
      </c>
      <c r="H89" t="s">
        <v>253</v>
      </c>
      <c r="I89" t="s">
        <v>260</v>
      </c>
      <c r="J89" t="s">
        <v>28</v>
      </c>
      <c r="K89" t="s">
        <v>357</v>
      </c>
      <c r="L89" t="s">
        <v>285</v>
      </c>
      <c r="M89" t="str">
        <f t="shared" ref="M89:M90" si="20">TEXT(800,"0000")</f>
        <v>0800</v>
      </c>
      <c r="N89" t="s">
        <v>1002</v>
      </c>
      <c r="O89" t="s">
        <v>1006</v>
      </c>
      <c r="P89" t="s">
        <v>397</v>
      </c>
      <c r="Q89" t="s">
        <v>1003</v>
      </c>
      <c r="R89">
        <v>17</v>
      </c>
      <c r="S89">
        <v>20</v>
      </c>
      <c r="T89">
        <v>300</v>
      </c>
      <c r="U89">
        <v>-1</v>
      </c>
      <c r="V89" t="b">
        <v>0</v>
      </c>
      <c r="W89" t="s">
        <v>963</v>
      </c>
      <c r="AS89" t="s">
        <v>918</v>
      </c>
      <c r="AT89" t="s">
        <v>1007</v>
      </c>
      <c r="AU89" t="s">
        <v>1008</v>
      </c>
      <c r="AV89">
        <f>COUNTA(AX89:BG89)</f>
        <v>5</v>
      </c>
      <c r="AW89" t="s">
        <v>218</v>
      </c>
      <c r="AX89" t="str">
        <f>$D90</f>
        <v>SSA_ATOM_HVQK_K_STRESS_TITO_ATOML_MAX_LFM_0800_SSA</v>
      </c>
      <c r="AY89" t="str">
        <f>$D90</f>
        <v>SSA_ATOM_HVQK_K_STRESS_TITO_ATOML_MAX_LFM_0800_SSA</v>
      </c>
      <c r="AZ89" t="str">
        <f>$D90</f>
        <v>SSA_ATOM_HVQK_K_STRESS_TITO_ATOML_MAX_LFM_0800_SSA</v>
      </c>
      <c r="BA89" t="str">
        <f>$D90</f>
        <v>SSA_ATOM_HVQK_K_STRESS_TITO_ATOML_MAX_LFM_0800_SSA</v>
      </c>
      <c r="BB89" t="str">
        <f>$D90</f>
        <v>SSA_ATOM_HVQK_K_STRESS_TITO_ATOML_MAX_LFM_0800_SSA</v>
      </c>
    </row>
    <row r="90" spans="1:59" x14ac:dyDescent="0.35">
      <c r="A90" s="3" t="s">
        <v>14</v>
      </c>
      <c r="B90" s="3" t="s">
        <v>77</v>
      </c>
      <c r="C90" s="3" t="str">
        <f>VLOOKUP(B90,templateLookup!A:B,2,0)</f>
        <v>iCHVQKTest</v>
      </c>
      <c r="D90" t="str">
        <f>E90&amp;"_"&amp;F90&amp;"_"&amp;G90&amp;"_"&amp;H90&amp;"_"&amp;A90&amp;"_"&amp;I90&amp;"_"&amp;J90&amp;"_"&amp;K90&amp;"_"&amp;L90&amp;"_"&amp;M90&amp;"_"&amp;N90</f>
        <v>SSA_ATOM_HVQK_K_STRESS_TITO_ATOML_MAX_LFM_0800_SSA</v>
      </c>
      <c r="E90" t="s">
        <v>4</v>
      </c>
      <c r="F90" t="s">
        <v>28</v>
      </c>
      <c r="G90" t="s">
        <v>1005</v>
      </c>
      <c r="H90" t="s">
        <v>253</v>
      </c>
      <c r="I90" t="s">
        <v>260</v>
      </c>
      <c r="J90" t="s">
        <v>914</v>
      </c>
      <c r="K90" t="s">
        <v>357</v>
      </c>
      <c r="L90" t="s">
        <v>285</v>
      </c>
      <c r="M90" t="str">
        <f t="shared" si="20"/>
        <v>0800</v>
      </c>
      <c r="N90" t="s">
        <v>4</v>
      </c>
      <c r="O90" t="s">
        <v>1006</v>
      </c>
      <c r="P90" t="s">
        <v>397</v>
      </c>
      <c r="Q90" t="s">
        <v>1004</v>
      </c>
      <c r="R90">
        <v>17</v>
      </c>
      <c r="S90">
        <v>60</v>
      </c>
      <c r="T90">
        <v>301</v>
      </c>
      <c r="U90">
        <v>-1</v>
      </c>
      <c r="V90" t="b">
        <v>0</v>
      </c>
      <c r="W90" t="s">
        <v>917</v>
      </c>
      <c r="AS90" t="s">
        <v>918</v>
      </c>
      <c r="AT90" t="s">
        <v>1007</v>
      </c>
      <c r="AU90" t="s">
        <v>1009</v>
      </c>
      <c r="AV90">
        <f>COUNTA(AX90:BG90)</f>
        <v>5</v>
      </c>
      <c r="AW90" t="s">
        <v>218</v>
      </c>
      <c r="AX90">
        <v>1</v>
      </c>
      <c r="AY90">
        <v>1</v>
      </c>
      <c r="AZ90">
        <v>1</v>
      </c>
      <c r="BA90">
        <v>1</v>
      </c>
      <c r="BB90">
        <v>1</v>
      </c>
    </row>
    <row r="91" spans="1:59" x14ac:dyDescent="0.35">
      <c r="A91" s="23" t="s">
        <v>14</v>
      </c>
      <c r="B91" s="23" t="s">
        <v>49</v>
      </c>
      <c r="C91" s="23" t="str">
        <f>VLOOKUP(B91,templateLookup!A:B,2,0)</f>
        <v>COMPOSITE</v>
      </c>
      <c r="D91" s="23" t="s">
        <v>1010</v>
      </c>
      <c r="F91" t="s">
        <v>28</v>
      </c>
      <c r="AV91">
        <f>COUNTA(AX91:BG91)</f>
        <v>2</v>
      </c>
      <c r="AW91">
        <v>1</v>
      </c>
      <c r="AX91">
        <v>1</v>
      </c>
      <c r="AY91">
        <v>1</v>
      </c>
    </row>
    <row r="92" spans="1:59" x14ac:dyDescent="0.35">
      <c r="A92" s="24" t="s">
        <v>14</v>
      </c>
      <c r="B92" s="24" t="s">
        <v>102</v>
      </c>
      <c r="C92" s="24" t="str">
        <f>VLOOKUP(B92,templateLookup!A:B,2,0)</f>
        <v>PrimeShmooTestMethod</v>
      </c>
      <c r="D92" t="str">
        <f>E92&amp;"_"&amp;F92&amp;"_"&amp;G92&amp;"_"&amp;H92&amp;"_"&amp;A92&amp;"_"&amp;I92&amp;"_"&amp;J92&amp;"_"&amp;K92&amp;"_"&amp;L92&amp;"_"&amp;M92&amp;"_"&amp;N92</f>
        <v>ALL_ATOM_SHMOO_E_STRESS_TITO_ATOM_MAX_LFM_0800_LSA_ROM</v>
      </c>
      <c r="E92" t="s">
        <v>7</v>
      </c>
      <c r="F92" t="s">
        <v>28</v>
      </c>
      <c r="G92" t="s">
        <v>1011</v>
      </c>
      <c r="H92" t="s">
        <v>207</v>
      </c>
      <c r="I92" t="s">
        <v>260</v>
      </c>
      <c r="J92" t="s">
        <v>28</v>
      </c>
      <c r="K92" t="s">
        <v>357</v>
      </c>
      <c r="L92" t="s">
        <v>285</v>
      </c>
      <c r="M92" t="str">
        <f t="shared" ref="M92:M93" si="21">TEXT(800,"0000")</f>
        <v>0800</v>
      </c>
      <c r="N92" t="s">
        <v>1002</v>
      </c>
      <c r="O92" t="s">
        <v>1012</v>
      </c>
      <c r="P92" t="s">
        <v>397</v>
      </c>
      <c r="Q92" t="s">
        <v>1003</v>
      </c>
      <c r="R92">
        <v>17</v>
      </c>
      <c r="S92">
        <v>20</v>
      </c>
      <c r="T92">
        <v>302</v>
      </c>
      <c r="U92">
        <v>1</v>
      </c>
      <c r="V92" t="b">
        <v>0</v>
      </c>
      <c r="W92" t="s">
        <v>963</v>
      </c>
      <c r="X92" t="s">
        <v>1013</v>
      </c>
      <c r="AV92">
        <f>COUNTA(AX92:BG92)</f>
        <v>4</v>
      </c>
      <c r="AW92" t="s">
        <v>920</v>
      </c>
      <c r="AX92" t="str">
        <f>$D93</f>
        <v>SSA_ATOM_SHMOO_E_STRESS_TITO_ATOML_MAX_LFM_0800_SSA</v>
      </c>
      <c r="AY92" t="str">
        <f>$D93</f>
        <v>SSA_ATOM_SHMOO_E_STRESS_TITO_ATOML_MAX_LFM_0800_SSA</v>
      </c>
      <c r="AZ92" t="str">
        <f>$D93</f>
        <v>SSA_ATOM_SHMOO_E_STRESS_TITO_ATOML_MAX_LFM_0800_SSA</v>
      </c>
      <c r="BA92" t="str">
        <f>$D93</f>
        <v>SSA_ATOM_SHMOO_E_STRESS_TITO_ATOML_MAX_LFM_0800_SSA</v>
      </c>
    </row>
    <row r="93" spans="1:59" x14ac:dyDescent="0.35">
      <c r="A93" s="24" t="s">
        <v>14</v>
      </c>
      <c r="B93" s="24" t="s">
        <v>102</v>
      </c>
      <c r="C93" s="24" t="str">
        <f>VLOOKUP(B93,templateLookup!A:B,2,0)</f>
        <v>PrimeShmooTestMethod</v>
      </c>
      <c r="D93" t="str">
        <f>E93&amp;"_"&amp;F93&amp;"_"&amp;G93&amp;"_"&amp;H93&amp;"_"&amp;A93&amp;"_"&amp;I93&amp;"_"&amp;J93&amp;"_"&amp;K93&amp;"_"&amp;L93&amp;"_"&amp;M93&amp;"_"&amp;N93</f>
        <v>SSA_ATOM_SHMOO_E_STRESS_TITO_ATOML_MAX_LFM_0800_SSA</v>
      </c>
      <c r="E93" t="s">
        <v>4</v>
      </c>
      <c r="F93" t="s">
        <v>28</v>
      </c>
      <c r="G93" t="s">
        <v>1011</v>
      </c>
      <c r="H93" t="s">
        <v>207</v>
      </c>
      <c r="I93" t="s">
        <v>260</v>
      </c>
      <c r="J93" t="s">
        <v>914</v>
      </c>
      <c r="K93" t="s">
        <v>357</v>
      </c>
      <c r="L93" t="s">
        <v>285</v>
      </c>
      <c r="M93" t="str">
        <f t="shared" si="21"/>
        <v>0800</v>
      </c>
      <c r="N93" t="s">
        <v>4</v>
      </c>
      <c r="O93" t="s">
        <v>1012</v>
      </c>
      <c r="P93" t="s">
        <v>397</v>
      </c>
      <c r="Q93" t="s">
        <v>1004</v>
      </c>
      <c r="R93">
        <v>17</v>
      </c>
      <c r="S93">
        <v>60</v>
      </c>
      <c r="T93">
        <v>303</v>
      </c>
      <c r="U93">
        <v>1</v>
      </c>
      <c r="V93" t="b">
        <v>0</v>
      </c>
      <c r="W93" t="s">
        <v>917</v>
      </c>
      <c r="X93" t="s">
        <v>1014</v>
      </c>
      <c r="AV93">
        <f>COUNTA(AX93:BG93)</f>
        <v>4</v>
      </c>
      <c r="AW93" t="s">
        <v>920</v>
      </c>
      <c r="AX93">
        <v>1</v>
      </c>
      <c r="AY93">
        <v>1</v>
      </c>
      <c r="AZ93">
        <v>1</v>
      </c>
      <c r="BA93">
        <v>1</v>
      </c>
    </row>
    <row r="94" spans="1:59" x14ac:dyDescent="0.35">
      <c r="A94" s="23" t="s">
        <v>14</v>
      </c>
      <c r="B94" s="23" t="s">
        <v>50</v>
      </c>
      <c r="C94" s="23" t="str">
        <f>VLOOKUP(B94,templateLookup!A:B,2,0)</f>
        <v>COMPOSITE</v>
      </c>
      <c r="D94" s="10"/>
    </row>
    <row r="95" spans="1:59" x14ac:dyDescent="0.35">
      <c r="A95" s="5" t="s">
        <v>14</v>
      </c>
      <c r="B95" s="5" t="s">
        <v>50</v>
      </c>
      <c r="C95" s="5" t="str">
        <f>VLOOKUP(B95,templateLookup!A:B,2,0)</f>
        <v>COMPOSITE</v>
      </c>
      <c r="D95" s="5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W95" s="6"/>
      <c r="X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5">
      <c r="A96" s="5" t="s">
        <v>1015</v>
      </c>
      <c r="B96" s="5" t="s">
        <v>49</v>
      </c>
      <c r="C96" s="5" t="str">
        <f>VLOOKUP(B96,templateLookup!A:B,2,0)</f>
        <v>COMPOSITE</v>
      </c>
      <c r="D96" s="5" t="s">
        <v>1015</v>
      </c>
      <c r="E96" s="6"/>
      <c r="F96" t="s">
        <v>28</v>
      </c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W96" s="6"/>
      <c r="X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5">
      <c r="A97" s="22" t="s">
        <v>1015</v>
      </c>
      <c r="B97" s="22" t="s">
        <v>65</v>
      </c>
      <c r="C97" s="22" t="str">
        <f>VLOOKUP(B97,templateLookup!A:B,2,0)</f>
        <v>PrimeVminSearchTestMethod</v>
      </c>
      <c r="D97" t="str">
        <f>E97&amp;"_"&amp;F97&amp;"_"&amp;G97&amp;"_"&amp;H97&amp;"_"&amp;A97&amp;"_"&amp;I97&amp;"_"&amp;J97&amp;"_"&amp;K97&amp;"_"&amp;L97&amp;"_"&amp;M97&amp;"_"&amp;N97</f>
        <v>ALL_ATOM_VMIN_K_POSTHVQK_TITO_ATOM_MIN_LFM_0800_LSA_ROM</v>
      </c>
      <c r="E97" t="s">
        <v>7</v>
      </c>
      <c r="F97" t="s">
        <v>28</v>
      </c>
      <c r="G97" t="s">
        <v>951</v>
      </c>
      <c r="H97" t="s">
        <v>253</v>
      </c>
      <c r="I97" t="s">
        <v>260</v>
      </c>
      <c r="J97" t="s">
        <v>28</v>
      </c>
      <c r="K97" t="s">
        <v>952</v>
      </c>
      <c r="L97" t="s">
        <v>285</v>
      </c>
      <c r="M97" t="str">
        <f t="shared" ref="M97:M98" si="22">TEXT(800,"0000")</f>
        <v>0800</v>
      </c>
      <c r="N97" t="s">
        <v>1002</v>
      </c>
      <c r="O97" t="s">
        <v>267</v>
      </c>
      <c r="P97" t="s">
        <v>397</v>
      </c>
      <c r="Q97" t="s">
        <v>1003</v>
      </c>
      <c r="R97">
        <v>26</v>
      </c>
      <c r="S97">
        <v>20</v>
      </c>
      <c r="T97">
        <v>350</v>
      </c>
      <c r="U97">
        <v>-1</v>
      </c>
      <c r="V97" t="b">
        <v>1</v>
      </c>
      <c r="W97" t="s">
        <v>963</v>
      </c>
      <c r="Y97" t="s">
        <v>257</v>
      </c>
      <c r="Z97" t="s">
        <v>1016</v>
      </c>
      <c r="AF97">
        <v>2110</v>
      </c>
      <c r="AG97" t="s">
        <v>955</v>
      </c>
      <c r="AV97">
        <f>COUNTA(AX97:BG97)</f>
        <v>2</v>
      </c>
      <c r="AW97">
        <v>1</v>
      </c>
      <c r="AX97" t="str">
        <f>D98</f>
        <v>SSA_ATOM_VMIN_K_POSTHVQK_TITO_ATOML_MIN_LFM_0800_SSA</v>
      </c>
      <c r="AY97" t="str">
        <f>D98</f>
        <v>SSA_ATOM_VMIN_K_POSTHVQK_TITO_ATOML_MIN_LFM_0800_SSA</v>
      </c>
    </row>
    <row r="98" spans="1:59" x14ac:dyDescent="0.35">
      <c r="A98" s="22" t="s">
        <v>1015</v>
      </c>
      <c r="B98" s="22" t="s">
        <v>65</v>
      </c>
      <c r="C98" s="22" t="str">
        <f>VLOOKUP(B98,templateLookup!A:B,2,0)</f>
        <v>PrimeVminSearchTestMethod</v>
      </c>
      <c r="D98" t="str">
        <f>E98&amp;"_"&amp;F98&amp;"_"&amp;G98&amp;"_"&amp;H98&amp;"_"&amp;A98&amp;"_"&amp;I98&amp;"_"&amp;J98&amp;"_"&amp;K98&amp;"_"&amp;L98&amp;"_"&amp;M98&amp;"_"&amp;N98</f>
        <v>SSA_ATOM_VMIN_K_POSTHVQK_TITO_ATOML_MIN_LFM_0800_SSA</v>
      </c>
      <c r="E98" t="s">
        <v>4</v>
      </c>
      <c r="F98" t="s">
        <v>28</v>
      </c>
      <c r="G98" t="s">
        <v>951</v>
      </c>
      <c r="H98" t="s">
        <v>253</v>
      </c>
      <c r="I98" t="s">
        <v>260</v>
      </c>
      <c r="J98" t="s">
        <v>914</v>
      </c>
      <c r="K98" t="s">
        <v>952</v>
      </c>
      <c r="L98" t="s">
        <v>285</v>
      </c>
      <c r="M98" t="str">
        <f t="shared" si="22"/>
        <v>0800</v>
      </c>
      <c r="N98" t="s">
        <v>4</v>
      </c>
      <c r="O98" t="s">
        <v>267</v>
      </c>
      <c r="P98" t="s">
        <v>397</v>
      </c>
      <c r="Q98" t="s">
        <v>1004</v>
      </c>
      <c r="R98">
        <v>26</v>
      </c>
      <c r="S98">
        <v>60</v>
      </c>
      <c r="T98">
        <v>351</v>
      </c>
      <c r="U98">
        <v>-1</v>
      </c>
      <c r="V98" t="b">
        <v>1</v>
      </c>
      <c r="W98" t="s">
        <v>917</v>
      </c>
      <c r="Y98" t="s">
        <v>960</v>
      </c>
      <c r="AF98">
        <v>2111</v>
      </c>
      <c r="AG98" t="s">
        <v>955</v>
      </c>
      <c r="AV98">
        <f>COUNTA(AX98:BG98)</f>
        <v>2</v>
      </c>
      <c r="AW98">
        <v>1</v>
      </c>
      <c r="AX98">
        <v>1</v>
      </c>
      <c r="AY98">
        <v>1</v>
      </c>
    </row>
    <row r="99" spans="1:59" x14ac:dyDescent="0.35">
      <c r="A99" s="5" t="s">
        <v>1015</v>
      </c>
      <c r="B99" s="5" t="s">
        <v>50</v>
      </c>
      <c r="C99" s="5" t="str">
        <f>VLOOKUP(B99,templateLookup!A:B,2,0)</f>
        <v>COMPOSITE</v>
      </c>
      <c r="D99" s="5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W99" s="6"/>
      <c r="X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5">
      <c r="A100" s="5" t="s">
        <v>21</v>
      </c>
      <c r="B100" s="5" t="s">
        <v>49</v>
      </c>
      <c r="C100" s="5" t="str">
        <f>VLOOKUP(B100,templateLookup!A:B,2,0)</f>
        <v>COMPOSITE</v>
      </c>
      <c r="D100" s="5" t="s">
        <v>21</v>
      </c>
      <c r="E100" s="6"/>
      <c r="F100" t="s">
        <v>28</v>
      </c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W100" s="6"/>
      <c r="X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5">
      <c r="A101" s="21" t="s">
        <v>21</v>
      </c>
      <c r="B101" s="21" t="s">
        <v>49</v>
      </c>
      <c r="C101" s="21" t="str">
        <f>VLOOKUP(B101,templateLookup!A:B,2,0)</f>
        <v>COMPOSITE</v>
      </c>
      <c r="D101" s="10" t="s">
        <v>1017</v>
      </c>
      <c r="F101" t="s">
        <v>28</v>
      </c>
      <c r="AV101">
        <f t="shared" ref="AV101:AV106" si="23">COUNTA(AX101:BG101)</f>
        <v>2</v>
      </c>
      <c r="AW101">
        <v>1</v>
      </c>
      <c r="AX101" t="str">
        <f>D108</f>
        <v>PMOVI</v>
      </c>
      <c r="AY101" t="str">
        <f>D108</f>
        <v>PMOVI</v>
      </c>
    </row>
    <row r="102" spans="1:59" x14ac:dyDescent="0.35">
      <c r="A102" s="22" t="s">
        <v>21</v>
      </c>
      <c r="B102" s="22" t="s">
        <v>62</v>
      </c>
      <c r="C102" s="22" t="str">
        <f>VLOOKUP(B102,templateLookup!A:B,2,0)</f>
        <v>PrimeVminSearchTestMethod</v>
      </c>
      <c r="D102" t="str">
        <f>E102&amp;"_"&amp;F102&amp;"_"&amp;G102&amp;"_"&amp;H102&amp;"_"&amp;A102&amp;"_"&amp;I102&amp;"_"&amp;J102&amp;"_"&amp;K102&amp;"_"&amp;L102&amp;"_"&amp;M102&amp;"_"&amp;N102</f>
        <v>SSA_ATOM_VCHK_K_END_TITO_ATOML_NOM_LFM_1700_L2_ALL</v>
      </c>
      <c r="E102" t="s">
        <v>4</v>
      </c>
      <c r="F102" t="s">
        <v>28</v>
      </c>
      <c r="G102" t="s">
        <v>1018</v>
      </c>
      <c r="H102" t="s">
        <v>253</v>
      </c>
      <c r="I102" t="s">
        <v>260</v>
      </c>
      <c r="J102" t="s">
        <v>914</v>
      </c>
      <c r="K102" t="s">
        <v>284</v>
      </c>
      <c r="L102" t="s">
        <v>285</v>
      </c>
      <c r="M102">
        <v>1700</v>
      </c>
      <c r="N102" t="s">
        <v>1019</v>
      </c>
      <c r="O102" t="s">
        <v>267</v>
      </c>
      <c r="P102" t="s">
        <v>397</v>
      </c>
      <c r="Q102" t="s">
        <v>1020</v>
      </c>
      <c r="R102">
        <v>60</v>
      </c>
      <c r="S102">
        <v>62</v>
      </c>
      <c r="T102">
        <v>500</v>
      </c>
      <c r="U102">
        <v>-1</v>
      </c>
      <c r="V102" t="b">
        <v>1</v>
      </c>
      <c r="W102" t="s">
        <v>917</v>
      </c>
      <c r="Y102" t="s">
        <v>257</v>
      </c>
      <c r="Z102" t="s">
        <v>1016</v>
      </c>
      <c r="AF102">
        <v>2120</v>
      </c>
      <c r="AG102" t="s">
        <v>1021</v>
      </c>
      <c r="AV102">
        <f t="shared" si="23"/>
        <v>2</v>
      </c>
      <c r="AW102">
        <v>1</v>
      </c>
      <c r="AX102" t="str">
        <f>D103</f>
        <v>LSA_ATOM_VCHK_K_END_TITO_ATOML_NOM_LFM_1700_L2_LRU</v>
      </c>
      <c r="AY102" t="str">
        <f>D103</f>
        <v>LSA_ATOM_VCHK_K_END_TITO_ATOML_NOM_LFM_1700_L2_LRU</v>
      </c>
    </row>
    <row r="103" spans="1:59" x14ac:dyDescent="0.35">
      <c r="A103" s="22" t="s">
        <v>21</v>
      </c>
      <c r="B103" s="22" t="s">
        <v>62</v>
      </c>
      <c r="C103" s="22" t="str">
        <f>VLOOKUP(B103,templateLookup!A:B,2,0)</f>
        <v>PrimeVminSearchTestMethod</v>
      </c>
      <c r="D103" t="str">
        <f>E103&amp;"_"&amp;F103&amp;"_"&amp;G103&amp;"_"&amp;H103&amp;"_"&amp;A103&amp;"_"&amp;I103&amp;"_"&amp;J103&amp;"_"&amp;K103&amp;"_"&amp;L103&amp;"_"&amp;M103&amp;"_"&amp;N103</f>
        <v>LSA_ATOM_VCHK_K_END_TITO_ATOML_NOM_LFM_1700_L2_LRU</v>
      </c>
      <c r="E103" t="s">
        <v>5</v>
      </c>
      <c r="F103" t="s">
        <v>28</v>
      </c>
      <c r="G103" t="s">
        <v>1018</v>
      </c>
      <c r="H103" t="s">
        <v>253</v>
      </c>
      <c r="I103" t="s">
        <v>260</v>
      </c>
      <c r="J103" t="s">
        <v>914</v>
      </c>
      <c r="K103" t="s">
        <v>284</v>
      </c>
      <c r="L103" t="s">
        <v>285</v>
      </c>
      <c r="M103">
        <v>1700</v>
      </c>
      <c r="N103" t="s">
        <v>1022</v>
      </c>
      <c r="O103" t="s">
        <v>267</v>
      </c>
      <c r="P103" t="s">
        <v>397</v>
      </c>
      <c r="Q103" t="s">
        <v>1023</v>
      </c>
      <c r="R103">
        <v>20</v>
      </c>
      <c r="S103">
        <v>62</v>
      </c>
      <c r="T103">
        <v>501</v>
      </c>
      <c r="U103">
        <v>-1</v>
      </c>
      <c r="V103" t="b">
        <v>1</v>
      </c>
      <c r="W103" t="s">
        <v>963</v>
      </c>
      <c r="Y103" t="s">
        <v>960</v>
      </c>
      <c r="AF103">
        <v>2121</v>
      </c>
      <c r="AG103" t="s">
        <v>1021</v>
      </c>
      <c r="AV103">
        <f t="shared" si="23"/>
        <v>2</v>
      </c>
      <c r="AW103">
        <v>1</v>
      </c>
      <c r="AX103" t="str">
        <f>D104</f>
        <v>LSA_ATOM_VCHK_K_END_TITO_ATOM_NOM_LFM_1700_RF_ALL</v>
      </c>
      <c r="AY103" t="str">
        <f>D104</f>
        <v>LSA_ATOM_VCHK_K_END_TITO_ATOM_NOM_LFM_1700_RF_ALL</v>
      </c>
    </row>
    <row r="104" spans="1:59" x14ac:dyDescent="0.35">
      <c r="A104" s="22" t="s">
        <v>21</v>
      </c>
      <c r="B104" s="22" t="s">
        <v>62</v>
      </c>
      <c r="C104" s="22" t="str">
        <f>VLOOKUP(B104,templateLookup!A:B,2,0)</f>
        <v>PrimeVminSearchTestMethod</v>
      </c>
      <c r="D104" t="str">
        <f>E104&amp;"_"&amp;F104&amp;"_"&amp;G104&amp;"_"&amp;H104&amp;"_"&amp;A104&amp;"_"&amp;I104&amp;"_"&amp;J104&amp;"_"&amp;K104&amp;"_"&amp;L104&amp;"_"&amp;M104&amp;"_"&amp;N104</f>
        <v>LSA_ATOM_VCHK_K_END_TITO_ATOM_NOM_LFM_1700_RF_ALL</v>
      </c>
      <c r="E104" t="s">
        <v>5</v>
      </c>
      <c r="F104" t="s">
        <v>28</v>
      </c>
      <c r="G104" t="s">
        <v>1018</v>
      </c>
      <c r="H104" t="s">
        <v>253</v>
      </c>
      <c r="I104" t="s">
        <v>260</v>
      </c>
      <c r="J104" t="s">
        <v>28</v>
      </c>
      <c r="K104" t="s">
        <v>284</v>
      </c>
      <c r="L104" t="s">
        <v>285</v>
      </c>
      <c r="M104">
        <v>1700</v>
      </c>
      <c r="N104" t="s">
        <v>1024</v>
      </c>
      <c r="O104" t="s">
        <v>267</v>
      </c>
      <c r="P104" t="s">
        <v>397</v>
      </c>
      <c r="Q104" t="s">
        <v>1025</v>
      </c>
      <c r="R104">
        <v>20</v>
      </c>
      <c r="S104">
        <v>62</v>
      </c>
      <c r="T104">
        <v>502</v>
      </c>
      <c r="U104">
        <v>-1</v>
      </c>
      <c r="V104" t="b">
        <v>1</v>
      </c>
      <c r="W104" t="s">
        <v>963</v>
      </c>
      <c r="Y104" t="s">
        <v>960</v>
      </c>
      <c r="AF104">
        <v>2122</v>
      </c>
      <c r="AG104" t="s">
        <v>1021</v>
      </c>
      <c r="AV104">
        <f t="shared" si="23"/>
        <v>2</v>
      </c>
      <c r="AW104">
        <v>1</v>
      </c>
      <c r="AX104" t="str">
        <f>D105</f>
        <v>LSA_ATOM_VCHK_K_END_TITO_ATOM_NOM_LFM_1700_ROM</v>
      </c>
      <c r="AY104" t="str">
        <f>D105</f>
        <v>LSA_ATOM_VCHK_K_END_TITO_ATOM_NOM_LFM_1700_ROM</v>
      </c>
    </row>
    <row r="105" spans="1:59" x14ac:dyDescent="0.35">
      <c r="A105" s="22" t="s">
        <v>21</v>
      </c>
      <c r="B105" s="22" t="s">
        <v>62</v>
      </c>
      <c r="C105" s="22" t="str">
        <f>VLOOKUP(B105,templateLookup!A:B,2,0)</f>
        <v>PrimeVminSearchTestMethod</v>
      </c>
      <c r="D105" t="str">
        <f>E105&amp;"_"&amp;F105&amp;"_"&amp;G105&amp;"_"&amp;H105&amp;"_"&amp;A105&amp;"_"&amp;I105&amp;"_"&amp;J105&amp;"_"&amp;K105&amp;"_"&amp;L105&amp;"_"&amp;M105&amp;"_"&amp;N105</f>
        <v>LSA_ATOM_VCHK_K_END_TITO_ATOM_NOM_LFM_1700_ROM</v>
      </c>
      <c r="E105" t="s">
        <v>5</v>
      </c>
      <c r="F105" t="s">
        <v>28</v>
      </c>
      <c r="G105" t="s">
        <v>1018</v>
      </c>
      <c r="H105" t="s">
        <v>253</v>
      </c>
      <c r="I105" t="s">
        <v>260</v>
      </c>
      <c r="J105" t="s">
        <v>28</v>
      </c>
      <c r="K105" t="s">
        <v>284</v>
      </c>
      <c r="L105" t="s">
        <v>285</v>
      </c>
      <c r="M105">
        <v>1700</v>
      </c>
      <c r="N105" t="s">
        <v>6</v>
      </c>
      <c r="O105" t="s">
        <v>267</v>
      </c>
      <c r="P105" t="s">
        <v>397</v>
      </c>
      <c r="Q105" t="s">
        <v>1026</v>
      </c>
      <c r="R105">
        <v>20</v>
      </c>
      <c r="S105">
        <v>62</v>
      </c>
      <c r="T105">
        <v>503</v>
      </c>
      <c r="U105">
        <v>-1</v>
      </c>
      <c r="V105" t="b">
        <v>1</v>
      </c>
      <c r="W105" t="s">
        <v>963</v>
      </c>
      <c r="Y105" t="s">
        <v>960</v>
      </c>
      <c r="AF105">
        <v>2123</v>
      </c>
      <c r="AG105" t="s">
        <v>1021</v>
      </c>
      <c r="AV105">
        <f t="shared" si="23"/>
        <v>2</v>
      </c>
      <c r="AW105">
        <v>1</v>
      </c>
      <c r="AX105" t="str">
        <f>D106</f>
        <v>CAM_ATOM_VCHK_K_END_TITO_ATOM_NOM_LFM_1700_CAM</v>
      </c>
      <c r="AY105" t="str">
        <f>D106</f>
        <v>CAM_ATOM_VCHK_K_END_TITO_ATOM_NOM_LFM_1700_CAM</v>
      </c>
    </row>
    <row r="106" spans="1:59" x14ac:dyDescent="0.35">
      <c r="A106" s="22" t="s">
        <v>21</v>
      </c>
      <c r="B106" s="22" t="s">
        <v>62</v>
      </c>
      <c r="C106" s="22" t="str">
        <f>VLOOKUP(B106,templateLookup!A:B,2,0)</f>
        <v>PrimeVminSearchTestMethod</v>
      </c>
      <c r="D106" t="str">
        <f>E106&amp;"_"&amp;F106&amp;"_"&amp;G106&amp;"_"&amp;H106&amp;"_"&amp;A106&amp;"_"&amp;I106&amp;"_"&amp;J106&amp;"_"&amp;K106&amp;"_"&amp;L106&amp;"_"&amp;M106&amp;"_"&amp;N106</f>
        <v>CAM_ATOM_VCHK_K_END_TITO_ATOM_NOM_LFM_1700_CAM</v>
      </c>
      <c r="E106" t="s">
        <v>1027</v>
      </c>
      <c r="F106" t="s">
        <v>28</v>
      </c>
      <c r="G106" t="s">
        <v>1018</v>
      </c>
      <c r="H106" t="s">
        <v>253</v>
      </c>
      <c r="I106" t="s">
        <v>260</v>
      </c>
      <c r="J106" t="s">
        <v>28</v>
      </c>
      <c r="K106" t="s">
        <v>284</v>
      </c>
      <c r="L106" t="s">
        <v>285</v>
      </c>
      <c r="M106">
        <v>1700</v>
      </c>
      <c r="N106" t="s">
        <v>1027</v>
      </c>
      <c r="O106" t="s">
        <v>267</v>
      </c>
      <c r="P106" t="s">
        <v>397</v>
      </c>
      <c r="Q106" t="s">
        <v>1028</v>
      </c>
      <c r="R106">
        <v>20</v>
      </c>
      <c r="S106">
        <v>62</v>
      </c>
      <c r="T106">
        <v>504</v>
      </c>
      <c r="U106">
        <v>-1</v>
      </c>
      <c r="V106" t="b">
        <v>1</v>
      </c>
      <c r="W106" t="s">
        <v>963</v>
      </c>
      <c r="Y106" t="s">
        <v>960</v>
      </c>
      <c r="AF106">
        <v>2124</v>
      </c>
      <c r="AG106" t="s">
        <v>1021</v>
      </c>
      <c r="AV106">
        <f t="shared" si="23"/>
        <v>2</v>
      </c>
      <c r="AW106">
        <v>1</v>
      </c>
      <c r="AX106">
        <v>1</v>
      </c>
      <c r="AY106">
        <v>1</v>
      </c>
    </row>
    <row r="107" spans="1:59" x14ac:dyDescent="0.35">
      <c r="A107" s="21" t="s">
        <v>21</v>
      </c>
      <c r="B107" s="21" t="s">
        <v>50</v>
      </c>
      <c r="C107" s="21" t="str">
        <f>VLOOKUP(B107,templateLookup!A:B,2,0)</f>
        <v>COMPOSITE</v>
      </c>
      <c r="D107" s="10"/>
    </row>
    <row r="108" spans="1:59" x14ac:dyDescent="0.35">
      <c r="A108" s="14" t="s">
        <v>21</v>
      </c>
      <c r="B108" s="14" t="s">
        <v>49</v>
      </c>
      <c r="C108" s="14" t="str">
        <f>VLOOKUP(B108,templateLookup!A:B,2,0)</f>
        <v>COMPOSITE</v>
      </c>
      <c r="D108" s="10" t="s">
        <v>1029</v>
      </c>
      <c r="F108" t="s">
        <v>28</v>
      </c>
      <c r="AV108">
        <f>COUNTA(AX108:BG108)</f>
        <v>2</v>
      </c>
      <c r="AW108">
        <v>1</v>
      </c>
      <c r="AX108" t="str">
        <f>D113</f>
        <v>VMAX</v>
      </c>
      <c r="AY108" t="str">
        <f>D113</f>
        <v>VMAX</v>
      </c>
    </row>
    <row r="109" spans="1:59" x14ac:dyDescent="0.35">
      <c r="A109" s="15" t="s">
        <v>21</v>
      </c>
      <c r="B109" s="15" t="s">
        <v>62</v>
      </c>
      <c r="C109" s="15" t="str">
        <f>VLOOKUP(B109,templateLookup!A:B,2,0)</f>
        <v>PrimeVminSearchTestMethod</v>
      </c>
      <c r="D109" t="str">
        <f>E109&amp;"_"&amp;F109&amp;"_"&amp;G109&amp;"_"&amp;H109&amp;"_"&amp;A109&amp;"_"&amp;I109&amp;"_"&amp;J109&amp;"_"&amp;K109&amp;"_"&amp;L109&amp;"_"&amp;M109&amp;"_"&amp;N109</f>
        <v>SSA_ATOM_VCHK_E_END_TITO_ATOML_NOM_LFM_1700_L2_ALL_PMOVI</v>
      </c>
      <c r="E109" t="s">
        <v>4</v>
      </c>
      <c r="F109" t="s">
        <v>28</v>
      </c>
      <c r="G109" t="s">
        <v>1018</v>
      </c>
      <c r="H109" t="s">
        <v>207</v>
      </c>
      <c r="I109" t="s">
        <v>260</v>
      </c>
      <c r="J109" t="s">
        <v>914</v>
      </c>
      <c r="K109" t="s">
        <v>284</v>
      </c>
      <c r="L109" t="s">
        <v>285</v>
      </c>
      <c r="M109">
        <v>1700</v>
      </c>
      <c r="N109" t="s">
        <v>1030</v>
      </c>
      <c r="O109" t="s">
        <v>267</v>
      </c>
      <c r="P109" t="s">
        <v>397</v>
      </c>
      <c r="Q109" t="s">
        <v>1031</v>
      </c>
      <c r="R109">
        <v>60</v>
      </c>
      <c r="S109">
        <v>62</v>
      </c>
      <c r="T109">
        <v>510</v>
      </c>
      <c r="U109">
        <v>1</v>
      </c>
      <c r="V109" t="b">
        <v>0</v>
      </c>
      <c r="W109" t="s">
        <v>917</v>
      </c>
      <c r="Y109" t="s">
        <v>960</v>
      </c>
      <c r="AF109">
        <v>2130</v>
      </c>
      <c r="AG109" t="s">
        <v>1021</v>
      </c>
      <c r="AV109">
        <f>COUNTA(AX109:BG109)</f>
        <v>2</v>
      </c>
      <c r="AW109">
        <v>1</v>
      </c>
      <c r="AX109" t="str">
        <f>D110</f>
        <v>LSA_ATOM_VCHK_E_END_TITO_ATOML_NOM_LFM_1700_L2_LRU_PMOVI</v>
      </c>
      <c r="AY109" t="str">
        <f>D110</f>
        <v>LSA_ATOM_VCHK_E_END_TITO_ATOML_NOM_LFM_1700_L2_LRU_PMOVI</v>
      </c>
    </row>
    <row r="110" spans="1:59" x14ac:dyDescent="0.35">
      <c r="A110" s="15" t="s">
        <v>21</v>
      </c>
      <c r="B110" s="15" t="s">
        <v>62</v>
      </c>
      <c r="C110" s="15" t="str">
        <f>VLOOKUP(B110,templateLookup!A:B,2,0)</f>
        <v>PrimeVminSearchTestMethod</v>
      </c>
      <c r="D110" t="str">
        <f>E110&amp;"_"&amp;F110&amp;"_"&amp;G110&amp;"_"&amp;H110&amp;"_"&amp;A110&amp;"_"&amp;I110&amp;"_"&amp;J110&amp;"_"&amp;K110&amp;"_"&amp;L110&amp;"_"&amp;M110&amp;"_"&amp;N110</f>
        <v>LSA_ATOM_VCHK_E_END_TITO_ATOML_NOM_LFM_1700_L2_LRU_PMOVI</v>
      </c>
      <c r="E110" t="s">
        <v>5</v>
      </c>
      <c r="F110" t="s">
        <v>28</v>
      </c>
      <c r="G110" t="s">
        <v>1018</v>
      </c>
      <c r="H110" t="s">
        <v>207</v>
      </c>
      <c r="I110" t="s">
        <v>260</v>
      </c>
      <c r="J110" t="s">
        <v>914</v>
      </c>
      <c r="K110" t="s">
        <v>284</v>
      </c>
      <c r="L110" t="s">
        <v>285</v>
      </c>
      <c r="M110">
        <v>1700</v>
      </c>
      <c r="N110" t="s">
        <v>1032</v>
      </c>
      <c r="O110" t="s">
        <v>267</v>
      </c>
      <c r="P110" t="s">
        <v>397</v>
      </c>
      <c r="Q110" t="s">
        <v>1033</v>
      </c>
      <c r="R110">
        <v>20</v>
      </c>
      <c r="S110">
        <v>62</v>
      </c>
      <c r="T110">
        <v>511</v>
      </c>
      <c r="U110">
        <v>1</v>
      </c>
      <c r="V110" t="b">
        <v>0</v>
      </c>
      <c r="W110" t="s">
        <v>963</v>
      </c>
      <c r="Y110" t="s">
        <v>960</v>
      </c>
      <c r="AF110">
        <v>2131</v>
      </c>
      <c r="AG110" t="s">
        <v>1021</v>
      </c>
      <c r="AV110">
        <f>COUNTA(AX110:BG110)</f>
        <v>2</v>
      </c>
      <c r="AW110">
        <v>1</v>
      </c>
      <c r="AX110" t="str">
        <f>D111</f>
        <v>LSA_ATOM_VCHK_E_END_TITO_ATOM_NOM_LFM_1700_RF_ALL_PMOVI</v>
      </c>
      <c r="AY110" t="str">
        <f>D111</f>
        <v>LSA_ATOM_VCHK_E_END_TITO_ATOM_NOM_LFM_1700_RF_ALL_PMOVI</v>
      </c>
    </row>
    <row r="111" spans="1:59" x14ac:dyDescent="0.35">
      <c r="A111" s="15" t="s">
        <v>21</v>
      </c>
      <c r="B111" s="15" t="s">
        <v>62</v>
      </c>
      <c r="C111" s="15" t="str">
        <f>VLOOKUP(B111,templateLookup!A:B,2,0)</f>
        <v>PrimeVminSearchTestMethod</v>
      </c>
      <c r="D111" t="str">
        <f>E111&amp;"_"&amp;F111&amp;"_"&amp;G111&amp;"_"&amp;H111&amp;"_"&amp;A111&amp;"_"&amp;I111&amp;"_"&amp;J111&amp;"_"&amp;K111&amp;"_"&amp;L111&amp;"_"&amp;M111&amp;"_"&amp;N111</f>
        <v>LSA_ATOM_VCHK_E_END_TITO_ATOM_NOM_LFM_1700_RF_ALL_PMOVI</v>
      </c>
      <c r="E111" t="s">
        <v>5</v>
      </c>
      <c r="F111" t="s">
        <v>28</v>
      </c>
      <c r="G111" t="s">
        <v>1018</v>
      </c>
      <c r="H111" t="s">
        <v>207</v>
      </c>
      <c r="I111" t="s">
        <v>260</v>
      </c>
      <c r="J111" t="s">
        <v>28</v>
      </c>
      <c r="K111" t="s">
        <v>284</v>
      </c>
      <c r="L111" t="s">
        <v>285</v>
      </c>
      <c r="M111">
        <v>1700</v>
      </c>
      <c r="N111" t="s">
        <v>1034</v>
      </c>
      <c r="O111" t="s">
        <v>267</v>
      </c>
      <c r="P111" t="s">
        <v>397</v>
      </c>
      <c r="Q111" t="s">
        <v>1035</v>
      </c>
      <c r="R111">
        <v>20</v>
      </c>
      <c r="S111">
        <v>62</v>
      </c>
      <c r="T111">
        <v>512</v>
      </c>
      <c r="U111">
        <v>1</v>
      </c>
      <c r="V111" t="b">
        <v>0</v>
      </c>
      <c r="W111" t="s">
        <v>963</v>
      </c>
      <c r="Y111" t="s">
        <v>960</v>
      </c>
      <c r="AF111">
        <v>2132</v>
      </c>
      <c r="AG111" t="s">
        <v>1021</v>
      </c>
      <c r="AV111">
        <f>COUNTA(AX111:BG111)</f>
        <v>2</v>
      </c>
      <c r="AW111">
        <v>1</v>
      </c>
      <c r="AX111">
        <v>1</v>
      </c>
      <c r="AY111">
        <v>1</v>
      </c>
    </row>
    <row r="112" spans="1:59" x14ac:dyDescent="0.35">
      <c r="A112" s="14" t="s">
        <v>21</v>
      </c>
      <c r="B112" s="14" t="s">
        <v>50</v>
      </c>
      <c r="C112" s="14" t="str">
        <f>VLOOKUP(B112,templateLookup!A:B,2,0)</f>
        <v>COMPOSITE</v>
      </c>
      <c r="D112" s="10"/>
    </row>
    <row r="113" spans="1:59" x14ac:dyDescent="0.35">
      <c r="A113" s="20" t="s">
        <v>21</v>
      </c>
      <c r="B113" s="20" t="s">
        <v>49</v>
      </c>
      <c r="C113" s="20" t="str">
        <f>VLOOKUP(B113,templateLookup!A:B,2,0)</f>
        <v>COMPOSITE</v>
      </c>
      <c r="D113" s="10" t="s">
        <v>1036</v>
      </c>
      <c r="F113" t="s">
        <v>28</v>
      </c>
      <c r="AV113">
        <f>COUNTA(AX113:BG113)</f>
        <v>2</v>
      </c>
      <c r="AW113">
        <v>1</v>
      </c>
      <c r="AX113">
        <v>1</v>
      </c>
      <c r="AY113">
        <v>1</v>
      </c>
    </row>
    <row r="114" spans="1:59" x14ac:dyDescent="0.35">
      <c r="A114" s="16" t="s">
        <v>21</v>
      </c>
      <c r="B114" s="16" t="s">
        <v>62</v>
      </c>
      <c r="C114" s="16" t="str">
        <f>VLOOKUP(B114,templateLookup!A:B,2,0)</f>
        <v>PrimeVminSearchTestMethod</v>
      </c>
      <c r="D114" t="str">
        <f>E114&amp;"_"&amp;F114&amp;"_"&amp;G114&amp;"_"&amp;H114&amp;"_"&amp;A114&amp;"_"&amp;I114&amp;"_"&amp;J114&amp;"_"&amp;K114&amp;"_"&amp;L114&amp;"_"&amp;M114&amp;"_"&amp;N114</f>
        <v>ALL_ATOM_VCHK_K_END_TITO_ATOM_MAX_LFM_1700_LSA_ROM</v>
      </c>
      <c r="E114" t="s">
        <v>7</v>
      </c>
      <c r="F114" t="s">
        <v>28</v>
      </c>
      <c r="G114" t="s">
        <v>1018</v>
      </c>
      <c r="H114" t="s">
        <v>253</v>
      </c>
      <c r="I114" t="s">
        <v>260</v>
      </c>
      <c r="J114" t="s">
        <v>28</v>
      </c>
      <c r="K114" t="s">
        <v>357</v>
      </c>
      <c r="L114" t="s">
        <v>285</v>
      </c>
      <c r="M114">
        <v>1700</v>
      </c>
      <c r="N114" t="s">
        <v>1002</v>
      </c>
      <c r="O114" t="s">
        <v>267</v>
      </c>
      <c r="P114" t="s">
        <v>397</v>
      </c>
      <c r="Q114" t="s">
        <v>1037</v>
      </c>
      <c r="R114">
        <v>17</v>
      </c>
      <c r="S114">
        <v>20</v>
      </c>
      <c r="T114">
        <v>310</v>
      </c>
      <c r="U114">
        <v>1</v>
      </c>
      <c r="V114" t="b">
        <v>0</v>
      </c>
      <c r="W114" t="s">
        <v>963</v>
      </c>
      <c r="Y114" t="s">
        <v>960</v>
      </c>
      <c r="AF114">
        <v>2140</v>
      </c>
      <c r="AG114" t="s">
        <v>1021</v>
      </c>
      <c r="AV114">
        <f>COUNTA(AX114:BG114)</f>
        <v>2</v>
      </c>
      <c r="AW114">
        <v>1</v>
      </c>
      <c r="AX114" t="str">
        <f>D115</f>
        <v>SSA_ATOM_VCHK_K_END_TITO_ATOML_MAX_LFM_1700_SSA</v>
      </c>
      <c r="AY114" t="str">
        <f>D115</f>
        <v>SSA_ATOM_VCHK_K_END_TITO_ATOML_MAX_LFM_1700_SSA</v>
      </c>
    </row>
    <row r="115" spans="1:59" x14ac:dyDescent="0.35">
      <c r="A115" s="16" t="s">
        <v>21</v>
      </c>
      <c r="B115" s="16" t="s">
        <v>62</v>
      </c>
      <c r="C115" s="16" t="str">
        <f>VLOOKUP(B115,templateLookup!A:B,2,0)</f>
        <v>PrimeVminSearchTestMethod</v>
      </c>
      <c r="D115" t="str">
        <f>E115&amp;"_"&amp;F115&amp;"_"&amp;G115&amp;"_"&amp;H115&amp;"_"&amp;A115&amp;"_"&amp;I115&amp;"_"&amp;J115&amp;"_"&amp;K115&amp;"_"&amp;L115&amp;"_"&amp;M115&amp;"_"&amp;N115</f>
        <v>SSA_ATOM_VCHK_K_END_TITO_ATOML_MAX_LFM_1700_SSA</v>
      </c>
      <c r="E115" t="s">
        <v>4</v>
      </c>
      <c r="F115" t="s">
        <v>28</v>
      </c>
      <c r="G115" t="s">
        <v>1018</v>
      </c>
      <c r="H115" t="s">
        <v>253</v>
      </c>
      <c r="I115" t="s">
        <v>260</v>
      </c>
      <c r="J115" t="s">
        <v>914</v>
      </c>
      <c r="K115" t="s">
        <v>357</v>
      </c>
      <c r="L115" t="s">
        <v>285</v>
      </c>
      <c r="M115">
        <v>1700</v>
      </c>
      <c r="N115" t="s">
        <v>4</v>
      </c>
      <c r="O115" t="s">
        <v>267</v>
      </c>
      <c r="P115" t="s">
        <v>397</v>
      </c>
      <c r="Q115" t="s">
        <v>1025</v>
      </c>
      <c r="R115">
        <v>17</v>
      </c>
      <c r="S115">
        <v>60</v>
      </c>
      <c r="T115">
        <v>311</v>
      </c>
      <c r="U115" s="6">
        <v>1</v>
      </c>
      <c r="V115" s="6" t="b">
        <v>0</v>
      </c>
      <c r="W115" t="s">
        <v>917</v>
      </c>
      <c r="Y115" t="s">
        <v>960</v>
      </c>
      <c r="AF115">
        <v>2141</v>
      </c>
      <c r="AG115" t="s">
        <v>1021</v>
      </c>
      <c r="AV115">
        <f>COUNTA(AX115:BG115)</f>
        <v>2</v>
      </c>
      <c r="AW115">
        <v>1</v>
      </c>
      <c r="AX115" t="str">
        <f>D116</f>
        <v>ALL_ATOM_VCHK_K_END_TITO_ATOM_MAX_HFM_3900_LSA_ROM</v>
      </c>
      <c r="AY115" t="str">
        <f>D116</f>
        <v>ALL_ATOM_VCHK_K_END_TITO_ATOM_MAX_HFM_3900_LSA_ROM</v>
      </c>
    </row>
    <row r="116" spans="1:59" x14ac:dyDescent="0.35">
      <c r="A116" s="16" t="s">
        <v>21</v>
      </c>
      <c r="B116" s="16" t="s">
        <v>62</v>
      </c>
      <c r="C116" s="16" t="str">
        <f>VLOOKUP(B116,templateLookup!A:B,2,0)</f>
        <v>PrimeVminSearchTestMethod</v>
      </c>
      <c r="D116" t="str">
        <f>E116&amp;"_"&amp;F116&amp;"_"&amp;G116&amp;"_"&amp;H116&amp;"_"&amp;A116&amp;"_"&amp;I116&amp;"_"&amp;J116&amp;"_"&amp;K116&amp;"_"&amp;L116&amp;"_"&amp;M116&amp;"_"&amp;N116</f>
        <v>ALL_ATOM_VCHK_K_END_TITO_ATOM_MAX_HFM_3900_LSA_ROM</v>
      </c>
      <c r="E116" t="s">
        <v>7</v>
      </c>
      <c r="F116" t="s">
        <v>28</v>
      </c>
      <c r="G116" t="s">
        <v>1018</v>
      </c>
      <c r="H116" t="s">
        <v>253</v>
      </c>
      <c r="I116" t="s">
        <v>260</v>
      </c>
      <c r="J116" t="s">
        <v>28</v>
      </c>
      <c r="K116" t="s">
        <v>357</v>
      </c>
      <c r="L116" t="s">
        <v>1038</v>
      </c>
      <c r="M116">
        <v>3900</v>
      </c>
      <c r="N116" t="s">
        <v>1002</v>
      </c>
      <c r="O116" t="s">
        <v>267</v>
      </c>
      <c r="P116" t="s">
        <v>397</v>
      </c>
      <c r="Q116" t="s">
        <v>1037</v>
      </c>
      <c r="R116">
        <v>17</v>
      </c>
      <c r="S116">
        <v>20</v>
      </c>
      <c r="T116">
        <v>312</v>
      </c>
      <c r="U116" s="6">
        <v>1</v>
      </c>
      <c r="V116" s="6" t="b">
        <v>0</v>
      </c>
      <c r="W116" t="s">
        <v>963</v>
      </c>
      <c r="Y116" t="s">
        <v>960</v>
      </c>
      <c r="AF116">
        <v>2142</v>
      </c>
      <c r="AG116" t="s">
        <v>1021</v>
      </c>
      <c r="AV116">
        <f>COUNTA(AX116:BG116)</f>
        <v>2</v>
      </c>
      <c r="AW116">
        <v>1</v>
      </c>
      <c r="AX116" t="str">
        <f>D117</f>
        <v>SSA_ATOM_VCHK_K_END_TITO_ATOML_MAX_HFM_3900_SSA</v>
      </c>
      <c r="AY116" t="str">
        <f>D117</f>
        <v>SSA_ATOM_VCHK_K_END_TITO_ATOML_MAX_HFM_3900_SSA</v>
      </c>
    </row>
    <row r="117" spans="1:59" x14ac:dyDescent="0.35">
      <c r="A117" s="16" t="s">
        <v>21</v>
      </c>
      <c r="B117" s="16" t="s">
        <v>62</v>
      </c>
      <c r="C117" s="16" t="str">
        <f>VLOOKUP(B117,templateLookup!A:B,2,0)</f>
        <v>PrimeVminSearchTestMethod</v>
      </c>
      <c r="D117" t="str">
        <f>E117&amp;"_"&amp;F117&amp;"_"&amp;G117&amp;"_"&amp;H117&amp;"_"&amp;A117&amp;"_"&amp;I117&amp;"_"&amp;J117&amp;"_"&amp;K117&amp;"_"&amp;L117&amp;"_"&amp;M117&amp;"_"&amp;N117</f>
        <v>SSA_ATOM_VCHK_K_END_TITO_ATOML_MAX_HFM_3900_SSA</v>
      </c>
      <c r="E117" t="s">
        <v>4</v>
      </c>
      <c r="F117" t="s">
        <v>28</v>
      </c>
      <c r="G117" t="s">
        <v>1018</v>
      </c>
      <c r="H117" t="s">
        <v>253</v>
      </c>
      <c r="I117" t="s">
        <v>260</v>
      </c>
      <c r="J117" t="s">
        <v>914</v>
      </c>
      <c r="K117" t="s">
        <v>357</v>
      </c>
      <c r="L117" t="s">
        <v>1038</v>
      </c>
      <c r="M117">
        <v>3900</v>
      </c>
      <c r="N117" t="s">
        <v>4</v>
      </c>
      <c r="O117" t="s">
        <v>267</v>
      </c>
      <c r="P117" t="s">
        <v>397</v>
      </c>
      <c r="Q117" t="s">
        <v>1025</v>
      </c>
      <c r="R117">
        <v>17</v>
      </c>
      <c r="S117">
        <v>60</v>
      </c>
      <c r="T117">
        <v>313</v>
      </c>
      <c r="U117">
        <v>1</v>
      </c>
      <c r="V117" t="b">
        <v>0</v>
      </c>
      <c r="W117" t="s">
        <v>917</v>
      </c>
      <c r="Y117" t="s">
        <v>960</v>
      </c>
      <c r="AF117">
        <v>2143</v>
      </c>
      <c r="AG117" t="s">
        <v>1021</v>
      </c>
      <c r="AV117">
        <f>COUNTA(AX117:BG117)</f>
        <v>2</v>
      </c>
      <c r="AW117">
        <v>1</v>
      </c>
      <c r="AX117">
        <v>1</v>
      </c>
      <c r="AY117">
        <v>1</v>
      </c>
    </row>
    <row r="118" spans="1:59" x14ac:dyDescent="0.35">
      <c r="A118" s="20" t="s">
        <v>21</v>
      </c>
      <c r="B118" s="20" t="s">
        <v>50</v>
      </c>
      <c r="C118" s="20" t="str">
        <f>VLOOKUP(B118,templateLookup!A:B,2,0)</f>
        <v>COMPOSITE</v>
      </c>
      <c r="D118" s="10"/>
    </row>
    <row r="119" spans="1:59" x14ac:dyDescent="0.35">
      <c r="A119" s="18" t="s">
        <v>21</v>
      </c>
      <c r="B119" s="18" t="s">
        <v>49</v>
      </c>
      <c r="C119" s="18" t="str">
        <f>VLOOKUP(B119,templateLookup!A:B,2,0)</f>
        <v>COMPOSITE</v>
      </c>
      <c r="D119" s="10" t="s">
        <v>1011</v>
      </c>
      <c r="F119" t="s">
        <v>28</v>
      </c>
      <c r="AV119">
        <f t="shared" ref="AV119:AV124" si="24">COUNTA(AX119:BG119)</f>
        <v>2</v>
      </c>
      <c r="AW119">
        <v>1</v>
      </c>
      <c r="AX119">
        <v>1</v>
      </c>
      <c r="AY119">
        <v>1</v>
      </c>
    </row>
    <row r="120" spans="1:59" x14ac:dyDescent="0.35">
      <c r="A120" s="19" t="s">
        <v>21</v>
      </c>
      <c r="B120" s="19" t="s">
        <v>99</v>
      </c>
      <c r="C120" s="19" t="str">
        <f>VLOOKUP(B120,templateLookup!A:B,2,0)</f>
        <v>PrimeShmooTestMethod</v>
      </c>
      <c r="D120" t="str">
        <f>E120&amp;"_"&amp;F120&amp;"_"&amp;G120&amp;"_"&amp;H120&amp;"_"&amp;A120&amp;"_"&amp;I120&amp;"_"&amp;J120&amp;"_"&amp;K120&amp;"_"&amp;L120&amp;"_"&amp;M120&amp;"_"&amp;N120</f>
        <v>SSA_ATOM_SHMOO_E_END_TITO_ATOML_NOM_LFM_1700_L2_ALL</v>
      </c>
      <c r="E120" t="s">
        <v>4</v>
      </c>
      <c r="F120" t="s">
        <v>28</v>
      </c>
      <c r="G120" t="s">
        <v>1011</v>
      </c>
      <c r="H120" t="s">
        <v>207</v>
      </c>
      <c r="I120" t="s">
        <v>260</v>
      </c>
      <c r="J120" t="s">
        <v>914</v>
      </c>
      <c r="K120" t="s">
        <v>284</v>
      </c>
      <c r="L120" t="s">
        <v>285</v>
      </c>
      <c r="M120">
        <v>1700</v>
      </c>
      <c r="N120" t="s">
        <v>1019</v>
      </c>
      <c r="O120" t="s">
        <v>1012</v>
      </c>
      <c r="P120" t="s">
        <v>397</v>
      </c>
      <c r="Q120" t="s">
        <v>1020</v>
      </c>
      <c r="R120">
        <v>60</v>
      </c>
      <c r="S120">
        <v>62</v>
      </c>
      <c r="T120">
        <v>650</v>
      </c>
      <c r="U120">
        <v>1</v>
      </c>
      <c r="V120" t="b">
        <v>0</v>
      </c>
      <c r="W120" t="s">
        <v>917</v>
      </c>
      <c r="X120" t="s">
        <v>1014</v>
      </c>
      <c r="AV120">
        <f t="shared" si="24"/>
        <v>4</v>
      </c>
      <c r="AW120" t="s">
        <v>920</v>
      </c>
      <c r="AX120" t="str">
        <f t="shared" ref="AX120:BA123" si="25">$D121</f>
        <v>LSA_ATOM_SHMOO_E_END_TITO_ATOML_NOM_LFM_1700_L2_LRU</v>
      </c>
      <c r="AY120" t="str">
        <f t="shared" si="25"/>
        <v>LSA_ATOM_SHMOO_E_END_TITO_ATOML_NOM_LFM_1700_L2_LRU</v>
      </c>
      <c r="AZ120" t="str">
        <f t="shared" si="25"/>
        <v>LSA_ATOM_SHMOO_E_END_TITO_ATOML_NOM_LFM_1700_L2_LRU</v>
      </c>
      <c r="BA120" t="str">
        <f t="shared" si="25"/>
        <v>LSA_ATOM_SHMOO_E_END_TITO_ATOML_NOM_LFM_1700_L2_LRU</v>
      </c>
    </row>
    <row r="121" spans="1:59" x14ac:dyDescent="0.35">
      <c r="A121" s="19" t="s">
        <v>21</v>
      </c>
      <c r="B121" s="19" t="s">
        <v>99</v>
      </c>
      <c r="C121" s="19" t="str">
        <f>VLOOKUP(B121,templateLookup!A:B,2,0)</f>
        <v>PrimeShmooTestMethod</v>
      </c>
      <c r="D121" t="str">
        <f>E121&amp;"_"&amp;F121&amp;"_"&amp;G121&amp;"_"&amp;H121&amp;"_"&amp;A121&amp;"_"&amp;I121&amp;"_"&amp;J121&amp;"_"&amp;K121&amp;"_"&amp;L121&amp;"_"&amp;M121&amp;"_"&amp;N121</f>
        <v>LSA_ATOM_SHMOO_E_END_TITO_ATOML_NOM_LFM_1700_L2_LRU</v>
      </c>
      <c r="E121" t="s">
        <v>5</v>
      </c>
      <c r="F121" t="s">
        <v>28</v>
      </c>
      <c r="G121" t="s">
        <v>1011</v>
      </c>
      <c r="H121" t="s">
        <v>207</v>
      </c>
      <c r="I121" t="s">
        <v>260</v>
      </c>
      <c r="J121" t="s">
        <v>914</v>
      </c>
      <c r="K121" t="s">
        <v>284</v>
      </c>
      <c r="L121" t="s">
        <v>285</v>
      </c>
      <c r="M121">
        <v>1700</v>
      </c>
      <c r="N121" t="s">
        <v>1022</v>
      </c>
      <c r="O121" t="s">
        <v>1012</v>
      </c>
      <c r="P121" t="s">
        <v>397</v>
      </c>
      <c r="Q121" t="s">
        <v>1023</v>
      </c>
      <c r="R121">
        <v>60</v>
      </c>
      <c r="S121">
        <v>62</v>
      </c>
      <c r="T121">
        <v>651</v>
      </c>
      <c r="U121">
        <v>1</v>
      </c>
      <c r="V121" t="b">
        <v>0</v>
      </c>
      <c r="W121" t="s">
        <v>963</v>
      </c>
      <c r="X121" t="s">
        <v>1013</v>
      </c>
      <c r="AV121">
        <f t="shared" si="24"/>
        <v>4</v>
      </c>
      <c r="AW121" t="s">
        <v>920</v>
      </c>
      <c r="AX121" t="str">
        <f t="shared" si="25"/>
        <v>LSA_ATOM_SHMOO_E_END_TITO_ATOM_NOM_LFM_1700_RF_ALL</v>
      </c>
      <c r="AY121" t="str">
        <f t="shared" si="25"/>
        <v>LSA_ATOM_SHMOO_E_END_TITO_ATOM_NOM_LFM_1700_RF_ALL</v>
      </c>
      <c r="AZ121" t="str">
        <f t="shared" si="25"/>
        <v>LSA_ATOM_SHMOO_E_END_TITO_ATOM_NOM_LFM_1700_RF_ALL</v>
      </c>
      <c r="BA121" t="str">
        <f t="shared" si="25"/>
        <v>LSA_ATOM_SHMOO_E_END_TITO_ATOM_NOM_LFM_1700_RF_ALL</v>
      </c>
    </row>
    <row r="122" spans="1:59" x14ac:dyDescent="0.35">
      <c r="A122" s="19" t="s">
        <v>21</v>
      </c>
      <c r="B122" s="19" t="s">
        <v>99</v>
      </c>
      <c r="C122" s="19" t="str">
        <f>VLOOKUP(B122,templateLookup!A:B,2,0)</f>
        <v>PrimeShmooTestMethod</v>
      </c>
      <c r="D122" t="str">
        <f>E122&amp;"_"&amp;F122&amp;"_"&amp;G122&amp;"_"&amp;H122&amp;"_"&amp;A122&amp;"_"&amp;I122&amp;"_"&amp;J122&amp;"_"&amp;K122&amp;"_"&amp;L122&amp;"_"&amp;M122&amp;"_"&amp;N122</f>
        <v>LSA_ATOM_SHMOO_E_END_TITO_ATOM_NOM_LFM_1700_RF_ALL</v>
      </c>
      <c r="E122" t="s">
        <v>5</v>
      </c>
      <c r="F122" t="s">
        <v>28</v>
      </c>
      <c r="G122" t="s">
        <v>1011</v>
      </c>
      <c r="H122" t="s">
        <v>207</v>
      </c>
      <c r="I122" t="s">
        <v>260</v>
      </c>
      <c r="J122" t="s">
        <v>28</v>
      </c>
      <c r="K122" t="s">
        <v>284</v>
      </c>
      <c r="L122" t="s">
        <v>285</v>
      </c>
      <c r="M122">
        <v>1700</v>
      </c>
      <c r="N122" t="s">
        <v>1024</v>
      </c>
      <c r="O122" t="s">
        <v>1012</v>
      </c>
      <c r="P122" t="s">
        <v>397</v>
      </c>
      <c r="Q122" t="s">
        <v>1025</v>
      </c>
      <c r="R122">
        <v>20</v>
      </c>
      <c r="S122">
        <v>62</v>
      </c>
      <c r="T122">
        <v>652</v>
      </c>
      <c r="U122">
        <v>1</v>
      </c>
      <c r="V122" t="b">
        <v>0</v>
      </c>
      <c r="W122" t="s">
        <v>963</v>
      </c>
      <c r="X122" t="s">
        <v>1013</v>
      </c>
      <c r="AV122">
        <f t="shared" si="24"/>
        <v>4</v>
      </c>
      <c r="AW122" t="s">
        <v>920</v>
      </c>
      <c r="AX122" t="str">
        <f t="shared" si="25"/>
        <v>LSA_ATOM_SHMOO_E_END_TITO_ATOM_NOM_LFM_1700_ROM</v>
      </c>
      <c r="AY122" t="str">
        <f t="shared" si="25"/>
        <v>LSA_ATOM_SHMOO_E_END_TITO_ATOM_NOM_LFM_1700_ROM</v>
      </c>
      <c r="AZ122" t="str">
        <f t="shared" si="25"/>
        <v>LSA_ATOM_SHMOO_E_END_TITO_ATOM_NOM_LFM_1700_ROM</v>
      </c>
      <c r="BA122" t="str">
        <f t="shared" si="25"/>
        <v>LSA_ATOM_SHMOO_E_END_TITO_ATOM_NOM_LFM_1700_ROM</v>
      </c>
    </row>
    <row r="123" spans="1:59" x14ac:dyDescent="0.35">
      <c r="A123" s="19" t="s">
        <v>21</v>
      </c>
      <c r="B123" s="19" t="s">
        <v>99</v>
      </c>
      <c r="C123" s="19" t="str">
        <f>VLOOKUP(B123,templateLookup!A:B,2,0)</f>
        <v>PrimeShmooTestMethod</v>
      </c>
      <c r="D123" t="str">
        <f>E123&amp;"_"&amp;F123&amp;"_"&amp;G123&amp;"_"&amp;H123&amp;"_"&amp;A123&amp;"_"&amp;I123&amp;"_"&amp;J123&amp;"_"&amp;K123&amp;"_"&amp;L123&amp;"_"&amp;M123&amp;"_"&amp;N123</f>
        <v>LSA_ATOM_SHMOO_E_END_TITO_ATOM_NOM_LFM_1700_ROM</v>
      </c>
      <c r="E123" t="s">
        <v>5</v>
      </c>
      <c r="F123" t="s">
        <v>28</v>
      </c>
      <c r="G123" t="s">
        <v>1011</v>
      </c>
      <c r="H123" t="s">
        <v>207</v>
      </c>
      <c r="I123" t="s">
        <v>260</v>
      </c>
      <c r="J123" t="s">
        <v>28</v>
      </c>
      <c r="K123" t="s">
        <v>284</v>
      </c>
      <c r="L123" t="s">
        <v>285</v>
      </c>
      <c r="M123">
        <v>1700</v>
      </c>
      <c r="N123" t="s">
        <v>6</v>
      </c>
      <c r="O123" t="s">
        <v>1012</v>
      </c>
      <c r="P123" t="s">
        <v>397</v>
      </c>
      <c r="Q123" t="s">
        <v>1026</v>
      </c>
      <c r="R123">
        <v>20</v>
      </c>
      <c r="S123">
        <v>62</v>
      </c>
      <c r="T123">
        <v>653</v>
      </c>
      <c r="U123" s="6">
        <v>1</v>
      </c>
      <c r="V123" s="6" t="b">
        <v>0</v>
      </c>
      <c r="W123" t="s">
        <v>963</v>
      </c>
      <c r="X123" t="s">
        <v>1013</v>
      </c>
      <c r="AV123">
        <f t="shared" si="24"/>
        <v>4</v>
      </c>
      <c r="AW123" t="s">
        <v>920</v>
      </c>
      <c r="AX123" t="str">
        <f t="shared" si="25"/>
        <v>CAM_ATOM_SHMOO_E_END_TITO_ATOM_NOM_LFM_1700_CAM</v>
      </c>
      <c r="AY123" t="str">
        <f t="shared" si="25"/>
        <v>CAM_ATOM_SHMOO_E_END_TITO_ATOM_NOM_LFM_1700_CAM</v>
      </c>
      <c r="AZ123" t="str">
        <f t="shared" si="25"/>
        <v>CAM_ATOM_SHMOO_E_END_TITO_ATOM_NOM_LFM_1700_CAM</v>
      </c>
      <c r="BA123" t="str">
        <f t="shared" si="25"/>
        <v>CAM_ATOM_SHMOO_E_END_TITO_ATOM_NOM_LFM_1700_CAM</v>
      </c>
    </row>
    <row r="124" spans="1:59" x14ac:dyDescent="0.35">
      <c r="A124" s="19" t="s">
        <v>21</v>
      </c>
      <c r="B124" s="19" t="s">
        <v>99</v>
      </c>
      <c r="C124" s="19" t="str">
        <f>VLOOKUP(B124,templateLookup!A:B,2,0)</f>
        <v>PrimeShmooTestMethod</v>
      </c>
      <c r="D124" t="str">
        <f>E124&amp;"_"&amp;F124&amp;"_"&amp;G124&amp;"_"&amp;H124&amp;"_"&amp;A124&amp;"_"&amp;I124&amp;"_"&amp;J124&amp;"_"&amp;K124&amp;"_"&amp;L124&amp;"_"&amp;M124&amp;"_"&amp;N124</f>
        <v>CAM_ATOM_SHMOO_E_END_TITO_ATOM_NOM_LFM_1700_CAM</v>
      </c>
      <c r="E124" t="s">
        <v>1027</v>
      </c>
      <c r="F124" t="s">
        <v>28</v>
      </c>
      <c r="G124" t="s">
        <v>1011</v>
      </c>
      <c r="H124" t="s">
        <v>207</v>
      </c>
      <c r="I124" t="s">
        <v>260</v>
      </c>
      <c r="J124" t="s">
        <v>28</v>
      </c>
      <c r="K124" t="s">
        <v>284</v>
      </c>
      <c r="L124" t="s">
        <v>285</v>
      </c>
      <c r="M124">
        <v>1700</v>
      </c>
      <c r="N124" t="s">
        <v>1027</v>
      </c>
      <c r="O124" t="s">
        <v>1012</v>
      </c>
      <c r="P124" t="s">
        <v>397</v>
      </c>
      <c r="Q124" t="s">
        <v>1028</v>
      </c>
      <c r="R124">
        <v>20</v>
      </c>
      <c r="S124">
        <v>62</v>
      </c>
      <c r="T124">
        <v>654</v>
      </c>
      <c r="U124" s="6">
        <v>1</v>
      </c>
      <c r="V124" s="6" t="b">
        <v>0</v>
      </c>
      <c r="W124" t="s">
        <v>963</v>
      </c>
      <c r="X124" t="s">
        <v>1013</v>
      </c>
      <c r="AV124">
        <f t="shared" si="24"/>
        <v>4</v>
      </c>
      <c r="AW124" t="s">
        <v>920</v>
      </c>
      <c r="AX124">
        <v>1</v>
      </c>
      <c r="AY124">
        <v>1</v>
      </c>
      <c r="AZ124">
        <v>1</v>
      </c>
      <c r="BA124">
        <v>1</v>
      </c>
    </row>
    <row r="125" spans="1:59" x14ac:dyDescent="0.35">
      <c r="A125" s="18" t="s">
        <v>21</v>
      </c>
      <c r="B125" s="18" t="s">
        <v>50</v>
      </c>
      <c r="C125" s="18" t="str">
        <f>VLOOKUP(B125,templateLookup!A:B,2,0)</f>
        <v>COMPOSITE</v>
      </c>
      <c r="D125" s="10"/>
    </row>
    <row r="126" spans="1:59" x14ac:dyDescent="0.35">
      <c r="A126" s="5" t="s">
        <v>21</v>
      </c>
      <c r="B126" s="5" t="s">
        <v>50</v>
      </c>
      <c r="C126" s="5" t="str">
        <f>VLOOKUP(B126,templateLookup!A:B,2,0)</f>
        <v>COMPOSITE</v>
      </c>
      <c r="D126" s="5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W126" s="6"/>
      <c r="X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s="3" customFormat="1" x14ac:dyDescent="0.35">
      <c r="A127" s="17" t="s">
        <v>1039</v>
      </c>
      <c r="B127" s="17" t="s">
        <v>49</v>
      </c>
      <c r="C127" s="17" t="str">
        <f>VLOOKUP(B127,templateLookup!A:B,2,0)</f>
        <v>COMPOSITE</v>
      </c>
      <c r="D127" s="17" t="s">
        <v>1039</v>
      </c>
      <c r="F127" s="3" t="s">
        <v>28</v>
      </c>
    </row>
    <row r="128" spans="1:59" s="3" customFormat="1" x14ac:dyDescent="0.35">
      <c r="A128" s="3" t="s">
        <v>1039</v>
      </c>
      <c r="B128" s="3" t="s">
        <v>67</v>
      </c>
      <c r="C128" s="3" t="str">
        <f>VLOOKUP(B128,templateLookup!A:B,2,0)</f>
        <v>PrimeVminSearchTestMethod</v>
      </c>
      <c r="D128" t="str">
        <f>E128&amp;"_"&amp;F128&amp;"_"&amp;G128&amp;"_"&amp;H128&amp;"_"&amp;A128&amp;"_"&amp;I128&amp;"_"&amp;J128&amp;"_"&amp;K128&amp;"_"&amp;L128&amp;"_"&amp;M128&amp;"_"&amp;N128</f>
        <v>ALL_ATOM_VMIN_K_ENDXFM_TITO_ATOM_NOM_HFM_3000_LSA_ROM</v>
      </c>
      <c r="E128" t="s">
        <v>7</v>
      </c>
      <c r="F128" t="s">
        <v>28</v>
      </c>
      <c r="G128" t="s">
        <v>951</v>
      </c>
      <c r="H128" t="s">
        <v>253</v>
      </c>
      <c r="I128" t="s">
        <v>260</v>
      </c>
      <c r="J128" t="s">
        <v>28</v>
      </c>
      <c r="K128" t="s">
        <v>284</v>
      </c>
      <c r="L128" t="s">
        <v>1038</v>
      </c>
      <c r="M128">
        <v>3000</v>
      </c>
      <c r="N128" t="s">
        <v>1002</v>
      </c>
      <c r="O128" t="s">
        <v>267</v>
      </c>
      <c r="P128" t="s">
        <v>397</v>
      </c>
      <c r="Q128" t="s">
        <v>1003</v>
      </c>
      <c r="R128">
        <v>60</v>
      </c>
      <c r="S128">
        <v>63</v>
      </c>
      <c r="T128">
        <v>513</v>
      </c>
      <c r="U128">
        <v>-1</v>
      </c>
      <c r="V128" s="3" t="b">
        <v>0</v>
      </c>
      <c r="W128" t="s">
        <v>963</v>
      </c>
      <c r="X128"/>
      <c r="Y128" t="s">
        <v>257</v>
      </c>
      <c r="Z128" t="s">
        <v>1040</v>
      </c>
      <c r="AA128"/>
      <c r="AB128"/>
      <c r="AC128"/>
      <c r="AD128"/>
      <c r="AE128"/>
      <c r="AF128">
        <v>2150</v>
      </c>
      <c r="AG128" t="s">
        <v>955</v>
      </c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>
        <v>2</v>
      </c>
      <c r="AW128">
        <v>1</v>
      </c>
      <c r="AX128" t="str">
        <f>$D129</f>
        <v>SSA_ATOM_VMIN_K_ENDXFM_TITO_ATOML_MIN_HFM_3000_SSA</v>
      </c>
      <c r="AY128" t="str">
        <f>$D129</f>
        <v>SSA_ATOM_VMIN_K_ENDXFM_TITO_ATOML_MIN_HFM_3000_SSA</v>
      </c>
      <c r="AZ128"/>
      <c r="BA128"/>
      <c r="BB128"/>
    </row>
    <row r="129" spans="1:54" x14ac:dyDescent="0.35">
      <c r="A129" s="3" t="s">
        <v>1039</v>
      </c>
      <c r="B129" s="3" t="s">
        <v>67</v>
      </c>
      <c r="C129" s="3" t="str">
        <f>VLOOKUP(B129,templateLookup!A:B,2,0)</f>
        <v>PrimeVminSearchTestMethod</v>
      </c>
      <c r="D129" t="str">
        <f>E129&amp;"_"&amp;F129&amp;"_"&amp;G129&amp;"_"&amp;H129&amp;"_"&amp;A129&amp;"_"&amp;I129&amp;"_"&amp;J129&amp;"_"&amp;K129&amp;"_"&amp;L129&amp;"_"&amp;M129&amp;"_"&amp;N129</f>
        <v>SSA_ATOM_VMIN_K_ENDXFM_TITO_ATOML_MIN_HFM_3000_SSA</v>
      </c>
      <c r="E129" t="s">
        <v>4</v>
      </c>
      <c r="F129" t="s">
        <v>28</v>
      </c>
      <c r="G129" t="s">
        <v>951</v>
      </c>
      <c r="H129" t="s">
        <v>253</v>
      </c>
      <c r="I129" t="s">
        <v>260</v>
      </c>
      <c r="J129" t="s">
        <v>914</v>
      </c>
      <c r="K129" t="s">
        <v>952</v>
      </c>
      <c r="L129" t="s">
        <v>1038</v>
      </c>
      <c r="M129">
        <v>3000</v>
      </c>
      <c r="N129" t="s">
        <v>4</v>
      </c>
      <c r="O129" t="s">
        <v>267</v>
      </c>
      <c r="P129" t="s">
        <v>397</v>
      </c>
      <c r="Q129" t="s">
        <v>1004</v>
      </c>
      <c r="R129">
        <v>60</v>
      </c>
      <c r="S129">
        <v>63</v>
      </c>
      <c r="T129">
        <v>514</v>
      </c>
      <c r="U129">
        <v>-1</v>
      </c>
      <c r="V129" t="b">
        <v>0</v>
      </c>
      <c r="W129" t="s">
        <v>917</v>
      </c>
      <c r="Y129" t="s">
        <v>960</v>
      </c>
      <c r="AA129" t="s">
        <v>912</v>
      </c>
      <c r="AF129">
        <v>2151</v>
      </c>
      <c r="AG129" t="s">
        <v>955</v>
      </c>
      <c r="AV129">
        <f>COUNTA(AX129:BG129)</f>
        <v>2</v>
      </c>
      <c r="AW129">
        <v>1</v>
      </c>
      <c r="AX129">
        <v>1</v>
      </c>
      <c r="AY129">
        <v>1</v>
      </c>
    </row>
    <row r="130" spans="1:54" s="3" customFormat="1" x14ac:dyDescent="0.35">
      <c r="A130" s="17" t="s">
        <v>1039</v>
      </c>
      <c r="B130" s="17" t="s">
        <v>50</v>
      </c>
      <c r="C130" s="17" t="str">
        <f>VLOOKUP(B130,templateLookup!A:B,2,0)</f>
        <v>COMPOSITE</v>
      </c>
      <c r="D130" s="17"/>
    </row>
    <row r="131" spans="1:54" s="26" customFormat="1" x14ac:dyDescent="0.35">
      <c r="A131" s="25" t="s">
        <v>1041</v>
      </c>
      <c r="B131" s="25" t="s">
        <v>49</v>
      </c>
      <c r="C131" s="25" t="str">
        <f>VLOOKUP(B131,templateLookup!A:B,2,0)</f>
        <v>COMPOSITE</v>
      </c>
      <c r="D131" s="25" t="s">
        <v>1041</v>
      </c>
      <c r="F131" s="26" t="s">
        <v>28</v>
      </c>
    </row>
    <row r="132" spans="1:54" s="3" customFormat="1" x14ac:dyDescent="0.35">
      <c r="A132" s="26" t="s">
        <v>1041</v>
      </c>
      <c r="B132" s="26" t="s">
        <v>67</v>
      </c>
      <c r="C132" s="26" t="str">
        <f>VLOOKUP(B132,templateLookup!A:B,2,0)</f>
        <v>PrimeVminSearchTestMethod</v>
      </c>
      <c r="D132" t="str">
        <f>E132&amp;"_"&amp;F132&amp;"_"&amp;G132&amp;"_"&amp;H132&amp;"_"&amp;A132&amp;"_"&amp;I132&amp;"_"&amp;J132&amp;"_"&amp;K132&amp;"_"&amp;L132&amp;"_"&amp;M132&amp;"_"&amp;N132</f>
        <v>ALL_ATOM_VMIN_K_ENDTFM_TITO_ATOM_NOM_TFM_3300_LSA_ROM</v>
      </c>
      <c r="E132" t="s">
        <v>7</v>
      </c>
      <c r="F132" t="s">
        <v>28</v>
      </c>
      <c r="G132" t="s">
        <v>951</v>
      </c>
      <c r="H132" t="s">
        <v>253</v>
      </c>
      <c r="I132" t="s">
        <v>260</v>
      </c>
      <c r="J132" t="s">
        <v>28</v>
      </c>
      <c r="K132" t="s">
        <v>284</v>
      </c>
      <c r="L132" t="s">
        <v>1042</v>
      </c>
      <c r="M132">
        <v>3300</v>
      </c>
      <c r="N132" t="s">
        <v>1002</v>
      </c>
      <c r="O132" t="s">
        <v>267</v>
      </c>
      <c r="P132" t="s">
        <v>397</v>
      </c>
      <c r="Q132" t="s">
        <v>1003</v>
      </c>
      <c r="R132">
        <v>60</v>
      </c>
      <c r="S132">
        <v>64</v>
      </c>
      <c r="T132">
        <v>515</v>
      </c>
      <c r="U132">
        <v>-1</v>
      </c>
      <c r="V132" s="3" t="b">
        <v>1</v>
      </c>
      <c r="W132" t="s">
        <v>963</v>
      </c>
      <c r="X132"/>
      <c r="Y132" t="s">
        <v>257</v>
      </c>
      <c r="Z132" t="s">
        <v>1043</v>
      </c>
      <c r="AA132"/>
      <c r="AB132"/>
      <c r="AC132"/>
      <c r="AD132"/>
      <c r="AE132"/>
      <c r="AF132">
        <v>2152</v>
      </c>
      <c r="AG132" t="s">
        <v>955</v>
      </c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>
        <v>2</v>
      </c>
      <c r="AW132">
        <v>1</v>
      </c>
      <c r="AX132" t="str">
        <f>$D133</f>
        <v>SSA_ATOM_VMIN_K_ENDTFM_TITO_ATOML_MIN_TFM_3300_SSA</v>
      </c>
      <c r="AY132" t="str">
        <f>$D133</f>
        <v>SSA_ATOM_VMIN_K_ENDTFM_TITO_ATOML_MIN_TFM_3300_SSA</v>
      </c>
      <c r="AZ132"/>
      <c r="BA132"/>
      <c r="BB132"/>
    </row>
    <row r="133" spans="1:54" x14ac:dyDescent="0.35">
      <c r="A133" s="26" t="s">
        <v>1041</v>
      </c>
      <c r="B133" s="26" t="s">
        <v>67</v>
      </c>
      <c r="C133" s="26" t="str">
        <f>VLOOKUP(B133,templateLookup!A:B,2,0)</f>
        <v>PrimeVminSearchTestMethod</v>
      </c>
      <c r="D133" t="str">
        <f>E133&amp;"_"&amp;F133&amp;"_"&amp;G133&amp;"_"&amp;H133&amp;"_"&amp;A133&amp;"_"&amp;I133&amp;"_"&amp;J133&amp;"_"&amp;K133&amp;"_"&amp;L133&amp;"_"&amp;M133&amp;"_"&amp;N133</f>
        <v>SSA_ATOM_VMIN_K_ENDTFM_TITO_ATOML_MIN_TFM_3300_SSA</v>
      </c>
      <c r="E133" t="s">
        <v>4</v>
      </c>
      <c r="F133" t="s">
        <v>28</v>
      </c>
      <c r="G133" t="s">
        <v>951</v>
      </c>
      <c r="H133" t="s">
        <v>253</v>
      </c>
      <c r="I133" t="s">
        <v>260</v>
      </c>
      <c r="J133" t="s">
        <v>914</v>
      </c>
      <c r="K133" t="s">
        <v>952</v>
      </c>
      <c r="L133" t="s">
        <v>1042</v>
      </c>
      <c r="M133">
        <v>3300</v>
      </c>
      <c r="N133" t="s">
        <v>4</v>
      </c>
      <c r="O133" t="s">
        <v>267</v>
      </c>
      <c r="P133" t="s">
        <v>397</v>
      </c>
      <c r="Q133" t="s">
        <v>1004</v>
      </c>
      <c r="R133">
        <v>60</v>
      </c>
      <c r="S133">
        <v>64</v>
      </c>
      <c r="T133">
        <v>516</v>
      </c>
      <c r="U133">
        <v>-1</v>
      </c>
      <c r="V133" t="b">
        <v>1</v>
      </c>
      <c r="W133" t="s">
        <v>917</v>
      </c>
      <c r="Y133" t="s">
        <v>960</v>
      </c>
      <c r="AA133" t="s">
        <v>912</v>
      </c>
      <c r="AF133">
        <v>2153</v>
      </c>
      <c r="AG133" t="s">
        <v>955</v>
      </c>
      <c r="AV133">
        <f>COUNTA(AX133:BG133)</f>
        <v>2</v>
      </c>
      <c r="AW133">
        <v>1</v>
      </c>
      <c r="AX133">
        <v>1</v>
      </c>
      <c r="AY133">
        <v>1</v>
      </c>
    </row>
    <row r="134" spans="1:54" s="26" customFormat="1" x14ac:dyDescent="0.35">
      <c r="A134" s="25" t="s">
        <v>1041</v>
      </c>
      <c r="B134" s="25" t="s">
        <v>50</v>
      </c>
      <c r="C134" s="25" t="str">
        <f>VLOOKUP(B134,templateLookup!A:B,2,0)</f>
        <v>COMPOSITE</v>
      </c>
      <c r="D134" s="25"/>
    </row>
    <row r="135" spans="1:54" s="28" customFormat="1" x14ac:dyDescent="0.35">
      <c r="A135" s="27" t="s">
        <v>1044</v>
      </c>
      <c r="B135" s="27" t="s">
        <v>49</v>
      </c>
      <c r="C135" s="27" t="str">
        <f>VLOOKUP(B135,templateLookup!A:B,2,0)</f>
        <v>COMPOSITE</v>
      </c>
      <c r="D135" s="27" t="s">
        <v>1044</v>
      </c>
      <c r="F135" s="28" t="s">
        <v>28</v>
      </c>
    </row>
    <row r="136" spans="1:54" s="28" customFormat="1" x14ac:dyDescent="0.35">
      <c r="A136" s="28" t="s">
        <v>1044</v>
      </c>
      <c r="B136" s="28" t="s">
        <v>79</v>
      </c>
      <c r="C136" s="28" t="str">
        <f>VLOOKUP(B136,templateLookup!A:B,2,0)</f>
        <v>iCHVQKTest</v>
      </c>
      <c r="D136" s="28" t="str">
        <f>E136&amp;"_"&amp;F136&amp;"_"&amp;G136&amp;"_"&amp;H136&amp;"_"&amp;A136&amp;"_"&amp;I136&amp;"_"&amp;J136&amp;"_"&amp;K136&amp;"_"&amp;L136&amp;"_"&amp;M136&amp;"_"&amp;N136</f>
        <v>ALL_ATOM_HVQK_K_HOTSTRESS_TITO_ATOM_MAX_LFM_0800_LSA_ROM</v>
      </c>
      <c r="E136" s="28" t="s">
        <v>7</v>
      </c>
      <c r="F136" s="28" t="s">
        <v>28</v>
      </c>
      <c r="G136" s="28" t="s">
        <v>1005</v>
      </c>
      <c r="H136" s="28" t="s">
        <v>253</v>
      </c>
      <c r="I136" s="28" t="s">
        <v>260</v>
      </c>
      <c r="J136" s="28" t="s">
        <v>28</v>
      </c>
      <c r="K136" s="28" t="s">
        <v>357</v>
      </c>
      <c r="L136" s="28" t="s">
        <v>285</v>
      </c>
      <c r="M136" s="28" t="str">
        <f t="shared" ref="M136:M137" si="26">TEXT(800,"0000")</f>
        <v>0800</v>
      </c>
      <c r="N136" s="28" t="s">
        <v>1002</v>
      </c>
      <c r="O136" s="28" t="s">
        <v>1045</v>
      </c>
      <c r="P136" s="28" t="s">
        <v>397</v>
      </c>
      <c r="Q136" s="28" t="s">
        <v>1003</v>
      </c>
      <c r="R136" s="28">
        <v>17</v>
      </c>
      <c r="S136" s="28">
        <v>20</v>
      </c>
      <c r="T136" s="28">
        <v>800</v>
      </c>
      <c r="U136" s="28">
        <v>-1</v>
      </c>
      <c r="V136" s="28" t="b">
        <v>0</v>
      </c>
      <c r="W136" s="28" t="s">
        <v>963</v>
      </c>
      <c r="AR136" s="28" t="s">
        <v>1046</v>
      </c>
      <c r="AS136" s="28" t="s">
        <v>918</v>
      </c>
      <c r="AT136" s="28" t="s">
        <v>1007</v>
      </c>
      <c r="AU136" s="28" t="s">
        <v>1047</v>
      </c>
      <c r="AV136" s="28">
        <f>COUNTA(AX136:BG136)</f>
        <v>5</v>
      </c>
      <c r="AW136" s="28" t="s">
        <v>218</v>
      </c>
      <c r="AX136" s="28" t="str">
        <f>$D137</f>
        <v>SSA_ATOM_HVQK_K_HOTSTRESS_TITO_ATOML_MAX_LFM_0800_SSA</v>
      </c>
      <c r="AY136" s="28" t="str">
        <f>$D137</f>
        <v>SSA_ATOM_HVQK_K_HOTSTRESS_TITO_ATOML_MAX_LFM_0800_SSA</v>
      </c>
      <c r="AZ136" s="28" t="str">
        <f>$D137</f>
        <v>SSA_ATOM_HVQK_K_HOTSTRESS_TITO_ATOML_MAX_LFM_0800_SSA</v>
      </c>
      <c r="BA136" s="28" t="str">
        <f>$D137</f>
        <v>SSA_ATOM_HVQK_K_HOTSTRESS_TITO_ATOML_MAX_LFM_0800_SSA</v>
      </c>
      <c r="BB136" s="28" t="str">
        <f>$D137</f>
        <v>SSA_ATOM_HVQK_K_HOTSTRESS_TITO_ATOML_MAX_LFM_0800_SSA</v>
      </c>
    </row>
    <row r="137" spans="1:54" s="28" customFormat="1" x14ac:dyDescent="0.35">
      <c r="A137" s="28" t="s">
        <v>1044</v>
      </c>
      <c r="B137" s="28" t="s">
        <v>79</v>
      </c>
      <c r="C137" s="28" t="str">
        <f>VLOOKUP(B137,templateLookup!A:B,2,0)</f>
        <v>iCHVQKTest</v>
      </c>
      <c r="D137" s="28" t="str">
        <f>E137&amp;"_"&amp;F137&amp;"_"&amp;G137&amp;"_"&amp;H137&amp;"_"&amp;A137&amp;"_"&amp;I137&amp;"_"&amp;J137&amp;"_"&amp;K137&amp;"_"&amp;L137&amp;"_"&amp;M137&amp;"_"&amp;N137</f>
        <v>SSA_ATOM_HVQK_K_HOTSTRESS_TITO_ATOML_MAX_LFM_0800_SSA</v>
      </c>
      <c r="E137" s="28" t="s">
        <v>4</v>
      </c>
      <c r="F137" s="28" t="s">
        <v>28</v>
      </c>
      <c r="G137" s="28" t="s">
        <v>1005</v>
      </c>
      <c r="H137" s="28" t="s">
        <v>253</v>
      </c>
      <c r="I137" s="28" t="s">
        <v>260</v>
      </c>
      <c r="J137" s="28" t="s">
        <v>914</v>
      </c>
      <c r="K137" s="28" t="s">
        <v>357</v>
      </c>
      <c r="L137" s="28" t="s">
        <v>285</v>
      </c>
      <c r="M137" s="28" t="str">
        <f t="shared" si="26"/>
        <v>0800</v>
      </c>
      <c r="N137" s="28" t="s">
        <v>4</v>
      </c>
      <c r="O137" s="28" t="s">
        <v>1045</v>
      </c>
      <c r="P137" s="28" t="s">
        <v>397</v>
      </c>
      <c r="Q137" s="28" t="s">
        <v>1004</v>
      </c>
      <c r="R137" s="28">
        <v>17</v>
      </c>
      <c r="S137" s="28">
        <v>60</v>
      </c>
      <c r="T137" s="28">
        <v>801</v>
      </c>
      <c r="U137" s="28">
        <v>-1</v>
      </c>
      <c r="V137" s="28" t="b">
        <v>0</v>
      </c>
      <c r="W137" s="28" t="s">
        <v>917</v>
      </c>
      <c r="AR137" s="28" t="s">
        <v>1046</v>
      </c>
      <c r="AS137" s="28" t="s">
        <v>918</v>
      </c>
      <c r="AT137" s="28" t="s">
        <v>1007</v>
      </c>
      <c r="AU137" s="28" t="s">
        <v>1048</v>
      </c>
      <c r="AV137" s="28">
        <f>COUNTA(AX137:BG137)</f>
        <v>5</v>
      </c>
      <c r="AW137" s="28" t="s">
        <v>218</v>
      </c>
      <c r="AX137" s="28">
        <v>1</v>
      </c>
      <c r="AY137" s="28">
        <v>1</v>
      </c>
      <c r="AZ137" s="28">
        <v>1</v>
      </c>
      <c r="BA137" s="28">
        <v>1</v>
      </c>
      <c r="BB137" s="28">
        <v>1</v>
      </c>
    </row>
    <row r="138" spans="1:54" s="28" customFormat="1" x14ac:dyDescent="0.35">
      <c r="A138" s="27" t="s">
        <v>1044</v>
      </c>
      <c r="B138" s="27" t="s">
        <v>50</v>
      </c>
      <c r="C138" s="27" t="str">
        <f>VLOOKUP(B138,templateLookup!A:B,2,0)</f>
        <v>COMPOSITE</v>
      </c>
      <c r="D138" s="27"/>
    </row>
    <row r="139" spans="1:54" s="1" customFormat="1" x14ac:dyDescent="0.35">
      <c r="A139" s="29" t="s">
        <v>1049</v>
      </c>
      <c r="B139" s="29" t="s">
        <v>49</v>
      </c>
      <c r="C139" s="29" t="str">
        <f>VLOOKUP(B139,templateLookup!A:B,2,0)</f>
        <v>COMPOSITE</v>
      </c>
      <c r="D139" s="29" t="s">
        <v>1049</v>
      </c>
      <c r="F139" s="1" t="s">
        <v>28</v>
      </c>
    </row>
    <row r="140" spans="1:54" x14ac:dyDescent="0.35">
      <c r="A140" s="1" t="s">
        <v>1049</v>
      </c>
      <c r="B140" s="1" t="s">
        <v>68</v>
      </c>
      <c r="C140" s="1" t="str">
        <f>VLOOKUP(B140,templateLookup!A:B,2,0)</f>
        <v>LNLVminSearch</v>
      </c>
      <c r="D140" t="str">
        <f>E140&amp;"_"&amp;F140&amp;"_"&amp;G140&amp;"_"&amp;H140&amp;"_"&amp;A140&amp;"_"&amp;I140&amp;"_"&amp;J140&amp;"_"&amp;K140&amp;"_"&amp;L140&amp;"_"&amp;M140&amp;"_"&amp;N140</f>
        <v>ALL_ATOM_VMIN_K_SDTEND_TITO_ATOM_MIN_LFM_0800_LSA_ROM</v>
      </c>
      <c r="E140" t="s">
        <v>7</v>
      </c>
      <c r="F140" t="s">
        <v>28</v>
      </c>
      <c r="G140" t="s">
        <v>951</v>
      </c>
      <c r="H140" t="s">
        <v>253</v>
      </c>
      <c r="I140" t="s">
        <v>260</v>
      </c>
      <c r="J140" t="s">
        <v>28</v>
      </c>
      <c r="K140" t="s">
        <v>952</v>
      </c>
      <c r="L140" t="s">
        <v>285</v>
      </c>
      <c r="M140" t="str">
        <f t="shared" ref="M140:M141" si="27">TEXT(800,"0000")</f>
        <v>0800</v>
      </c>
      <c r="N140" t="s">
        <v>1002</v>
      </c>
      <c r="O140" t="s">
        <v>267</v>
      </c>
      <c r="P140" t="s">
        <v>397</v>
      </c>
      <c r="Q140" t="s">
        <v>1003</v>
      </c>
      <c r="R140">
        <v>20</v>
      </c>
      <c r="S140">
        <v>67</v>
      </c>
      <c r="T140">
        <v>700</v>
      </c>
      <c r="U140">
        <v>-1</v>
      </c>
      <c r="V140" t="b">
        <v>1</v>
      </c>
      <c r="W140" t="s">
        <v>963</v>
      </c>
      <c r="Y140" t="s">
        <v>257</v>
      </c>
      <c r="Z140" t="s">
        <v>912</v>
      </c>
      <c r="AD140" t="s">
        <v>7</v>
      </c>
      <c r="AE140">
        <f>INT(0)</f>
        <v>0</v>
      </c>
      <c r="AF140">
        <v>2154</v>
      </c>
      <c r="AG140" t="s">
        <v>955</v>
      </c>
      <c r="AV140">
        <f>COUNTA(AX140:BG140)</f>
        <v>2</v>
      </c>
      <c r="AW140">
        <v>1</v>
      </c>
      <c r="AX140" t="str">
        <f>$D141</f>
        <v>SSA_ATOM_VMIN_K_SDTEND_TITO_ATOML_MIN_LFM_0800_SSA</v>
      </c>
      <c r="AY140" t="str">
        <f>$D141</f>
        <v>SSA_ATOM_VMIN_K_SDTEND_TITO_ATOML_MIN_LFM_0800_SSA</v>
      </c>
    </row>
    <row r="141" spans="1:54" x14ac:dyDescent="0.35">
      <c r="A141" s="1" t="s">
        <v>1049</v>
      </c>
      <c r="B141" s="1" t="s">
        <v>68</v>
      </c>
      <c r="C141" s="1" t="str">
        <f>VLOOKUP(B141,templateLookup!A:B,2,0)</f>
        <v>LNLVminSearch</v>
      </c>
      <c r="D141" t="str">
        <f>E141&amp;"_"&amp;F141&amp;"_"&amp;G141&amp;"_"&amp;H141&amp;"_"&amp;A141&amp;"_"&amp;I141&amp;"_"&amp;J141&amp;"_"&amp;K141&amp;"_"&amp;L141&amp;"_"&amp;M141&amp;"_"&amp;N141</f>
        <v>SSA_ATOM_VMIN_K_SDTEND_TITO_ATOML_MIN_LFM_0800_SSA</v>
      </c>
      <c r="E141" t="s">
        <v>4</v>
      </c>
      <c r="F141" t="s">
        <v>28</v>
      </c>
      <c r="G141" t="s">
        <v>951</v>
      </c>
      <c r="H141" t="s">
        <v>253</v>
      </c>
      <c r="I141" t="s">
        <v>260</v>
      </c>
      <c r="J141" t="s">
        <v>914</v>
      </c>
      <c r="K141" t="s">
        <v>952</v>
      </c>
      <c r="L141" t="s">
        <v>285</v>
      </c>
      <c r="M141" t="str">
        <f t="shared" si="27"/>
        <v>0800</v>
      </c>
      <c r="N141" t="s">
        <v>4</v>
      </c>
      <c r="O141" t="s">
        <v>267</v>
      </c>
      <c r="P141" t="s">
        <v>397</v>
      </c>
      <c r="Q141" t="s">
        <v>1004</v>
      </c>
      <c r="R141">
        <v>60</v>
      </c>
      <c r="S141">
        <v>67</v>
      </c>
      <c r="T141">
        <v>701</v>
      </c>
      <c r="U141">
        <v>-1</v>
      </c>
      <c r="V141" t="b">
        <v>1</v>
      </c>
      <c r="W141" t="s">
        <v>917</v>
      </c>
      <c r="Y141" t="s">
        <v>960</v>
      </c>
      <c r="AD141" t="s">
        <v>7</v>
      </c>
      <c r="AE141">
        <f>INT(0)</f>
        <v>0</v>
      </c>
      <c r="AF141">
        <v>2155</v>
      </c>
      <c r="AG141" t="s">
        <v>955</v>
      </c>
      <c r="AV141">
        <f>COUNTA(AX141:BG141)</f>
        <v>2</v>
      </c>
      <c r="AW141">
        <v>1</v>
      </c>
      <c r="AX141">
        <v>1</v>
      </c>
      <c r="AY141">
        <v>1</v>
      </c>
    </row>
    <row r="142" spans="1:54" x14ac:dyDescent="0.35">
      <c r="A142" s="29" t="s">
        <v>1049</v>
      </c>
      <c r="B142" s="29" t="s">
        <v>49</v>
      </c>
      <c r="C142" s="29" t="str">
        <f>VLOOKUP(B142,templateLookup!A:B,2,0)</f>
        <v>COMPOSITE</v>
      </c>
      <c r="D142" s="10" t="s">
        <v>1050</v>
      </c>
      <c r="F142" s="1" t="s">
        <v>28</v>
      </c>
      <c r="AV142">
        <v>2</v>
      </c>
      <c r="AW142">
        <v>1</v>
      </c>
      <c r="AX142">
        <v>1</v>
      </c>
      <c r="AY142">
        <v>1</v>
      </c>
    </row>
    <row r="143" spans="1:54" x14ac:dyDescent="0.35">
      <c r="A143" s="1" t="s">
        <v>1049</v>
      </c>
      <c r="B143" s="1" t="s">
        <v>102</v>
      </c>
      <c r="C143" s="1" t="str">
        <f>VLOOKUP(B143,templateLookup!A:B,2,0)</f>
        <v>PrimeShmooTestMethod</v>
      </c>
      <c r="D143" t="str">
        <f>E143&amp;"_"&amp;F143&amp;"_"&amp;G143&amp;"_"&amp;H143&amp;"_"&amp;A143&amp;"_"&amp;I143&amp;"_"&amp;J143&amp;"_"&amp;K143&amp;"_"&amp;L143&amp;"_"&amp;M143&amp;"_"&amp;N143</f>
        <v>ALL_ATOM_SHMOO_E_SDTEND_TITO_ATOM_MAX_LFM_0800_LSA_ROM</v>
      </c>
      <c r="E143" t="s">
        <v>7</v>
      </c>
      <c r="F143" t="s">
        <v>28</v>
      </c>
      <c r="G143" t="s">
        <v>1011</v>
      </c>
      <c r="H143" t="s">
        <v>207</v>
      </c>
      <c r="I143" t="s">
        <v>260</v>
      </c>
      <c r="J143" t="s">
        <v>28</v>
      </c>
      <c r="K143" t="s">
        <v>357</v>
      </c>
      <c r="L143" t="s">
        <v>285</v>
      </c>
      <c r="M143" t="str">
        <f t="shared" ref="M143:M144" si="28">TEXT(800,"0000")</f>
        <v>0800</v>
      </c>
      <c r="N143" t="s">
        <v>1002</v>
      </c>
      <c r="O143" t="s">
        <v>1012</v>
      </c>
      <c r="P143" t="s">
        <v>397</v>
      </c>
      <c r="Q143" t="s">
        <v>1003</v>
      </c>
      <c r="R143">
        <v>17</v>
      </c>
      <c r="S143">
        <v>20</v>
      </c>
      <c r="T143">
        <v>702</v>
      </c>
      <c r="U143">
        <v>1</v>
      </c>
      <c r="V143" t="b">
        <v>0</v>
      </c>
      <c r="W143" t="s">
        <v>963</v>
      </c>
      <c r="X143" t="s">
        <v>1013</v>
      </c>
      <c r="AV143">
        <v>4</v>
      </c>
      <c r="AW143" t="s">
        <v>920</v>
      </c>
      <c r="AX143" t="str">
        <f>$D144</f>
        <v>SSA_ATOM_SHMOO_E_SDTEND_TITO_ATOML_MAX_LFM_0800_SSA</v>
      </c>
      <c r="AY143" t="str">
        <f>$D144</f>
        <v>SSA_ATOM_SHMOO_E_SDTEND_TITO_ATOML_MAX_LFM_0800_SSA</v>
      </c>
      <c r="AZ143" t="str">
        <f>$D144</f>
        <v>SSA_ATOM_SHMOO_E_SDTEND_TITO_ATOML_MAX_LFM_0800_SSA</v>
      </c>
      <c r="BA143" t="str">
        <f>$D144</f>
        <v>SSA_ATOM_SHMOO_E_SDTEND_TITO_ATOML_MAX_LFM_0800_SSA</v>
      </c>
    </row>
    <row r="144" spans="1:54" x14ac:dyDescent="0.35">
      <c r="A144" s="1" t="s">
        <v>1049</v>
      </c>
      <c r="B144" s="1" t="s">
        <v>102</v>
      </c>
      <c r="C144" s="1" t="str">
        <f>VLOOKUP(B144,templateLookup!A:B,2,0)</f>
        <v>PrimeShmooTestMethod</v>
      </c>
      <c r="D144" t="str">
        <f>E144&amp;"_"&amp;F144&amp;"_"&amp;G144&amp;"_"&amp;H144&amp;"_"&amp;A144&amp;"_"&amp;I144&amp;"_"&amp;J144&amp;"_"&amp;K144&amp;"_"&amp;L144&amp;"_"&amp;M144&amp;"_"&amp;N144</f>
        <v>SSA_ATOM_SHMOO_E_SDTEND_TITO_ATOML_MAX_LFM_0800_SSA</v>
      </c>
      <c r="E144" t="s">
        <v>4</v>
      </c>
      <c r="F144" t="s">
        <v>28</v>
      </c>
      <c r="G144" t="s">
        <v>1011</v>
      </c>
      <c r="H144" t="s">
        <v>207</v>
      </c>
      <c r="I144" t="s">
        <v>260</v>
      </c>
      <c r="J144" t="s">
        <v>914</v>
      </c>
      <c r="K144" t="s">
        <v>357</v>
      </c>
      <c r="L144" t="s">
        <v>285</v>
      </c>
      <c r="M144" t="str">
        <f t="shared" si="28"/>
        <v>0800</v>
      </c>
      <c r="N144" t="s">
        <v>4</v>
      </c>
      <c r="O144" t="s">
        <v>1012</v>
      </c>
      <c r="P144" t="s">
        <v>397</v>
      </c>
      <c r="Q144" t="s">
        <v>1004</v>
      </c>
      <c r="R144">
        <v>17</v>
      </c>
      <c r="S144">
        <v>60</v>
      </c>
      <c r="T144">
        <v>703</v>
      </c>
      <c r="U144">
        <v>1</v>
      </c>
      <c r="V144" t="b">
        <v>0</v>
      </c>
      <c r="W144" t="s">
        <v>917</v>
      </c>
      <c r="X144" t="s">
        <v>1014</v>
      </c>
      <c r="AV144">
        <v>4</v>
      </c>
      <c r="AW144" t="s">
        <v>920</v>
      </c>
      <c r="AX144">
        <v>1</v>
      </c>
      <c r="AY144">
        <v>1</v>
      </c>
      <c r="AZ144">
        <v>1</v>
      </c>
      <c r="BA144">
        <v>1</v>
      </c>
    </row>
    <row r="145" spans="1:22" x14ac:dyDescent="0.35">
      <c r="A145" s="29" t="s">
        <v>1049</v>
      </c>
      <c r="B145" s="29" t="s">
        <v>50</v>
      </c>
      <c r="C145" s="29" t="str">
        <f>VLOOKUP(B145,templateLookup!A:B,2,0)</f>
        <v>COMPOSITE</v>
      </c>
      <c r="D145" s="10"/>
    </row>
    <row r="146" spans="1:22" s="1" customFormat="1" x14ac:dyDescent="0.35">
      <c r="A146" s="29" t="s">
        <v>1049</v>
      </c>
      <c r="B146" s="29" t="s">
        <v>50</v>
      </c>
      <c r="C146" s="29" t="str">
        <f>VLOOKUP(B146,templateLookup!A:B,2,0)</f>
        <v>COMPOSITE</v>
      </c>
      <c r="D146" s="29"/>
    </row>
    <row r="147" spans="1:22" x14ac:dyDescent="0.35">
      <c r="A147" s="10" t="s">
        <v>203</v>
      </c>
      <c r="B147" s="10" t="s">
        <v>51</v>
      </c>
      <c r="C147" s="10" t="str">
        <f>VLOOKUP(B147,templateLookup!A:B,2,0)</f>
        <v>COMPOSITE</v>
      </c>
      <c r="D147" s="10" t="s">
        <v>203</v>
      </c>
    </row>
    <row r="155" spans="1:22" x14ac:dyDescent="0.35">
      <c r="U155" s="6"/>
      <c r="V155" s="6"/>
    </row>
    <row r="156" spans="1:22" x14ac:dyDescent="0.35">
      <c r="U156" s="6"/>
      <c r="V156" s="6"/>
    </row>
    <row r="159" spans="1:22" x14ac:dyDescent="0.35">
      <c r="U159" s="6"/>
      <c r="V159" s="6"/>
    </row>
    <row r="160" spans="1:22" x14ac:dyDescent="0.35">
      <c r="U160" s="6"/>
      <c r="V160" s="6"/>
    </row>
    <row r="216" spans="21:22" x14ac:dyDescent="0.35">
      <c r="U216" s="6"/>
      <c r="V216" s="6"/>
    </row>
  </sheetData>
  <autoFilter ref="A1:BG147" xr:uid="{E78E7DAD-E2E3-41CA-AC6B-36D49F2F3F66}"/>
  <conditionalFormatting sqref="T4">
    <cfRule type="duplicateValues" dxfId="164" priority="7"/>
  </conditionalFormatting>
  <conditionalFormatting sqref="U1:U1048576">
    <cfRule type="cellIs" dxfId="163" priority="4" operator="equal">
      <formula>1</formula>
    </cfRule>
    <cfRule type="cellIs" dxfId="162" priority="5" operator="equal">
      <formula>-1</formula>
    </cfRule>
  </conditionalFormatting>
  <conditionalFormatting sqref="V1:V1048576">
    <cfRule type="cellIs" dxfId="161" priority="2" operator="equal">
      <formula>TRUE</formula>
    </cfRule>
    <cfRule type="cellIs" dxfId="160" priority="3" operator="equal">
      <formula>FALSE</formula>
    </cfRule>
  </conditionalFormatting>
  <conditionalFormatting sqref="X4:Y4">
    <cfRule type="duplicateValues" dxfId="159" priority="6"/>
  </conditionalFormatting>
  <conditionalFormatting sqref="Y6">
    <cfRule type="duplicateValues" dxfId="158" priority="1"/>
  </conditionalFormatting>
  <conditionalFormatting sqref="AG1">
    <cfRule type="duplicateValues" dxfId="157" priority="8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5B1D0-BF52-4410-BA41-7488DBE34FC7}">
  <dimension ref="A1:AX145"/>
  <sheetViews>
    <sheetView zoomScale="55" zoomScaleNormal="55" workbookViewId="0">
      <pane xSplit="4" ySplit="1" topLeftCell="AP59" activePane="bottomRight" state="frozen"/>
      <selection pane="topRight" activeCell="A39" sqref="A39"/>
      <selection pane="bottomLeft" activeCell="A39" sqref="A39"/>
      <selection pane="bottomRight" activeCell="AP84" sqref="AP84"/>
    </sheetView>
  </sheetViews>
  <sheetFormatPr defaultRowHeight="14.5" x14ac:dyDescent="0.35"/>
  <cols>
    <col min="1" max="1" width="10.54296875" bestFit="1" customWidth="1"/>
    <col min="2" max="2" width="19.54296875" bestFit="1" customWidth="1"/>
    <col min="3" max="3" width="34.1796875" bestFit="1" customWidth="1"/>
    <col min="4" max="4" width="61" customWidth="1"/>
    <col min="5" max="5" width="5.54296875" customWidth="1"/>
    <col min="6" max="6" width="10.81640625" customWidth="1"/>
    <col min="7" max="7" width="11.81640625" customWidth="1"/>
    <col min="8" max="8" width="9.81640625" customWidth="1"/>
    <col min="9" max="9" width="7.1796875" customWidth="1"/>
    <col min="10" max="10" width="13.1796875" customWidth="1"/>
    <col min="11" max="11" width="17" customWidth="1"/>
    <col min="12" max="12" width="13.54296875" customWidth="1"/>
    <col min="13" max="13" width="12.1796875" customWidth="1"/>
    <col min="14" max="14" width="38.453125" customWidth="1"/>
    <col min="15" max="15" width="31.54296875" customWidth="1"/>
    <col min="16" max="16" width="58" bestFit="1" customWidth="1"/>
    <col min="17" max="17" width="48.54296875" customWidth="1"/>
    <col min="18" max="19" width="5" customWidth="1"/>
    <col min="20" max="20" width="5.453125" customWidth="1"/>
    <col min="21" max="22" width="9.1796875" customWidth="1"/>
    <col min="23" max="23" width="13.453125" customWidth="1"/>
    <col min="24" max="24" width="22" customWidth="1"/>
    <col min="25" max="25" width="80.453125" bestFit="1" customWidth="1"/>
    <col min="26" max="26" width="54.453125" customWidth="1"/>
    <col min="27" max="31" width="14.54296875" customWidth="1"/>
    <col min="32" max="32" width="46.54296875" customWidth="1"/>
    <col min="33" max="33" width="15.453125" customWidth="1"/>
    <col min="34" max="34" width="14.54296875" customWidth="1"/>
    <col min="35" max="35" width="71.54296875" bestFit="1" customWidth="1"/>
    <col min="36" max="37" width="14.54296875" customWidth="1"/>
    <col min="38" max="38" width="25.54296875" bestFit="1" customWidth="1"/>
    <col min="39" max="39" width="10" bestFit="1" customWidth="1"/>
    <col min="40" max="40" width="11.54296875" bestFit="1" customWidth="1"/>
    <col min="41" max="42" width="86.54296875" bestFit="1" customWidth="1"/>
    <col min="43" max="43" width="45.54296875" customWidth="1"/>
    <col min="45" max="46" width="71.453125" bestFit="1" customWidth="1"/>
  </cols>
  <sheetData>
    <row r="1" spans="1:50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167</v>
      </c>
      <c r="V1" t="s">
        <v>168</v>
      </c>
      <c r="W1" t="s">
        <v>169</v>
      </c>
      <c r="X1" t="s">
        <v>189</v>
      </c>
      <c r="Y1" t="s">
        <v>190</v>
      </c>
      <c r="Z1" t="s">
        <v>899</v>
      </c>
      <c r="AA1" t="s">
        <v>902</v>
      </c>
      <c r="AB1" t="s">
        <v>903</v>
      </c>
      <c r="AC1" t="s">
        <v>898</v>
      </c>
      <c r="AD1" t="s">
        <v>900</v>
      </c>
      <c r="AE1" t="s">
        <v>901</v>
      </c>
      <c r="AF1" t="s">
        <v>187</v>
      </c>
      <c r="AG1" t="s">
        <v>188</v>
      </c>
      <c r="AH1" t="s">
        <v>908</v>
      </c>
      <c r="AI1" t="s">
        <v>182</v>
      </c>
      <c r="AJ1" t="s">
        <v>909</v>
      </c>
      <c r="AK1" t="s">
        <v>910</v>
      </c>
      <c r="AL1" t="s">
        <v>911</v>
      </c>
      <c r="AM1" t="s">
        <v>191</v>
      </c>
      <c r="AN1" t="s">
        <v>192</v>
      </c>
      <c r="AO1" t="s">
        <v>193</v>
      </c>
      <c r="AP1" t="s">
        <v>194</v>
      </c>
      <c r="AQ1" t="s">
        <v>195</v>
      </c>
      <c r="AR1" t="s">
        <v>196</v>
      </c>
      <c r="AS1" t="s">
        <v>197</v>
      </c>
      <c r="AT1" t="s">
        <v>198</v>
      </c>
      <c r="AU1" t="s">
        <v>199</v>
      </c>
      <c r="AV1" t="s">
        <v>200</v>
      </c>
      <c r="AW1" t="s">
        <v>201</v>
      </c>
      <c r="AX1" t="s">
        <v>202</v>
      </c>
    </row>
    <row r="2" spans="1:50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22</v>
      </c>
    </row>
    <row r="3" spans="1:50" s="6" customFormat="1" x14ac:dyDescent="0.35">
      <c r="A3" s="5" t="s">
        <v>871</v>
      </c>
      <c r="B3" s="5" t="s">
        <v>49</v>
      </c>
      <c r="C3" s="5" t="str">
        <f>VLOOKUP(B3,templateLookup!A:B,2,0)</f>
        <v>COMPOSITE</v>
      </c>
      <c r="D3" s="5" t="s">
        <v>871</v>
      </c>
      <c r="F3" t="s">
        <v>22</v>
      </c>
      <c r="U3"/>
      <c r="V3"/>
    </row>
    <row r="4" spans="1:50" x14ac:dyDescent="0.35">
      <c r="A4" s="12" t="s">
        <v>871</v>
      </c>
      <c r="B4" s="12" t="s">
        <v>65</v>
      </c>
      <c r="C4" s="12" t="str">
        <f>VLOOKUP(B4,templateLookup!A:B,2,0)</f>
        <v>PrimeVminSearchTestMethod</v>
      </c>
      <c r="D4" t="str">
        <f>E4&amp;"_"&amp;F4&amp;"_"&amp;G4&amp;"_"&amp;H4&amp;"_"&amp;A4&amp;"_"&amp;I4&amp;"_"&amp;J4&amp;"_"&amp;K4&amp;"_"&amp;L4&amp;"_"&amp;M4&amp;"_"&amp;N4</f>
        <v>ALL_CCF_VMIN_K_PREHVQK_TITO_CLRS_MIN_LFM_0400_CBO</v>
      </c>
      <c r="E4" t="s">
        <v>7</v>
      </c>
      <c r="F4" t="s">
        <v>22</v>
      </c>
      <c r="G4" t="s">
        <v>951</v>
      </c>
      <c r="H4" t="s">
        <v>253</v>
      </c>
      <c r="I4" t="s">
        <v>260</v>
      </c>
      <c r="J4" t="s">
        <v>283</v>
      </c>
      <c r="K4" t="s">
        <v>952</v>
      </c>
      <c r="L4" t="s">
        <v>285</v>
      </c>
      <c r="M4" t="str">
        <f>TEXT(400, "0000")</f>
        <v>0400</v>
      </c>
      <c r="N4" t="s">
        <v>1051</v>
      </c>
      <c r="O4" t="s">
        <v>267</v>
      </c>
      <c r="P4" t="s">
        <v>1052</v>
      </c>
      <c r="Q4" t="s">
        <v>1053</v>
      </c>
      <c r="R4">
        <v>61</v>
      </c>
      <c r="S4">
        <v>11</v>
      </c>
      <c r="T4">
        <v>200</v>
      </c>
      <c r="U4">
        <v>-1</v>
      </c>
      <c r="V4" s="12" t="b">
        <v>1</v>
      </c>
      <c r="W4" t="s">
        <v>270</v>
      </c>
      <c r="X4" t="s">
        <v>257</v>
      </c>
      <c r="Y4" t="s">
        <v>281</v>
      </c>
      <c r="AA4">
        <v>2000</v>
      </c>
      <c r="AB4" t="s">
        <v>955</v>
      </c>
      <c r="AM4">
        <f>COUNTA(AO4:AX4)</f>
        <v>2</v>
      </c>
      <c r="AN4">
        <v>1</v>
      </c>
      <c r="AO4" t="str">
        <f>$D5</f>
        <v>ALL_CCF_VMIN_K_PREHVQK_TITO_CLRS_MIN_LFM_0400_SBO</v>
      </c>
      <c r="AP4" t="str">
        <f>$D5</f>
        <v>ALL_CCF_VMIN_K_PREHVQK_TITO_CLRS_MIN_LFM_0400_SBO</v>
      </c>
    </row>
    <row r="5" spans="1:50" x14ac:dyDescent="0.35">
      <c r="A5" s="12" t="s">
        <v>871</v>
      </c>
      <c r="B5" s="12" t="s">
        <v>65</v>
      </c>
      <c r="C5" s="12" t="str">
        <f>VLOOKUP(B5,templateLookup!A:B,2,0)</f>
        <v>PrimeVminSearchTestMethod</v>
      </c>
      <c r="D5" t="str">
        <f>E5&amp;"_"&amp;F5&amp;"_"&amp;G5&amp;"_"&amp;H5&amp;"_"&amp;A5&amp;"_"&amp;I5&amp;"_"&amp;J5&amp;"_"&amp;K5&amp;"_"&amp;L5&amp;"_"&amp;M5&amp;"_"&amp;N5</f>
        <v>ALL_CCF_VMIN_K_PREHVQK_TITO_CLRS_MIN_LFM_0400_SBO</v>
      </c>
      <c r="E5" t="s">
        <v>7</v>
      </c>
      <c r="F5" t="s">
        <v>22</v>
      </c>
      <c r="G5" t="s">
        <v>951</v>
      </c>
      <c r="H5" t="s">
        <v>253</v>
      </c>
      <c r="I5" t="s">
        <v>260</v>
      </c>
      <c r="J5" t="s">
        <v>283</v>
      </c>
      <c r="K5" t="s">
        <v>952</v>
      </c>
      <c r="L5" t="s">
        <v>285</v>
      </c>
      <c r="M5" t="str">
        <f t="shared" ref="M5:M6" si="0">TEXT(400, "0000")</f>
        <v>0400</v>
      </c>
      <c r="N5" t="s">
        <v>1054</v>
      </c>
      <c r="O5" t="s">
        <v>267</v>
      </c>
      <c r="P5" t="s">
        <v>268</v>
      </c>
      <c r="Q5" t="s">
        <v>875</v>
      </c>
      <c r="R5">
        <v>61</v>
      </c>
      <c r="S5">
        <v>11</v>
      </c>
      <c r="T5">
        <v>201</v>
      </c>
      <c r="U5">
        <v>-1</v>
      </c>
      <c r="V5" t="b">
        <v>1</v>
      </c>
      <c r="W5" t="s">
        <v>298</v>
      </c>
      <c r="X5" t="s">
        <v>960</v>
      </c>
      <c r="AA5">
        <v>2001</v>
      </c>
      <c r="AB5" t="s">
        <v>955</v>
      </c>
      <c r="AM5">
        <f>COUNTA(AO5:AX5)</f>
        <v>2</v>
      </c>
      <c r="AN5">
        <v>1</v>
      </c>
      <c r="AO5" t="str">
        <f>$D6</f>
        <v>SSA_CCF_VMIN_K_PREHVQK_TITO_SAN_MIN_LFM_0400_PMA</v>
      </c>
      <c r="AP5" t="str">
        <f>$D6</f>
        <v>SSA_CCF_VMIN_K_PREHVQK_TITO_SAN_MIN_LFM_0400_PMA</v>
      </c>
    </row>
    <row r="6" spans="1:50" x14ac:dyDescent="0.35">
      <c r="A6" s="12" t="s">
        <v>871</v>
      </c>
      <c r="B6" s="12" t="s">
        <v>65</v>
      </c>
      <c r="C6" s="12" t="str">
        <f>VLOOKUP(B6,templateLookup!A:B,2,0)</f>
        <v>PrimeVminSearchTestMethod</v>
      </c>
      <c r="D6" t="str">
        <f>E6&amp;"_"&amp;F6&amp;"_"&amp;G6&amp;"_"&amp;H6&amp;"_"&amp;A6&amp;"_"&amp;I6&amp;"_"&amp;J6&amp;"_"&amp;K6&amp;"_"&amp;L6&amp;"_"&amp;M6&amp;"_"&amp;N6</f>
        <v>SSA_CCF_VMIN_K_PREHVQK_TITO_SAN_MIN_LFM_0400_PMA</v>
      </c>
      <c r="E6" t="s">
        <v>4</v>
      </c>
      <c r="F6" t="s">
        <v>22</v>
      </c>
      <c r="G6" t="s">
        <v>951</v>
      </c>
      <c r="H6" t="s">
        <v>253</v>
      </c>
      <c r="I6" t="s">
        <v>260</v>
      </c>
      <c r="J6" t="s">
        <v>295</v>
      </c>
      <c r="K6" t="s">
        <v>952</v>
      </c>
      <c r="L6" t="s">
        <v>285</v>
      </c>
      <c r="M6" t="str">
        <f t="shared" si="0"/>
        <v>0400</v>
      </c>
      <c r="N6" t="s">
        <v>1055</v>
      </c>
      <c r="O6" t="s">
        <v>267</v>
      </c>
      <c r="P6" t="s">
        <v>268</v>
      </c>
      <c r="Q6" t="s">
        <v>1056</v>
      </c>
      <c r="R6">
        <v>61</v>
      </c>
      <c r="S6">
        <v>11</v>
      </c>
      <c r="T6">
        <v>202</v>
      </c>
      <c r="U6">
        <v>-1</v>
      </c>
      <c r="V6" t="b">
        <v>1</v>
      </c>
      <c r="W6" t="s">
        <v>298</v>
      </c>
      <c r="X6" t="s">
        <v>960</v>
      </c>
      <c r="AA6">
        <v>2002</v>
      </c>
      <c r="AB6" t="s">
        <v>955</v>
      </c>
      <c r="AM6">
        <f>COUNTA(AO6:AX6)</f>
        <v>2</v>
      </c>
      <c r="AN6">
        <v>1</v>
      </c>
      <c r="AO6">
        <v>1</v>
      </c>
      <c r="AP6">
        <v>1</v>
      </c>
    </row>
    <row r="7" spans="1:50" s="6" customFormat="1" x14ac:dyDescent="0.35">
      <c r="A7" s="5" t="s">
        <v>871</v>
      </c>
      <c r="B7" s="5" t="s">
        <v>50</v>
      </c>
      <c r="C7" s="5" t="str">
        <f>VLOOKUP(B7,templateLookup!A:B,2,0)</f>
        <v>COMPOSITE</v>
      </c>
      <c r="D7" s="5"/>
      <c r="U7"/>
      <c r="V7"/>
    </row>
    <row r="8" spans="1:50" s="6" customFormat="1" x14ac:dyDescent="0.35">
      <c r="A8" s="5" t="s">
        <v>14</v>
      </c>
      <c r="B8" s="5" t="s">
        <v>49</v>
      </c>
      <c r="C8" s="5" t="str">
        <f>VLOOKUP(B8,templateLookup!A:B,2,0)</f>
        <v>COMPOSITE</v>
      </c>
      <c r="D8" s="5" t="s">
        <v>14</v>
      </c>
      <c r="F8" t="s">
        <v>22</v>
      </c>
      <c r="U8"/>
      <c r="V8"/>
    </row>
    <row r="9" spans="1:50" x14ac:dyDescent="0.35">
      <c r="A9" s="3" t="s">
        <v>14</v>
      </c>
      <c r="B9" s="3" t="s">
        <v>77</v>
      </c>
      <c r="C9" s="3" t="str">
        <f>VLOOKUP(B9,templateLookup!A:B,2,0)</f>
        <v>iCHVQKTest</v>
      </c>
      <c r="D9" t="str">
        <f>E9&amp;"_"&amp;F9&amp;"_"&amp;G9&amp;"_"&amp;H9&amp;"_"&amp;A9&amp;"_"&amp;I9&amp;"_"&amp;J9&amp;"_"&amp;K9&amp;"_"&amp;L9&amp;"_"&amp;M9&amp;"_"&amp;N9</f>
        <v>ALL_CCF_HVQK_K_STRESS_TITO_CLRS_MAX_LFM_0400_CBO</v>
      </c>
      <c r="E9" t="s">
        <v>7</v>
      </c>
      <c r="F9" t="s">
        <v>22</v>
      </c>
      <c r="G9" t="s">
        <v>1005</v>
      </c>
      <c r="H9" t="s">
        <v>253</v>
      </c>
      <c r="I9" t="s">
        <v>260</v>
      </c>
      <c r="J9" t="s">
        <v>283</v>
      </c>
      <c r="K9" t="s">
        <v>357</v>
      </c>
      <c r="L9" t="s">
        <v>285</v>
      </c>
      <c r="M9" t="str">
        <f t="shared" ref="M9:M11" si="1">TEXT(400, "0000")</f>
        <v>0400</v>
      </c>
      <c r="N9" t="s">
        <v>1051</v>
      </c>
      <c r="O9" t="s">
        <v>1057</v>
      </c>
      <c r="P9" t="s">
        <v>1052</v>
      </c>
      <c r="Q9" t="s">
        <v>1053</v>
      </c>
      <c r="R9">
        <v>17</v>
      </c>
      <c r="S9">
        <v>61</v>
      </c>
      <c r="T9">
        <v>100</v>
      </c>
      <c r="U9">
        <v>-1</v>
      </c>
      <c r="V9" t="b">
        <v>0</v>
      </c>
      <c r="W9" t="s">
        <v>270</v>
      </c>
      <c r="AL9" t="s">
        <v>1058</v>
      </c>
      <c r="AM9">
        <f t="shared" ref="AM9:AM15" si="2">COUNTA(AO9:AX9)</f>
        <v>5</v>
      </c>
      <c r="AN9" t="s">
        <v>218</v>
      </c>
      <c r="AO9" t="str">
        <f t="shared" ref="AO9:AS10" si="3">$D10</f>
        <v>ALL_CCF_HVQK_K_STRESS_TITO_CLRS_MAX_LFM_0400_SBO</v>
      </c>
      <c r="AP9" t="str">
        <f t="shared" si="3"/>
        <v>ALL_CCF_HVQK_K_STRESS_TITO_CLRS_MAX_LFM_0400_SBO</v>
      </c>
      <c r="AQ9" t="str">
        <f t="shared" si="3"/>
        <v>ALL_CCF_HVQK_K_STRESS_TITO_CLRS_MAX_LFM_0400_SBO</v>
      </c>
      <c r="AR9" t="str">
        <f t="shared" si="3"/>
        <v>ALL_CCF_HVQK_K_STRESS_TITO_CLRS_MAX_LFM_0400_SBO</v>
      </c>
      <c r="AS9" t="str">
        <f t="shared" si="3"/>
        <v>ALL_CCF_HVQK_K_STRESS_TITO_CLRS_MAX_LFM_0400_SBO</v>
      </c>
    </row>
    <row r="10" spans="1:50" x14ac:dyDescent="0.35">
      <c r="A10" s="3" t="s">
        <v>14</v>
      </c>
      <c r="B10" s="3" t="s">
        <v>77</v>
      </c>
      <c r="C10" s="3" t="str">
        <f>VLOOKUP(B10,templateLookup!A:B,2,0)</f>
        <v>iCHVQKTest</v>
      </c>
      <c r="D10" t="str">
        <f>E10&amp;"_"&amp;F10&amp;"_"&amp;G10&amp;"_"&amp;H10&amp;"_"&amp;A10&amp;"_"&amp;I10&amp;"_"&amp;J10&amp;"_"&amp;K10&amp;"_"&amp;L10&amp;"_"&amp;M10&amp;"_"&amp;N10</f>
        <v>ALL_CCF_HVQK_K_STRESS_TITO_CLRS_MAX_LFM_0400_SBO</v>
      </c>
      <c r="E10" t="s">
        <v>7</v>
      </c>
      <c r="F10" t="s">
        <v>22</v>
      </c>
      <c r="G10" t="s">
        <v>1005</v>
      </c>
      <c r="H10" t="s">
        <v>253</v>
      </c>
      <c r="I10" t="s">
        <v>260</v>
      </c>
      <c r="J10" t="s">
        <v>283</v>
      </c>
      <c r="K10" t="s">
        <v>357</v>
      </c>
      <c r="L10" t="s">
        <v>285</v>
      </c>
      <c r="M10" t="str">
        <f t="shared" si="1"/>
        <v>0400</v>
      </c>
      <c r="N10" t="s">
        <v>1054</v>
      </c>
      <c r="O10" t="s">
        <v>1057</v>
      </c>
      <c r="P10" t="s">
        <v>268</v>
      </c>
      <c r="Q10" t="s">
        <v>875</v>
      </c>
      <c r="R10">
        <v>17</v>
      </c>
      <c r="S10">
        <v>61</v>
      </c>
      <c r="T10">
        <v>101</v>
      </c>
      <c r="U10">
        <v>-1</v>
      </c>
      <c r="V10" t="b">
        <v>0</v>
      </c>
      <c r="W10" t="s">
        <v>298</v>
      </c>
      <c r="AL10" t="s">
        <v>1059</v>
      </c>
      <c r="AM10">
        <f t="shared" si="2"/>
        <v>5</v>
      </c>
      <c r="AN10" t="s">
        <v>218</v>
      </c>
      <c r="AO10" t="str">
        <f t="shared" si="3"/>
        <v>SSA_CCF_HVQK_K_STRESS_TITO_SAN_MAX_LFM_0400_PMA</v>
      </c>
      <c r="AP10" t="str">
        <f t="shared" si="3"/>
        <v>SSA_CCF_HVQK_K_STRESS_TITO_SAN_MAX_LFM_0400_PMA</v>
      </c>
      <c r="AQ10" t="str">
        <f t="shared" si="3"/>
        <v>SSA_CCF_HVQK_K_STRESS_TITO_SAN_MAX_LFM_0400_PMA</v>
      </c>
      <c r="AR10" t="str">
        <f t="shared" si="3"/>
        <v>SSA_CCF_HVQK_K_STRESS_TITO_SAN_MAX_LFM_0400_PMA</v>
      </c>
      <c r="AS10" t="str">
        <f t="shared" si="3"/>
        <v>SSA_CCF_HVQK_K_STRESS_TITO_SAN_MAX_LFM_0400_PMA</v>
      </c>
    </row>
    <row r="11" spans="1:50" x14ac:dyDescent="0.35">
      <c r="A11" s="3" t="s">
        <v>14</v>
      </c>
      <c r="B11" s="3" t="s">
        <v>77</v>
      </c>
      <c r="C11" s="3" t="str">
        <f>VLOOKUP(B11,templateLookup!A:B,2,0)</f>
        <v>iCHVQKTest</v>
      </c>
      <c r="D11" t="str">
        <f>E11&amp;"_"&amp;F11&amp;"_"&amp;G11&amp;"_"&amp;H11&amp;"_"&amp;A11&amp;"_"&amp;I11&amp;"_"&amp;J11&amp;"_"&amp;K11&amp;"_"&amp;L11&amp;"_"&amp;M11&amp;"_"&amp;N11</f>
        <v>SSA_CCF_HVQK_K_STRESS_TITO_SAN_MAX_LFM_0400_PMA</v>
      </c>
      <c r="E11" t="s">
        <v>4</v>
      </c>
      <c r="F11" t="s">
        <v>22</v>
      </c>
      <c r="G11" t="s">
        <v>1005</v>
      </c>
      <c r="H11" t="s">
        <v>253</v>
      </c>
      <c r="I11" t="s">
        <v>260</v>
      </c>
      <c r="J11" t="s">
        <v>295</v>
      </c>
      <c r="K11" t="s">
        <v>357</v>
      </c>
      <c r="L11" t="s">
        <v>285</v>
      </c>
      <c r="M11" t="str">
        <f t="shared" si="1"/>
        <v>0400</v>
      </c>
      <c r="N11" t="s">
        <v>1055</v>
      </c>
      <c r="O11" t="s">
        <v>1057</v>
      </c>
      <c r="P11" t="s">
        <v>268</v>
      </c>
      <c r="Q11" t="s">
        <v>1056</v>
      </c>
      <c r="R11">
        <v>17</v>
      </c>
      <c r="S11">
        <v>61</v>
      </c>
      <c r="T11">
        <v>102</v>
      </c>
      <c r="U11">
        <v>-1</v>
      </c>
      <c r="V11" t="b">
        <v>0</v>
      </c>
      <c r="W11" t="s">
        <v>298</v>
      </c>
      <c r="AL11" t="s">
        <v>1060</v>
      </c>
      <c r="AM11">
        <f t="shared" si="2"/>
        <v>5</v>
      </c>
      <c r="AN11" t="s">
        <v>218</v>
      </c>
      <c r="AO11">
        <v>1</v>
      </c>
      <c r="AP11">
        <v>1</v>
      </c>
      <c r="AQ11">
        <v>1</v>
      </c>
      <c r="AR11">
        <v>1</v>
      </c>
      <c r="AS11">
        <v>1</v>
      </c>
    </row>
    <row r="12" spans="1:50" x14ac:dyDescent="0.35">
      <c r="A12" s="23" t="s">
        <v>14</v>
      </c>
      <c r="B12" s="23" t="s">
        <v>49</v>
      </c>
      <c r="C12" s="23" t="str">
        <f>VLOOKUP(B12,templateLookup!A:B,2,0)</f>
        <v>COMPOSITE</v>
      </c>
      <c r="D12" s="23" t="s">
        <v>1010</v>
      </c>
      <c r="F12" t="s">
        <v>22</v>
      </c>
      <c r="AM12">
        <f t="shared" si="2"/>
        <v>2</v>
      </c>
      <c r="AN12">
        <v>1</v>
      </c>
      <c r="AO12">
        <v>1</v>
      </c>
      <c r="AP12">
        <v>1</v>
      </c>
    </row>
    <row r="13" spans="1:50" x14ac:dyDescent="0.35">
      <c r="A13" s="23" t="s">
        <v>14</v>
      </c>
      <c r="B13" s="24" t="s">
        <v>102</v>
      </c>
      <c r="C13" s="24" t="str">
        <f>VLOOKUP(B13,templateLookup!A:B,2,0)</f>
        <v>PrimeShmooTestMethod</v>
      </c>
      <c r="D13" t="str">
        <f>E13&amp;"_"&amp;F13&amp;"_"&amp;G13&amp;"_"&amp;H13&amp;"_"&amp;A13&amp;"_"&amp;I13&amp;"_"&amp;J13&amp;"_"&amp;K13&amp;"_"&amp;L13&amp;"_"&amp;M13&amp;"_"&amp;N13</f>
        <v>ALL_CCF_SHMOO_E_STRESS_TITO_CLRS_MAX_LFM_0400_CBO</v>
      </c>
      <c r="E13" t="s">
        <v>7</v>
      </c>
      <c r="F13" t="s">
        <v>22</v>
      </c>
      <c r="G13" t="s">
        <v>1011</v>
      </c>
      <c r="H13" t="s">
        <v>207</v>
      </c>
      <c r="I13" t="s">
        <v>260</v>
      </c>
      <c r="J13" t="s">
        <v>283</v>
      </c>
      <c r="K13" t="s">
        <v>357</v>
      </c>
      <c r="L13" t="s">
        <v>285</v>
      </c>
      <c r="M13" t="str">
        <f t="shared" ref="M13:M15" si="4">TEXT(400, "0000")</f>
        <v>0400</v>
      </c>
      <c r="N13" t="s">
        <v>1051</v>
      </c>
      <c r="O13" t="s">
        <v>1012</v>
      </c>
      <c r="P13" t="s">
        <v>1052</v>
      </c>
      <c r="Q13" t="s">
        <v>1053</v>
      </c>
      <c r="R13">
        <v>17</v>
      </c>
      <c r="S13">
        <v>61</v>
      </c>
      <c r="T13">
        <v>103</v>
      </c>
      <c r="U13">
        <v>1</v>
      </c>
      <c r="V13" t="b">
        <v>0</v>
      </c>
      <c r="W13" t="s">
        <v>270</v>
      </c>
      <c r="AC13" t="s">
        <v>1061</v>
      </c>
      <c r="AM13">
        <f t="shared" si="2"/>
        <v>4</v>
      </c>
      <c r="AN13" t="s">
        <v>920</v>
      </c>
      <c r="AO13" t="str">
        <f t="shared" ref="AO13:AR14" si="5">$D14</f>
        <v>ALL_CCF_SHMOO_E_STRESS_TITO_CLRS_MAX_LFM_0400_SBO</v>
      </c>
      <c r="AP13" t="str">
        <f t="shared" si="5"/>
        <v>ALL_CCF_SHMOO_E_STRESS_TITO_CLRS_MAX_LFM_0400_SBO</v>
      </c>
      <c r="AQ13" t="str">
        <f t="shared" si="5"/>
        <v>ALL_CCF_SHMOO_E_STRESS_TITO_CLRS_MAX_LFM_0400_SBO</v>
      </c>
      <c r="AR13" t="str">
        <f t="shared" si="5"/>
        <v>ALL_CCF_SHMOO_E_STRESS_TITO_CLRS_MAX_LFM_0400_SBO</v>
      </c>
    </row>
    <row r="14" spans="1:50" x14ac:dyDescent="0.35">
      <c r="A14" s="23" t="s">
        <v>14</v>
      </c>
      <c r="B14" s="24" t="s">
        <v>102</v>
      </c>
      <c r="C14" s="24" t="str">
        <f>VLOOKUP(B14,templateLookup!A:B,2,0)</f>
        <v>PrimeShmooTestMethod</v>
      </c>
      <c r="D14" t="str">
        <f>E14&amp;"_"&amp;F14&amp;"_"&amp;G14&amp;"_"&amp;H14&amp;"_"&amp;A14&amp;"_"&amp;I14&amp;"_"&amp;J14&amp;"_"&amp;K14&amp;"_"&amp;L14&amp;"_"&amp;M14&amp;"_"&amp;N14</f>
        <v>ALL_CCF_SHMOO_E_STRESS_TITO_CLRS_MAX_LFM_0400_SBO</v>
      </c>
      <c r="E14" t="s">
        <v>7</v>
      </c>
      <c r="F14" t="s">
        <v>22</v>
      </c>
      <c r="G14" t="s">
        <v>1011</v>
      </c>
      <c r="H14" t="s">
        <v>207</v>
      </c>
      <c r="I14" t="s">
        <v>260</v>
      </c>
      <c r="J14" t="s">
        <v>283</v>
      </c>
      <c r="K14" t="s">
        <v>357</v>
      </c>
      <c r="L14" t="s">
        <v>285</v>
      </c>
      <c r="M14" t="str">
        <f t="shared" si="4"/>
        <v>0400</v>
      </c>
      <c r="N14" t="s">
        <v>1054</v>
      </c>
      <c r="O14" t="s">
        <v>1012</v>
      </c>
      <c r="P14" t="s">
        <v>268</v>
      </c>
      <c r="Q14" t="s">
        <v>875</v>
      </c>
      <c r="R14">
        <v>17</v>
      </c>
      <c r="S14">
        <v>61</v>
      </c>
      <c r="T14">
        <v>104</v>
      </c>
      <c r="U14">
        <v>1</v>
      </c>
      <c r="V14" s="12" t="b">
        <v>0</v>
      </c>
      <c r="W14" t="s">
        <v>298</v>
      </c>
      <c r="AC14" t="s">
        <v>1062</v>
      </c>
      <c r="AM14">
        <f t="shared" si="2"/>
        <v>4</v>
      </c>
      <c r="AN14" t="s">
        <v>920</v>
      </c>
      <c r="AO14" t="str">
        <f t="shared" si="5"/>
        <v>SSA_CCF_SHMOO_E_STRESS_TITO_SAN_MAX_LFM_0400_PMA</v>
      </c>
      <c r="AP14" t="str">
        <f t="shared" si="5"/>
        <v>SSA_CCF_SHMOO_E_STRESS_TITO_SAN_MAX_LFM_0400_PMA</v>
      </c>
      <c r="AQ14" t="str">
        <f t="shared" si="5"/>
        <v>SSA_CCF_SHMOO_E_STRESS_TITO_SAN_MAX_LFM_0400_PMA</v>
      </c>
      <c r="AR14" t="str">
        <f t="shared" si="5"/>
        <v>SSA_CCF_SHMOO_E_STRESS_TITO_SAN_MAX_LFM_0400_PMA</v>
      </c>
    </row>
    <row r="15" spans="1:50" x14ac:dyDescent="0.35">
      <c r="A15" s="23" t="s">
        <v>14</v>
      </c>
      <c r="B15" s="24" t="s">
        <v>102</v>
      </c>
      <c r="C15" s="24" t="str">
        <f>VLOOKUP(B15,templateLookup!A:B,2,0)</f>
        <v>PrimeShmooTestMethod</v>
      </c>
      <c r="D15" t="str">
        <f>E15&amp;"_"&amp;F15&amp;"_"&amp;G15&amp;"_"&amp;H15&amp;"_"&amp;A15&amp;"_"&amp;I15&amp;"_"&amp;J15&amp;"_"&amp;K15&amp;"_"&amp;L15&amp;"_"&amp;M15&amp;"_"&amp;N15</f>
        <v>SSA_CCF_SHMOO_E_STRESS_TITO_SAN_MAX_LFM_0400_PMA</v>
      </c>
      <c r="E15" t="s">
        <v>4</v>
      </c>
      <c r="F15" t="s">
        <v>22</v>
      </c>
      <c r="G15" t="s">
        <v>1011</v>
      </c>
      <c r="H15" t="s">
        <v>207</v>
      </c>
      <c r="I15" t="s">
        <v>260</v>
      </c>
      <c r="J15" t="s">
        <v>295</v>
      </c>
      <c r="K15" t="s">
        <v>357</v>
      </c>
      <c r="L15" t="s">
        <v>285</v>
      </c>
      <c r="M15" t="str">
        <f t="shared" si="4"/>
        <v>0400</v>
      </c>
      <c r="N15" t="s">
        <v>1055</v>
      </c>
      <c r="O15" t="s">
        <v>1012</v>
      </c>
      <c r="P15" t="s">
        <v>268</v>
      </c>
      <c r="Q15" t="s">
        <v>1056</v>
      </c>
      <c r="R15">
        <v>17</v>
      </c>
      <c r="S15">
        <v>61</v>
      </c>
      <c r="T15">
        <v>105</v>
      </c>
      <c r="U15">
        <v>1</v>
      </c>
      <c r="V15" t="b">
        <v>0</v>
      </c>
      <c r="W15" t="s">
        <v>298</v>
      </c>
      <c r="AC15" t="s">
        <v>1062</v>
      </c>
      <c r="AM15">
        <f t="shared" si="2"/>
        <v>4</v>
      </c>
      <c r="AN15" t="s">
        <v>920</v>
      </c>
      <c r="AO15">
        <v>1</v>
      </c>
      <c r="AP15">
        <v>1</v>
      </c>
      <c r="AQ15">
        <v>1</v>
      </c>
      <c r="AR15">
        <v>1</v>
      </c>
    </row>
    <row r="16" spans="1:50" x14ac:dyDescent="0.35">
      <c r="A16" s="23" t="s">
        <v>14</v>
      </c>
      <c r="B16" s="23" t="s">
        <v>50</v>
      </c>
      <c r="C16" s="23" t="str">
        <f>VLOOKUP(B16,templateLookup!A:B,2,0)</f>
        <v>COMPOSITE</v>
      </c>
      <c r="D16" s="10"/>
    </row>
    <row r="17" spans="1:42" s="6" customFormat="1" x14ac:dyDescent="0.35">
      <c r="A17" s="5" t="s">
        <v>14</v>
      </c>
      <c r="B17" s="5" t="s">
        <v>50</v>
      </c>
      <c r="C17" s="5" t="str">
        <f>VLOOKUP(B17,templateLookup!A:B,2,0)</f>
        <v>COMPOSITE</v>
      </c>
      <c r="D17" s="5"/>
      <c r="U17"/>
      <c r="V17"/>
    </row>
    <row r="18" spans="1:42" s="6" customFormat="1" x14ac:dyDescent="0.35">
      <c r="A18" s="5" t="s">
        <v>1015</v>
      </c>
      <c r="B18" s="5" t="s">
        <v>49</v>
      </c>
      <c r="C18" s="5" t="str">
        <f>VLOOKUP(B18,templateLookup!A:B,2,0)</f>
        <v>COMPOSITE</v>
      </c>
      <c r="D18" s="5" t="s">
        <v>1015</v>
      </c>
      <c r="F18" t="s">
        <v>22</v>
      </c>
      <c r="U18"/>
      <c r="V18" s="12"/>
    </row>
    <row r="19" spans="1:42" x14ac:dyDescent="0.35">
      <c r="A19" s="22" t="s">
        <v>1015</v>
      </c>
      <c r="B19" s="22" t="s">
        <v>65</v>
      </c>
      <c r="C19" s="22" t="str">
        <f>VLOOKUP(B19,templateLookup!A:B,2,0)</f>
        <v>PrimeVminSearchTestMethod</v>
      </c>
      <c r="D19" t="str">
        <f>E19&amp;"_"&amp;F19&amp;"_"&amp;G19&amp;"_"&amp;H19&amp;"_"&amp;A19&amp;"_"&amp;I19&amp;"_"&amp;J19&amp;"_"&amp;K19&amp;"_"&amp;L19&amp;"_"&amp;M19&amp;"_"&amp;N19</f>
        <v>ALL_CCF_VMIN_K_POSTHVQK_TITO_CLRS_MIN_LFM_0400_CBO</v>
      </c>
      <c r="E19" t="s">
        <v>7</v>
      </c>
      <c r="F19" t="s">
        <v>22</v>
      </c>
      <c r="G19" t="s">
        <v>951</v>
      </c>
      <c r="H19" t="s">
        <v>253</v>
      </c>
      <c r="I19" t="s">
        <v>260</v>
      </c>
      <c r="J19" t="s">
        <v>283</v>
      </c>
      <c r="K19" t="s">
        <v>952</v>
      </c>
      <c r="L19" t="s">
        <v>285</v>
      </c>
      <c r="M19" t="str">
        <f t="shared" ref="M19:M21" si="6">TEXT(400, "0000")</f>
        <v>0400</v>
      </c>
      <c r="N19" t="s">
        <v>1051</v>
      </c>
      <c r="O19" t="s">
        <v>267</v>
      </c>
      <c r="P19" t="s">
        <v>1052</v>
      </c>
      <c r="Q19" t="s">
        <v>1053</v>
      </c>
      <c r="R19">
        <v>26</v>
      </c>
      <c r="S19">
        <v>61</v>
      </c>
      <c r="T19">
        <v>150</v>
      </c>
      <c r="U19">
        <v>-1</v>
      </c>
      <c r="V19" t="b">
        <v>1</v>
      </c>
      <c r="W19" t="s">
        <v>270</v>
      </c>
      <c r="X19" t="s">
        <v>960</v>
      </c>
      <c r="Y19" t="s">
        <v>281</v>
      </c>
      <c r="AA19">
        <v>2010</v>
      </c>
      <c r="AB19" t="s">
        <v>955</v>
      </c>
      <c r="AM19">
        <f>COUNTA(AO19:AX19)</f>
        <v>2</v>
      </c>
      <c r="AN19">
        <v>1</v>
      </c>
      <c r="AO19" t="str">
        <f>$D20</f>
        <v>ALL_CCF_VMIN_K_POSTHVQK_TITO_CLRS_MIN_LFM_0400_SBO</v>
      </c>
      <c r="AP19" t="str">
        <f>$D20</f>
        <v>ALL_CCF_VMIN_K_POSTHVQK_TITO_CLRS_MIN_LFM_0400_SBO</v>
      </c>
    </row>
    <row r="20" spans="1:42" x14ac:dyDescent="0.35">
      <c r="A20" s="22" t="s">
        <v>1015</v>
      </c>
      <c r="B20" s="22" t="s">
        <v>65</v>
      </c>
      <c r="C20" s="22" t="str">
        <f>VLOOKUP(B20,templateLookup!A:B,2,0)</f>
        <v>PrimeVminSearchTestMethod</v>
      </c>
      <c r="D20" t="str">
        <f>E20&amp;"_"&amp;F20&amp;"_"&amp;G20&amp;"_"&amp;H20&amp;"_"&amp;A20&amp;"_"&amp;I20&amp;"_"&amp;J20&amp;"_"&amp;K20&amp;"_"&amp;L20&amp;"_"&amp;M20&amp;"_"&amp;N20</f>
        <v>ALL_CCF_VMIN_K_POSTHVQK_TITO_CLRS_MIN_LFM_0400_SBO</v>
      </c>
      <c r="E20" t="s">
        <v>7</v>
      </c>
      <c r="F20" t="s">
        <v>22</v>
      </c>
      <c r="G20" t="s">
        <v>951</v>
      </c>
      <c r="H20" t="s">
        <v>253</v>
      </c>
      <c r="I20" t="s">
        <v>260</v>
      </c>
      <c r="J20" t="s">
        <v>283</v>
      </c>
      <c r="K20" t="s">
        <v>952</v>
      </c>
      <c r="L20" t="s">
        <v>285</v>
      </c>
      <c r="M20" t="str">
        <f t="shared" si="6"/>
        <v>0400</v>
      </c>
      <c r="N20" t="s">
        <v>1054</v>
      </c>
      <c r="O20" t="s">
        <v>267</v>
      </c>
      <c r="P20" t="s">
        <v>268</v>
      </c>
      <c r="Q20" t="s">
        <v>875</v>
      </c>
      <c r="R20">
        <v>26</v>
      </c>
      <c r="S20">
        <v>21</v>
      </c>
      <c r="T20">
        <v>151</v>
      </c>
      <c r="U20">
        <v>-1</v>
      </c>
      <c r="V20" t="b">
        <v>1</v>
      </c>
      <c r="W20" t="s">
        <v>298</v>
      </c>
      <c r="X20" t="s">
        <v>960</v>
      </c>
      <c r="AA20">
        <v>2011</v>
      </c>
      <c r="AB20" t="s">
        <v>955</v>
      </c>
      <c r="AM20">
        <f>COUNTA(AO20:AX20)</f>
        <v>2</v>
      </c>
      <c r="AN20">
        <v>1</v>
      </c>
      <c r="AO20" t="str">
        <f>$D21</f>
        <v>SSA_CCF_VMIN_K_POSTHVQK_TITO_SAN_MIN_LFM_0400_PMA</v>
      </c>
      <c r="AP20" t="str">
        <f>$D21</f>
        <v>SSA_CCF_VMIN_K_POSTHVQK_TITO_SAN_MIN_LFM_0400_PMA</v>
      </c>
    </row>
    <row r="21" spans="1:42" x14ac:dyDescent="0.35">
      <c r="A21" s="22" t="s">
        <v>1015</v>
      </c>
      <c r="B21" s="22" t="s">
        <v>65</v>
      </c>
      <c r="C21" s="22" t="str">
        <f>VLOOKUP(B21,templateLookup!A:B,2,0)</f>
        <v>PrimeVminSearchTestMethod</v>
      </c>
      <c r="D21" t="str">
        <f>E21&amp;"_"&amp;F21&amp;"_"&amp;G21&amp;"_"&amp;H21&amp;"_"&amp;A21&amp;"_"&amp;I21&amp;"_"&amp;J21&amp;"_"&amp;K21&amp;"_"&amp;L21&amp;"_"&amp;M21&amp;"_"&amp;N21</f>
        <v>SSA_CCF_VMIN_K_POSTHVQK_TITO_SAN_MIN_LFM_0400_PMA</v>
      </c>
      <c r="E21" t="s">
        <v>4</v>
      </c>
      <c r="F21" t="s">
        <v>22</v>
      </c>
      <c r="G21" t="s">
        <v>951</v>
      </c>
      <c r="H21" t="s">
        <v>253</v>
      </c>
      <c r="I21" t="s">
        <v>260</v>
      </c>
      <c r="J21" t="s">
        <v>295</v>
      </c>
      <c r="K21" t="s">
        <v>952</v>
      </c>
      <c r="L21" t="s">
        <v>285</v>
      </c>
      <c r="M21" t="str">
        <f t="shared" si="6"/>
        <v>0400</v>
      </c>
      <c r="N21" t="s">
        <v>1055</v>
      </c>
      <c r="O21" t="s">
        <v>267</v>
      </c>
      <c r="P21" t="s">
        <v>268</v>
      </c>
      <c r="Q21" t="s">
        <v>1056</v>
      </c>
      <c r="R21">
        <v>26</v>
      </c>
      <c r="S21">
        <v>61</v>
      </c>
      <c r="T21">
        <v>152</v>
      </c>
      <c r="U21">
        <v>-1</v>
      </c>
      <c r="V21" s="12" t="b">
        <v>1</v>
      </c>
      <c r="W21" t="s">
        <v>298</v>
      </c>
      <c r="X21" t="s">
        <v>960</v>
      </c>
      <c r="AA21">
        <v>2012</v>
      </c>
      <c r="AB21" t="s">
        <v>955</v>
      </c>
      <c r="AM21">
        <f>COUNTA(AO21:AX21)</f>
        <v>2</v>
      </c>
      <c r="AN21">
        <v>1</v>
      </c>
      <c r="AO21">
        <v>1</v>
      </c>
      <c r="AP21">
        <v>1</v>
      </c>
    </row>
    <row r="22" spans="1:42" s="6" customFormat="1" x14ac:dyDescent="0.35">
      <c r="A22" s="5" t="s">
        <v>1015</v>
      </c>
      <c r="B22" s="5" t="s">
        <v>50</v>
      </c>
      <c r="C22" s="5" t="str">
        <f>VLOOKUP(B22,templateLookup!A:B,2,0)</f>
        <v>COMPOSITE</v>
      </c>
      <c r="D22" s="5"/>
      <c r="U22"/>
      <c r="V22"/>
    </row>
    <row r="23" spans="1:42" s="6" customFormat="1" x14ac:dyDescent="0.35">
      <c r="A23" s="5" t="s">
        <v>21</v>
      </c>
      <c r="B23" s="5" t="s">
        <v>49</v>
      </c>
      <c r="C23" s="5" t="str">
        <f>VLOOKUP(B23,templateLookup!A:B,2,0)</f>
        <v>COMPOSITE</v>
      </c>
      <c r="D23" s="5" t="s">
        <v>21</v>
      </c>
      <c r="F23" t="s">
        <v>22</v>
      </c>
      <c r="U23"/>
      <c r="V23"/>
    </row>
    <row r="24" spans="1:42" x14ac:dyDescent="0.35">
      <c r="A24" s="21" t="s">
        <v>21</v>
      </c>
      <c r="B24" s="21" t="s">
        <v>49</v>
      </c>
      <c r="C24" s="21" t="str">
        <f>VLOOKUP(B24,templateLookup!A:B,2,0)</f>
        <v>COMPOSITE</v>
      </c>
      <c r="D24" s="10" t="s">
        <v>1017</v>
      </c>
      <c r="F24" t="s">
        <v>22</v>
      </c>
      <c r="AM24">
        <f t="shared" ref="AM24:AM32" si="7">COUNTA(AO24:AX24)</f>
        <v>2</v>
      </c>
      <c r="AN24">
        <v>1</v>
      </c>
      <c r="AO24" t="s">
        <v>1029</v>
      </c>
      <c r="AP24" t="s">
        <v>1029</v>
      </c>
    </row>
    <row r="25" spans="1:42" x14ac:dyDescent="0.35">
      <c r="A25" s="22" t="s">
        <v>21</v>
      </c>
      <c r="B25" s="22" t="s">
        <v>62</v>
      </c>
      <c r="C25" s="22" t="str">
        <f>VLOOKUP(B25,templateLookup!A:B,2,0)</f>
        <v>PrimeVminSearchTestMethod</v>
      </c>
      <c r="D25" t="str">
        <f t="shared" ref="D25:D32" si="8">E25&amp;"_"&amp;F25&amp;"_"&amp;G25&amp;"_"&amp;H25&amp;"_"&amp;A25&amp;"_"&amp;I25&amp;"_"&amp;J25&amp;"_"&amp;K25&amp;"_"&amp;L25&amp;"_"&amp;M25&amp;"_"&amp;N25</f>
        <v>ALL_CCF_VCHK_K_END_TITO_CLRS_NOM_LFM_1200_CBO</v>
      </c>
      <c r="E25" t="s">
        <v>7</v>
      </c>
      <c r="F25" t="s">
        <v>22</v>
      </c>
      <c r="G25" t="s">
        <v>1018</v>
      </c>
      <c r="H25" t="s">
        <v>253</v>
      </c>
      <c r="I25" t="s">
        <v>260</v>
      </c>
      <c r="J25" t="s">
        <v>283</v>
      </c>
      <c r="K25" t="s">
        <v>284</v>
      </c>
      <c r="L25" t="s">
        <v>285</v>
      </c>
      <c r="M25">
        <v>1200</v>
      </c>
      <c r="N25" t="s">
        <v>1051</v>
      </c>
      <c r="O25" t="s">
        <v>267</v>
      </c>
      <c r="P25" t="s">
        <v>268</v>
      </c>
      <c r="Q25" s="6" t="s">
        <v>1063</v>
      </c>
      <c r="R25">
        <v>61</v>
      </c>
      <c r="S25">
        <v>12</v>
      </c>
      <c r="T25">
        <v>500</v>
      </c>
      <c r="U25">
        <v>1</v>
      </c>
      <c r="V25" t="b">
        <v>0</v>
      </c>
      <c r="W25" t="s">
        <v>270</v>
      </c>
      <c r="X25" t="s">
        <v>257</v>
      </c>
      <c r="Y25" t="s">
        <v>1064</v>
      </c>
      <c r="AA25">
        <v>2020</v>
      </c>
      <c r="AB25" t="s">
        <v>1021</v>
      </c>
      <c r="AM25">
        <f t="shared" si="7"/>
        <v>2</v>
      </c>
      <c r="AN25">
        <v>1</v>
      </c>
      <c r="AO25" t="str">
        <f t="shared" ref="AO25:AP31" si="9">$D26</f>
        <v>SSA_CCF_VCHK_K_END_TITO_CLRS_NOM_LFM_1200_CBO_SSA_FF</v>
      </c>
      <c r="AP25" t="str">
        <f t="shared" si="9"/>
        <v>SSA_CCF_VCHK_K_END_TITO_CLRS_NOM_LFM_1200_CBO_SSA_FF</v>
      </c>
    </row>
    <row r="26" spans="1:42" x14ac:dyDescent="0.35">
      <c r="A26" s="22" t="s">
        <v>21</v>
      </c>
      <c r="B26" s="22" t="s">
        <v>62</v>
      </c>
      <c r="C26" s="22" t="str">
        <f>VLOOKUP(B26,templateLookup!A:B,2,0)</f>
        <v>PrimeVminSearchTestMethod</v>
      </c>
      <c r="D26" t="str">
        <f t="shared" si="8"/>
        <v>SSA_CCF_VCHK_K_END_TITO_CLRS_NOM_LFM_1200_CBO_SSA_FF</v>
      </c>
      <c r="E26" t="s">
        <v>4</v>
      </c>
      <c r="F26" t="s">
        <v>22</v>
      </c>
      <c r="G26" t="s">
        <v>1018</v>
      </c>
      <c r="H26" t="s">
        <v>253</v>
      </c>
      <c r="I26" t="s">
        <v>260</v>
      </c>
      <c r="J26" t="s">
        <v>283</v>
      </c>
      <c r="K26" t="s">
        <v>284</v>
      </c>
      <c r="L26" t="s">
        <v>285</v>
      </c>
      <c r="M26">
        <v>1200</v>
      </c>
      <c r="N26" t="s">
        <v>1065</v>
      </c>
      <c r="O26" t="s">
        <v>267</v>
      </c>
      <c r="P26" t="s">
        <v>268</v>
      </c>
      <c r="Q26" t="s">
        <v>1063</v>
      </c>
      <c r="R26">
        <v>61</v>
      </c>
      <c r="S26">
        <v>12</v>
      </c>
      <c r="T26">
        <v>501</v>
      </c>
      <c r="U26">
        <v>-1</v>
      </c>
      <c r="V26" t="b">
        <v>1</v>
      </c>
      <c r="W26" t="s">
        <v>270</v>
      </c>
      <c r="X26" t="s">
        <v>257</v>
      </c>
      <c r="Y26" t="s">
        <v>1064</v>
      </c>
      <c r="AA26">
        <v>2021</v>
      </c>
      <c r="AB26" t="s">
        <v>1021</v>
      </c>
      <c r="AM26">
        <f t="shared" si="7"/>
        <v>2</v>
      </c>
      <c r="AN26">
        <v>1</v>
      </c>
      <c r="AO26" t="str">
        <f t="shared" si="9"/>
        <v>LSA_CCF_VCHK_K_END_TITO_CLR_NOM_LFM_1200_CBO_LSA_FF</v>
      </c>
      <c r="AP26" t="str">
        <f t="shared" si="9"/>
        <v>LSA_CCF_VCHK_K_END_TITO_CLR_NOM_LFM_1200_CBO_LSA_FF</v>
      </c>
    </row>
    <row r="27" spans="1:42" x14ac:dyDescent="0.35">
      <c r="A27" s="22" t="s">
        <v>21</v>
      </c>
      <c r="B27" s="22" t="s">
        <v>62</v>
      </c>
      <c r="C27" s="22" t="str">
        <f>VLOOKUP(B27,templateLookup!A:B,2,0)</f>
        <v>PrimeVminSearchTestMethod</v>
      </c>
      <c r="D27" t="str">
        <f t="shared" si="8"/>
        <v>LSA_CCF_VCHK_K_END_TITO_CLR_NOM_LFM_1200_CBO_LSA_FF</v>
      </c>
      <c r="E27" t="s">
        <v>5</v>
      </c>
      <c r="F27" t="s">
        <v>22</v>
      </c>
      <c r="G27" t="s">
        <v>1018</v>
      </c>
      <c r="H27" t="s">
        <v>253</v>
      </c>
      <c r="I27" t="s">
        <v>260</v>
      </c>
      <c r="J27" t="s">
        <v>300</v>
      </c>
      <c r="K27" t="s">
        <v>284</v>
      </c>
      <c r="L27" t="s">
        <v>285</v>
      </c>
      <c r="M27">
        <v>1200</v>
      </c>
      <c r="N27" t="s">
        <v>1066</v>
      </c>
      <c r="O27" t="s">
        <v>267</v>
      </c>
      <c r="P27" t="s">
        <v>268</v>
      </c>
      <c r="Q27" t="s">
        <v>1067</v>
      </c>
      <c r="R27">
        <v>21</v>
      </c>
      <c r="S27">
        <v>12</v>
      </c>
      <c r="T27">
        <v>502</v>
      </c>
      <c r="U27">
        <v>-1</v>
      </c>
      <c r="V27" t="b">
        <v>1</v>
      </c>
      <c r="W27" t="s">
        <v>270</v>
      </c>
      <c r="X27" t="s">
        <v>960</v>
      </c>
      <c r="AA27">
        <v>2022</v>
      </c>
      <c r="AB27" t="s">
        <v>1021</v>
      </c>
      <c r="AM27">
        <f t="shared" si="7"/>
        <v>2</v>
      </c>
      <c r="AN27">
        <v>1</v>
      </c>
      <c r="AO27" t="str">
        <f t="shared" si="9"/>
        <v>ALL_CCF_VCHK_K_END_TITO_CLRS_NOM_LFM_0400_SBO</v>
      </c>
      <c r="AP27" t="str">
        <f t="shared" si="9"/>
        <v>ALL_CCF_VCHK_K_END_TITO_CLRS_NOM_LFM_0400_SBO</v>
      </c>
    </row>
    <row r="28" spans="1:42" x14ac:dyDescent="0.35">
      <c r="A28" s="22" t="s">
        <v>21</v>
      </c>
      <c r="B28" s="22" t="s">
        <v>62</v>
      </c>
      <c r="C28" s="22" t="str">
        <f>VLOOKUP(B28,templateLookup!A:B,2,0)</f>
        <v>PrimeVminSearchTestMethod</v>
      </c>
      <c r="D28" t="str">
        <f t="shared" si="8"/>
        <v>ALL_CCF_VCHK_K_END_TITO_CLRS_NOM_LFM_0400_SBO</v>
      </c>
      <c r="E28" t="s">
        <v>7</v>
      </c>
      <c r="F28" t="s">
        <v>22</v>
      </c>
      <c r="G28" t="s">
        <v>1018</v>
      </c>
      <c r="H28" t="s">
        <v>253</v>
      </c>
      <c r="I28" t="s">
        <v>260</v>
      </c>
      <c r="J28" t="s">
        <v>283</v>
      </c>
      <c r="K28" t="s">
        <v>284</v>
      </c>
      <c r="L28" t="s">
        <v>285</v>
      </c>
      <c r="M28" t="str">
        <f t="shared" ref="M28:M32" si="10">TEXT(400, "0000")</f>
        <v>0400</v>
      </c>
      <c r="N28" t="s">
        <v>1054</v>
      </c>
      <c r="O28" t="s">
        <v>267</v>
      </c>
      <c r="P28" t="s">
        <v>268</v>
      </c>
      <c r="Q28" s="6" t="s">
        <v>1068</v>
      </c>
      <c r="R28">
        <v>61</v>
      </c>
      <c r="S28">
        <v>12</v>
      </c>
      <c r="T28">
        <v>503</v>
      </c>
      <c r="U28">
        <v>1</v>
      </c>
      <c r="V28" t="b">
        <v>0</v>
      </c>
      <c r="W28" t="s">
        <v>298</v>
      </c>
      <c r="X28" t="s">
        <v>960</v>
      </c>
      <c r="AA28">
        <v>2023</v>
      </c>
      <c r="AB28" t="s">
        <v>1021</v>
      </c>
      <c r="AM28">
        <f t="shared" si="7"/>
        <v>2</v>
      </c>
      <c r="AN28">
        <v>1</v>
      </c>
      <c r="AO28" t="str">
        <f t="shared" si="9"/>
        <v>SSA_CCF_VCHK_K_END_TITO_CLRS_NOM_LFM_0400_SBO_SSA_FF</v>
      </c>
      <c r="AP28" t="str">
        <f t="shared" si="9"/>
        <v>SSA_CCF_VCHK_K_END_TITO_CLRS_NOM_LFM_0400_SBO_SSA_FF</v>
      </c>
    </row>
    <row r="29" spans="1:42" x14ac:dyDescent="0.35">
      <c r="A29" s="22" t="s">
        <v>21</v>
      </c>
      <c r="B29" s="22" t="s">
        <v>62</v>
      </c>
      <c r="C29" s="22" t="str">
        <f>VLOOKUP(B29,templateLookup!A:B,2,0)</f>
        <v>PrimeVminSearchTestMethod</v>
      </c>
      <c r="D29" t="str">
        <f t="shared" si="8"/>
        <v>SSA_CCF_VCHK_K_END_TITO_CLRS_NOM_LFM_0400_SBO_SSA_FF</v>
      </c>
      <c r="E29" t="s">
        <v>4</v>
      </c>
      <c r="F29" t="s">
        <v>22</v>
      </c>
      <c r="G29" t="s">
        <v>1018</v>
      </c>
      <c r="H29" t="s">
        <v>253</v>
      </c>
      <c r="I29" t="s">
        <v>260</v>
      </c>
      <c r="J29" t="s">
        <v>283</v>
      </c>
      <c r="K29" t="s">
        <v>284</v>
      </c>
      <c r="L29" t="s">
        <v>285</v>
      </c>
      <c r="M29" t="str">
        <f t="shared" si="10"/>
        <v>0400</v>
      </c>
      <c r="N29" t="s">
        <v>1069</v>
      </c>
      <c r="O29" t="s">
        <v>267</v>
      </c>
      <c r="P29" t="s">
        <v>268</v>
      </c>
      <c r="Q29" t="s">
        <v>1070</v>
      </c>
      <c r="R29">
        <v>61</v>
      </c>
      <c r="S29">
        <v>12</v>
      </c>
      <c r="T29">
        <v>504</v>
      </c>
      <c r="U29">
        <v>-1</v>
      </c>
      <c r="V29" t="b">
        <v>1</v>
      </c>
      <c r="W29" t="s">
        <v>298</v>
      </c>
      <c r="X29" t="s">
        <v>960</v>
      </c>
      <c r="AA29">
        <v>2024</v>
      </c>
      <c r="AB29" t="s">
        <v>1021</v>
      </c>
      <c r="AM29">
        <f t="shared" si="7"/>
        <v>2</v>
      </c>
      <c r="AN29">
        <v>1</v>
      </c>
      <c r="AO29" t="str">
        <f t="shared" si="9"/>
        <v>LSA_CCF_VCHK_K_END_TITO_CLR_NOM_LFM_0400_SBO_LSA_FF</v>
      </c>
      <c r="AP29" t="str">
        <f t="shared" si="9"/>
        <v>LSA_CCF_VCHK_K_END_TITO_CLR_NOM_LFM_0400_SBO_LSA_FF</v>
      </c>
    </row>
    <row r="30" spans="1:42" x14ac:dyDescent="0.35">
      <c r="A30" s="22" t="s">
        <v>21</v>
      </c>
      <c r="B30" s="22" t="s">
        <v>62</v>
      </c>
      <c r="C30" s="22" t="str">
        <f>VLOOKUP(B30,templateLookup!A:B,2,0)</f>
        <v>PrimeVminSearchTestMethod</v>
      </c>
      <c r="D30" t="str">
        <f t="shared" si="8"/>
        <v>LSA_CCF_VCHK_K_END_TITO_CLR_NOM_LFM_0400_SBO_LSA_FF</v>
      </c>
      <c r="E30" t="s">
        <v>5</v>
      </c>
      <c r="F30" t="s">
        <v>22</v>
      </c>
      <c r="G30" t="s">
        <v>1018</v>
      </c>
      <c r="H30" t="s">
        <v>253</v>
      </c>
      <c r="I30" t="s">
        <v>260</v>
      </c>
      <c r="J30" t="s">
        <v>300</v>
      </c>
      <c r="K30" t="s">
        <v>284</v>
      </c>
      <c r="L30" t="s">
        <v>285</v>
      </c>
      <c r="M30" t="str">
        <f t="shared" si="10"/>
        <v>0400</v>
      </c>
      <c r="N30" t="s">
        <v>1071</v>
      </c>
      <c r="O30" t="s">
        <v>267</v>
      </c>
      <c r="P30" t="s">
        <v>268</v>
      </c>
      <c r="Q30" t="s">
        <v>1072</v>
      </c>
      <c r="R30">
        <v>21</v>
      </c>
      <c r="S30">
        <v>12</v>
      </c>
      <c r="T30">
        <v>505</v>
      </c>
      <c r="U30">
        <v>-1</v>
      </c>
      <c r="V30" t="b">
        <v>1</v>
      </c>
      <c r="W30" t="s">
        <v>298</v>
      </c>
      <c r="X30" t="s">
        <v>960</v>
      </c>
      <c r="AA30">
        <v>2025</v>
      </c>
      <c r="AB30" t="s">
        <v>1021</v>
      </c>
      <c r="AM30">
        <f t="shared" si="7"/>
        <v>2</v>
      </c>
      <c r="AN30">
        <v>1</v>
      </c>
      <c r="AO30" t="str">
        <f t="shared" si="9"/>
        <v>ROM_CCF_VCHK_K_END_TITO_CLR_NOM_LFM_0400_SBO_ROM_FF</v>
      </c>
      <c r="AP30" t="str">
        <f t="shared" si="9"/>
        <v>ROM_CCF_VCHK_K_END_TITO_CLR_NOM_LFM_0400_SBO_ROM_FF</v>
      </c>
    </row>
    <row r="31" spans="1:42" x14ac:dyDescent="0.35">
      <c r="A31" s="22" t="s">
        <v>21</v>
      </c>
      <c r="B31" s="22" t="s">
        <v>62</v>
      </c>
      <c r="C31" s="22" t="str">
        <f>VLOOKUP(B31,templateLookup!A:B,2,0)</f>
        <v>PrimeVminSearchTestMethod</v>
      </c>
      <c r="D31" t="str">
        <f t="shared" si="8"/>
        <v>ROM_CCF_VCHK_K_END_TITO_CLR_NOM_LFM_0400_SBO_ROM_FF</v>
      </c>
      <c r="E31" t="s">
        <v>6</v>
      </c>
      <c r="F31" t="s">
        <v>22</v>
      </c>
      <c r="G31" t="s">
        <v>1018</v>
      </c>
      <c r="H31" t="s">
        <v>253</v>
      </c>
      <c r="I31" t="s">
        <v>260</v>
      </c>
      <c r="J31" t="s">
        <v>300</v>
      </c>
      <c r="K31" t="s">
        <v>284</v>
      </c>
      <c r="L31" t="s">
        <v>285</v>
      </c>
      <c r="M31" t="str">
        <f t="shared" si="10"/>
        <v>0400</v>
      </c>
      <c r="N31" t="s">
        <v>1073</v>
      </c>
      <c r="O31" t="s">
        <v>267</v>
      </c>
      <c r="P31" t="s">
        <v>268</v>
      </c>
      <c r="Q31" t="s">
        <v>1074</v>
      </c>
      <c r="R31">
        <v>21</v>
      </c>
      <c r="S31">
        <v>12</v>
      </c>
      <c r="T31">
        <v>506</v>
      </c>
      <c r="U31">
        <v>1</v>
      </c>
      <c r="V31" t="b">
        <v>0</v>
      </c>
      <c r="W31" t="s">
        <v>298</v>
      </c>
      <c r="X31" t="s">
        <v>960</v>
      </c>
      <c r="AA31">
        <v>2026</v>
      </c>
      <c r="AB31" t="s">
        <v>1021</v>
      </c>
      <c r="AM31">
        <f t="shared" si="7"/>
        <v>2</v>
      </c>
      <c r="AN31">
        <v>1</v>
      </c>
      <c r="AO31" t="str">
        <f t="shared" si="9"/>
        <v>SSA_CCF_VCHK_K_END_TITO_SAN_NOM_LFM_0400_PMA</v>
      </c>
      <c r="AP31" t="str">
        <f t="shared" si="9"/>
        <v>SSA_CCF_VCHK_K_END_TITO_SAN_NOM_LFM_0400_PMA</v>
      </c>
    </row>
    <row r="32" spans="1:42" x14ac:dyDescent="0.35">
      <c r="A32" s="22" t="s">
        <v>21</v>
      </c>
      <c r="B32" s="22" t="s">
        <v>62</v>
      </c>
      <c r="C32" s="22" t="str">
        <f>VLOOKUP(B32,templateLookup!A:B,2,0)</f>
        <v>PrimeVminSearchTestMethod</v>
      </c>
      <c r="D32" t="str">
        <f t="shared" si="8"/>
        <v>SSA_CCF_VCHK_K_END_TITO_SAN_NOM_LFM_0400_PMA</v>
      </c>
      <c r="E32" t="s">
        <v>4</v>
      </c>
      <c r="F32" t="s">
        <v>22</v>
      </c>
      <c r="G32" t="s">
        <v>1018</v>
      </c>
      <c r="H32" t="s">
        <v>253</v>
      </c>
      <c r="I32" t="s">
        <v>260</v>
      </c>
      <c r="J32" t="s">
        <v>295</v>
      </c>
      <c r="K32" t="s">
        <v>284</v>
      </c>
      <c r="L32" t="s">
        <v>285</v>
      </c>
      <c r="M32" t="str">
        <f t="shared" si="10"/>
        <v>0400</v>
      </c>
      <c r="N32" t="s">
        <v>1055</v>
      </c>
      <c r="O32" t="s">
        <v>267</v>
      </c>
      <c r="P32" t="s">
        <v>268</v>
      </c>
      <c r="Q32" t="s">
        <v>1075</v>
      </c>
      <c r="R32">
        <v>61</v>
      </c>
      <c r="S32">
        <v>12</v>
      </c>
      <c r="T32">
        <v>507</v>
      </c>
      <c r="U32">
        <v>-1</v>
      </c>
      <c r="V32" t="b">
        <v>1</v>
      </c>
      <c r="W32" t="s">
        <v>298</v>
      </c>
      <c r="X32" t="s">
        <v>960</v>
      </c>
      <c r="AA32">
        <v>2027</v>
      </c>
      <c r="AB32" t="s">
        <v>1021</v>
      </c>
      <c r="AM32">
        <f t="shared" si="7"/>
        <v>2</v>
      </c>
      <c r="AN32">
        <v>1</v>
      </c>
      <c r="AO32">
        <v>1</v>
      </c>
      <c r="AP32">
        <v>1</v>
      </c>
    </row>
    <row r="33" spans="1:42" x14ac:dyDescent="0.35">
      <c r="A33" s="21" t="s">
        <v>21</v>
      </c>
      <c r="B33" s="21" t="s">
        <v>50</v>
      </c>
      <c r="C33" s="21" t="str">
        <f>VLOOKUP(B33,templateLookup!A:B,2,0)</f>
        <v>COMPOSITE</v>
      </c>
      <c r="D33" s="10"/>
    </row>
    <row r="34" spans="1:42" x14ac:dyDescent="0.35">
      <c r="A34" s="14" t="s">
        <v>21</v>
      </c>
      <c r="B34" s="14" t="s">
        <v>49</v>
      </c>
      <c r="C34" s="14" t="str">
        <f>VLOOKUP(B34,templateLookup!A:B,2,0)</f>
        <v>COMPOSITE</v>
      </c>
      <c r="D34" s="10" t="s">
        <v>1029</v>
      </c>
      <c r="F34" t="s">
        <v>22</v>
      </c>
      <c r="AM34">
        <f t="shared" ref="AM34:AM39" si="11">COUNTA(AO34:AX34)</f>
        <v>2</v>
      </c>
      <c r="AN34">
        <v>1</v>
      </c>
      <c r="AO34" t="s">
        <v>1036</v>
      </c>
      <c r="AP34" t="s">
        <v>1036</v>
      </c>
    </row>
    <row r="35" spans="1:42" x14ac:dyDescent="0.35">
      <c r="A35" s="15" t="s">
        <v>21</v>
      </c>
      <c r="B35" s="15" t="s">
        <v>62</v>
      </c>
      <c r="C35" s="15" t="str">
        <f>VLOOKUP(B35,templateLookup!A:B,2,0)</f>
        <v>PrimeVminSearchTestMethod</v>
      </c>
      <c r="D35" t="str">
        <f>E35&amp;"_"&amp;F35&amp;"_"&amp;G35&amp;"_"&amp;H35&amp;"_"&amp;A35&amp;"_"&amp;I35&amp;"_"&amp;J35&amp;"_"&amp;K35&amp;"_"&amp;L35&amp;"_"&amp;M35&amp;"_"&amp;N35</f>
        <v>SSA_CCF_VCHK_E_END_TITO_CLRS_NOM_LFM_1200_CBO_SSA_PMOVI</v>
      </c>
      <c r="E35" t="s">
        <v>4</v>
      </c>
      <c r="F35" t="s">
        <v>22</v>
      </c>
      <c r="G35" t="s">
        <v>1018</v>
      </c>
      <c r="H35" t="s">
        <v>207</v>
      </c>
      <c r="I35" t="s">
        <v>260</v>
      </c>
      <c r="J35" t="s">
        <v>283</v>
      </c>
      <c r="K35" t="s">
        <v>284</v>
      </c>
      <c r="L35" t="s">
        <v>285</v>
      </c>
      <c r="M35">
        <v>1200</v>
      </c>
      <c r="N35" t="s">
        <v>1076</v>
      </c>
      <c r="O35" t="s">
        <v>267</v>
      </c>
      <c r="P35" t="s">
        <v>268</v>
      </c>
      <c r="Q35" t="s">
        <v>1077</v>
      </c>
      <c r="R35">
        <v>61</v>
      </c>
      <c r="S35">
        <v>12</v>
      </c>
      <c r="T35">
        <v>510</v>
      </c>
      <c r="U35">
        <v>1</v>
      </c>
      <c r="V35" t="b">
        <v>0</v>
      </c>
      <c r="W35" t="s">
        <v>270</v>
      </c>
      <c r="X35" t="s">
        <v>960</v>
      </c>
      <c r="AA35">
        <v>2040</v>
      </c>
      <c r="AB35" t="s">
        <v>1021</v>
      </c>
      <c r="AM35">
        <f t="shared" si="11"/>
        <v>2</v>
      </c>
      <c r="AN35">
        <v>1</v>
      </c>
      <c r="AO35" t="str">
        <f t="shared" ref="AO35:AP38" si="12">$D36</f>
        <v>LSA_CCF_VCHK_E_END_TITO_CLR_NOM_LFM_1200_CBO_LSA_PMOVI</v>
      </c>
      <c r="AP35" t="str">
        <f t="shared" si="12"/>
        <v>LSA_CCF_VCHK_E_END_TITO_CLR_NOM_LFM_1200_CBO_LSA_PMOVI</v>
      </c>
    </row>
    <row r="36" spans="1:42" x14ac:dyDescent="0.35">
      <c r="A36" s="15" t="s">
        <v>21</v>
      </c>
      <c r="B36" s="15" t="s">
        <v>62</v>
      </c>
      <c r="C36" s="15" t="str">
        <f>VLOOKUP(B36,templateLookup!A:B,2,0)</f>
        <v>PrimeVminSearchTestMethod</v>
      </c>
      <c r="D36" t="str">
        <f>E36&amp;"_"&amp;F36&amp;"_"&amp;G36&amp;"_"&amp;H36&amp;"_"&amp;A36&amp;"_"&amp;I36&amp;"_"&amp;J36&amp;"_"&amp;K36&amp;"_"&amp;L36&amp;"_"&amp;M36&amp;"_"&amp;N36</f>
        <v>LSA_CCF_VCHK_E_END_TITO_CLR_NOM_LFM_1200_CBO_LSA_PMOVI</v>
      </c>
      <c r="E36" t="s">
        <v>5</v>
      </c>
      <c r="F36" t="s">
        <v>22</v>
      </c>
      <c r="G36" t="s">
        <v>1018</v>
      </c>
      <c r="H36" t="s">
        <v>207</v>
      </c>
      <c r="I36" t="s">
        <v>260</v>
      </c>
      <c r="J36" t="s">
        <v>300</v>
      </c>
      <c r="K36" t="s">
        <v>284</v>
      </c>
      <c r="L36" t="s">
        <v>285</v>
      </c>
      <c r="M36">
        <v>1200</v>
      </c>
      <c r="N36" t="s">
        <v>1078</v>
      </c>
      <c r="O36" t="s">
        <v>267</v>
      </c>
      <c r="P36" t="s">
        <v>268</v>
      </c>
      <c r="Q36" t="s">
        <v>1079</v>
      </c>
      <c r="R36">
        <v>21</v>
      </c>
      <c r="S36">
        <v>12</v>
      </c>
      <c r="T36">
        <v>511</v>
      </c>
      <c r="U36">
        <v>1</v>
      </c>
      <c r="V36" t="b">
        <v>0</v>
      </c>
      <c r="W36" t="s">
        <v>270</v>
      </c>
      <c r="X36" t="s">
        <v>960</v>
      </c>
      <c r="AA36">
        <v>2041</v>
      </c>
      <c r="AB36" t="s">
        <v>1021</v>
      </c>
      <c r="AM36">
        <f t="shared" si="11"/>
        <v>2</v>
      </c>
      <c r="AN36">
        <v>1</v>
      </c>
      <c r="AO36" t="str">
        <f t="shared" si="12"/>
        <v>SSA_CCF_VCHK_E_END_TITO_CLRS_NOM_LFM_1200_SBO_SSA_PMOVI</v>
      </c>
      <c r="AP36" t="str">
        <f t="shared" si="12"/>
        <v>SSA_CCF_VCHK_E_END_TITO_CLRS_NOM_LFM_1200_SBO_SSA_PMOVI</v>
      </c>
    </row>
    <row r="37" spans="1:42" x14ac:dyDescent="0.35">
      <c r="A37" s="15" t="s">
        <v>21</v>
      </c>
      <c r="B37" s="15" t="s">
        <v>62</v>
      </c>
      <c r="C37" s="15" t="str">
        <f>VLOOKUP(B37,templateLookup!A:B,2,0)</f>
        <v>PrimeVminSearchTestMethod</v>
      </c>
      <c r="D37" t="str">
        <f>E37&amp;"_"&amp;F37&amp;"_"&amp;G37&amp;"_"&amp;H37&amp;"_"&amp;A37&amp;"_"&amp;I37&amp;"_"&amp;J37&amp;"_"&amp;K37&amp;"_"&amp;L37&amp;"_"&amp;M37&amp;"_"&amp;N37</f>
        <v>SSA_CCF_VCHK_E_END_TITO_CLRS_NOM_LFM_1200_SBO_SSA_PMOVI</v>
      </c>
      <c r="E37" t="s">
        <v>4</v>
      </c>
      <c r="F37" t="s">
        <v>22</v>
      </c>
      <c r="G37" t="s">
        <v>1018</v>
      </c>
      <c r="H37" t="s">
        <v>207</v>
      </c>
      <c r="I37" t="s">
        <v>260</v>
      </c>
      <c r="J37" t="s">
        <v>283</v>
      </c>
      <c r="K37" t="s">
        <v>284</v>
      </c>
      <c r="L37" t="s">
        <v>285</v>
      </c>
      <c r="M37">
        <v>1200</v>
      </c>
      <c r="N37" t="s">
        <v>1080</v>
      </c>
      <c r="O37" t="s">
        <v>267</v>
      </c>
      <c r="P37" t="s">
        <v>268</v>
      </c>
      <c r="Q37" t="s">
        <v>1081</v>
      </c>
      <c r="R37">
        <v>61</v>
      </c>
      <c r="S37">
        <v>12</v>
      </c>
      <c r="T37">
        <v>512</v>
      </c>
      <c r="U37">
        <v>1</v>
      </c>
      <c r="V37" t="b">
        <v>0</v>
      </c>
      <c r="W37" t="s">
        <v>298</v>
      </c>
      <c r="X37" t="s">
        <v>960</v>
      </c>
      <c r="AA37">
        <v>2042</v>
      </c>
      <c r="AB37" t="s">
        <v>1021</v>
      </c>
      <c r="AM37">
        <f t="shared" si="11"/>
        <v>2</v>
      </c>
      <c r="AN37">
        <v>1</v>
      </c>
      <c r="AO37" t="str">
        <f t="shared" si="12"/>
        <v>LSA_CCF_VCHK_E_END_TITO_CLR_NOM_LFM_1200_SBO_LSA_PMOVI</v>
      </c>
      <c r="AP37" t="str">
        <f t="shared" si="12"/>
        <v>LSA_CCF_VCHK_E_END_TITO_CLR_NOM_LFM_1200_SBO_LSA_PMOVI</v>
      </c>
    </row>
    <row r="38" spans="1:42" x14ac:dyDescent="0.35">
      <c r="A38" s="15" t="s">
        <v>21</v>
      </c>
      <c r="B38" s="15" t="s">
        <v>62</v>
      </c>
      <c r="C38" s="15" t="str">
        <f>VLOOKUP(B38,templateLookup!A:B,2,0)</f>
        <v>PrimeVminSearchTestMethod</v>
      </c>
      <c r="D38" t="str">
        <f>E38&amp;"_"&amp;F38&amp;"_"&amp;G38&amp;"_"&amp;H38&amp;"_"&amp;A38&amp;"_"&amp;I38&amp;"_"&amp;J38&amp;"_"&amp;K38&amp;"_"&amp;L38&amp;"_"&amp;M38&amp;"_"&amp;N38</f>
        <v>LSA_CCF_VCHK_E_END_TITO_CLR_NOM_LFM_1200_SBO_LSA_PMOVI</v>
      </c>
      <c r="E38" t="s">
        <v>5</v>
      </c>
      <c r="F38" t="s">
        <v>22</v>
      </c>
      <c r="G38" t="s">
        <v>1018</v>
      </c>
      <c r="H38" t="s">
        <v>207</v>
      </c>
      <c r="I38" t="s">
        <v>260</v>
      </c>
      <c r="J38" t="s">
        <v>300</v>
      </c>
      <c r="K38" t="s">
        <v>284</v>
      </c>
      <c r="L38" t="s">
        <v>285</v>
      </c>
      <c r="M38">
        <v>1200</v>
      </c>
      <c r="N38" t="s">
        <v>1082</v>
      </c>
      <c r="O38" t="s">
        <v>267</v>
      </c>
      <c r="P38" t="s">
        <v>268</v>
      </c>
      <c r="Q38" t="s">
        <v>1083</v>
      </c>
      <c r="R38">
        <v>21</v>
      </c>
      <c r="S38">
        <v>12</v>
      </c>
      <c r="T38">
        <v>513</v>
      </c>
      <c r="U38">
        <v>1</v>
      </c>
      <c r="V38" t="b">
        <v>0</v>
      </c>
      <c r="W38" t="s">
        <v>298</v>
      </c>
      <c r="X38" t="s">
        <v>960</v>
      </c>
      <c r="AA38">
        <v>2043</v>
      </c>
      <c r="AB38" t="s">
        <v>1021</v>
      </c>
      <c r="AM38">
        <f t="shared" si="11"/>
        <v>2</v>
      </c>
      <c r="AN38">
        <v>1</v>
      </c>
      <c r="AO38" t="str">
        <f t="shared" si="12"/>
        <v>SSA_CCF_VCHK_E_END_TITO_SAN_NOM_LFM_1200_PMA_PMOVI</v>
      </c>
      <c r="AP38" t="str">
        <f t="shared" si="12"/>
        <v>SSA_CCF_VCHK_E_END_TITO_SAN_NOM_LFM_1200_PMA_PMOVI</v>
      </c>
    </row>
    <row r="39" spans="1:42" x14ac:dyDescent="0.35">
      <c r="A39" s="15" t="s">
        <v>21</v>
      </c>
      <c r="B39" s="15" t="s">
        <v>62</v>
      </c>
      <c r="C39" s="15" t="str">
        <f>VLOOKUP(B39,templateLookup!A:B,2,0)</f>
        <v>PrimeVminSearchTestMethod</v>
      </c>
      <c r="D39" t="str">
        <f>E39&amp;"_"&amp;F39&amp;"_"&amp;G39&amp;"_"&amp;H39&amp;"_"&amp;A39&amp;"_"&amp;I39&amp;"_"&amp;J39&amp;"_"&amp;K39&amp;"_"&amp;L39&amp;"_"&amp;M39&amp;"_"&amp;N39</f>
        <v>SSA_CCF_VCHK_E_END_TITO_SAN_NOM_LFM_1200_PMA_PMOVI</v>
      </c>
      <c r="E39" t="s">
        <v>4</v>
      </c>
      <c r="F39" t="s">
        <v>22</v>
      </c>
      <c r="G39" t="s">
        <v>1018</v>
      </c>
      <c r="H39" t="s">
        <v>207</v>
      </c>
      <c r="I39" t="s">
        <v>260</v>
      </c>
      <c r="J39" t="s">
        <v>295</v>
      </c>
      <c r="K39" t="s">
        <v>284</v>
      </c>
      <c r="L39" t="s">
        <v>285</v>
      </c>
      <c r="M39">
        <v>1200</v>
      </c>
      <c r="N39" t="s">
        <v>1084</v>
      </c>
      <c r="O39" t="s">
        <v>267</v>
      </c>
      <c r="P39" t="s">
        <v>397</v>
      </c>
      <c r="Q39" t="s">
        <v>1085</v>
      </c>
      <c r="R39">
        <v>61</v>
      </c>
      <c r="S39">
        <v>12</v>
      </c>
      <c r="T39">
        <v>514</v>
      </c>
      <c r="U39">
        <v>1</v>
      </c>
      <c r="V39" t="b">
        <v>0</v>
      </c>
      <c r="W39" t="s">
        <v>298</v>
      </c>
      <c r="X39" t="s">
        <v>960</v>
      </c>
      <c r="AA39">
        <v>2044</v>
      </c>
      <c r="AB39" t="s">
        <v>1021</v>
      </c>
      <c r="AM39">
        <f t="shared" si="11"/>
        <v>2</v>
      </c>
      <c r="AN39">
        <v>1</v>
      </c>
      <c r="AO39">
        <v>1</v>
      </c>
      <c r="AP39">
        <v>1</v>
      </c>
    </row>
    <row r="40" spans="1:42" x14ac:dyDescent="0.35">
      <c r="A40" s="14" t="s">
        <v>21</v>
      </c>
      <c r="B40" s="14" t="s">
        <v>50</v>
      </c>
      <c r="C40" s="14" t="str">
        <f>VLOOKUP(B40,templateLookup!A:B,2,0)</f>
        <v>COMPOSITE</v>
      </c>
      <c r="D40" s="10"/>
    </row>
    <row r="41" spans="1:42" x14ac:dyDescent="0.35">
      <c r="A41" s="20" t="s">
        <v>21</v>
      </c>
      <c r="B41" s="20" t="s">
        <v>49</v>
      </c>
      <c r="C41" s="20" t="str">
        <f>VLOOKUP(B41,templateLookup!A:B,2,0)</f>
        <v>COMPOSITE</v>
      </c>
      <c r="D41" s="10" t="s">
        <v>1036</v>
      </c>
      <c r="F41" t="s">
        <v>22</v>
      </c>
      <c r="AM41">
        <f t="shared" ref="AM41:AM47" si="13">COUNTA(AO41:AX41)</f>
        <v>2</v>
      </c>
      <c r="AN41">
        <v>1</v>
      </c>
      <c r="AO41">
        <v>1</v>
      </c>
      <c r="AP41">
        <v>1</v>
      </c>
    </row>
    <row r="42" spans="1:42" x14ac:dyDescent="0.35">
      <c r="A42" s="16" t="s">
        <v>21</v>
      </c>
      <c r="B42" s="16" t="s">
        <v>62</v>
      </c>
      <c r="C42" s="16" t="str">
        <f>VLOOKUP(B42,templateLookup!A:B,2,0)</f>
        <v>PrimeVminSearchTestMethod</v>
      </c>
      <c r="D42" t="str">
        <f t="shared" ref="D42:D47" si="14">E42&amp;"_"&amp;F42&amp;"_"&amp;G42&amp;"_"&amp;H42&amp;"_"&amp;A42&amp;"_"&amp;I42&amp;"_"&amp;J42&amp;"_"&amp;K42&amp;"_"&amp;L42&amp;"_"&amp;M42&amp;"_"&amp;N42</f>
        <v>ALL_CCF_VMAX_K_END_TITO_CLRS_NOM_LFM_1200_CBO_F1</v>
      </c>
      <c r="E42" t="s">
        <v>7</v>
      </c>
      <c r="F42" t="s">
        <v>22</v>
      </c>
      <c r="G42" t="s">
        <v>1036</v>
      </c>
      <c r="H42" t="s">
        <v>253</v>
      </c>
      <c r="I42" t="s">
        <v>260</v>
      </c>
      <c r="J42" t="s">
        <v>283</v>
      </c>
      <c r="K42" t="s">
        <v>284</v>
      </c>
      <c r="L42" t="s">
        <v>285</v>
      </c>
      <c r="M42">
        <v>1200</v>
      </c>
      <c r="N42" t="s">
        <v>1086</v>
      </c>
      <c r="O42" t="s">
        <v>267</v>
      </c>
      <c r="P42" t="s">
        <v>268</v>
      </c>
      <c r="Q42" s="6" t="s">
        <v>1077</v>
      </c>
      <c r="R42">
        <v>17</v>
      </c>
      <c r="S42">
        <v>61</v>
      </c>
      <c r="T42">
        <v>110</v>
      </c>
      <c r="U42">
        <v>1</v>
      </c>
      <c r="V42" t="b">
        <v>0</v>
      </c>
      <c r="W42" t="s">
        <v>270</v>
      </c>
      <c r="X42" t="s">
        <v>960</v>
      </c>
      <c r="AA42">
        <v>2060</v>
      </c>
      <c r="AB42" t="s">
        <v>1021</v>
      </c>
      <c r="AM42">
        <f t="shared" si="13"/>
        <v>2</v>
      </c>
      <c r="AN42">
        <v>1</v>
      </c>
      <c r="AO42" t="str">
        <f t="shared" ref="AO42:AP46" si="15">$D43</f>
        <v>ALL_CCF_VMAX_K_END_TITO_CLRS_NOM_LFM_1200_SBO_F1</v>
      </c>
      <c r="AP42" t="str">
        <f t="shared" si="15"/>
        <v>ALL_CCF_VMAX_K_END_TITO_CLRS_NOM_LFM_1200_SBO_F1</v>
      </c>
    </row>
    <row r="43" spans="1:42" x14ac:dyDescent="0.35">
      <c r="A43" s="16" t="s">
        <v>21</v>
      </c>
      <c r="B43" s="16" t="s">
        <v>62</v>
      </c>
      <c r="C43" s="16" t="str">
        <f>VLOOKUP(B43,templateLookup!A:B,2,0)</f>
        <v>PrimeVminSearchTestMethod</v>
      </c>
      <c r="D43" t="str">
        <f t="shared" si="14"/>
        <v>ALL_CCF_VMAX_K_END_TITO_CLRS_NOM_LFM_1200_SBO_F1</v>
      </c>
      <c r="E43" t="s">
        <v>7</v>
      </c>
      <c r="F43" t="s">
        <v>22</v>
      </c>
      <c r="G43" t="s">
        <v>1036</v>
      </c>
      <c r="H43" t="s">
        <v>253</v>
      </c>
      <c r="I43" t="s">
        <v>260</v>
      </c>
      <c r="J43" t="s">
        <v>283</v>
      </c>
      <c r="K43" t="s">
        <v>284</v>
      </c>
      <c r="L43" t="s">
        <v>285</v>
      </c>
      <c r="M43">
        <v>1200</v>
      </c>
      <c r="N43" t="s">
        <v>1087</v>
      </c>
      <c r="O43" t="s">
        <v>267</v>
      </c>
      <c r="P43" t="s">
        <v>268</v>
      </c>
      <c r="Q43" s="6" t="s">
        <v>1081</v>
      </c>
      <c r="R43">
        <v>17</v>
      </c>
      <c r="S43">
        <v>61</v>
      </c>
      <c r="T43">
        <v>111</v>
      </c>
      <c r="U43">
        <v>1</v>
      </c>
      <c r="V43" t="b">
        <v>0</v>
      </c>
      <c r="W43" t="s">
        <v>298</v>
      </c>
      <c r="X43" t="s">
        <v>960</v>
      </c>
      <c r="AA43">
        <v>2063</v>
      </c>
      <c r="AB43" t="s">
        <v>1021</v>
      </c>
      <c r="AM43">
        <f t="shared" si="13"/>
        <v>2</v>
      </c>
      <c r="AN43">
        <v>1</v>
      </c>
      <c r="AO43" t="str">
        <f t="shared" si="15"/>
        <v>SSA_CCF_VMAX_K_END_TITO_SAN_NOM_LFM_1200_PMA_F1</v>
      </c>
      <c r="AP43" t="str">
        <f t="shared" si="15"/>
        <v>SSA_CCF_VMAX_K_END_TITO_SAN_NOM_LFM_1200_PMA_F1</v>
      </c>
    </row>
    <row r="44" spans="1:42" x14ac:dyDescent="0.35">
      <c r="A44" s="16" t="s">
        <v>21</v>
      </c>
      <c r="B44" s="16" t="s">
        <v>62</v>
      </c>
      <c r="C44" s="16" t="str">
        <f>VLOOKUP(B44,templateLookup!A:B,2,0)</f>
        <v>PrimeVminSearchTestMethod</v>
      </c>
      <c r="D44" t="str">
        <f t="shared" si="14"/>
        <v>SSA_CCF_VMAX_K_END_TITO_SAN_NOM_LFM_1200_PMA_F1</v>
      </c>
      <c r="E44" t="s">
        <v>4</v>
      </c>
      <c r="F44" t="s">
        <v>22</v>
      </c>
      <c r="G44" t="s">
        <v>1036</v>
      </c>
      <c r="H44" t="s">
        <v>253</v>
      </c>
      <c r="I44" t="s">
        <v>260</v>
      </c>
      <c r="J44" t="s">
        <v>295</v>
      </c>
      <c r="K44" t="s">
        <v>284</v>
      </c>
      <c r="L44" t="s">
        <v>285</v>
      </c>
      <c r="M44">
        <v>1200</v>
      </c>
      <c r="N44" t="s">
        <v>1088</v>
      </c>
      <c r="O44" t="s">
        <v>267</v>
      </c>
      <c r="P44" t="s">
        <v>268</v>
      </c>
      <c r="Q44" t="s">
        <v>1085</v>
      </c>
      <c r="R44">
        <v>17</v>
      </c>
      <c r="S44">
        <v>61</v>
      </c>
      <c r="T44">
        <v>112</v>
      </c>
      <c r="U44">
        <v>1</v>
      </c>
      <c r="V44" t="b">
        <v>0</v>
      </c>
      <c r="W44" t="s">
        <v>298</v>
      </c>
      <c r="X44" t="s">
        <v>960</v>
      </c>
      <c r="AA44">
        <v>2067</v>
      </c>
      <c r="AB44" t="s">
        <v>1021</v>
      </c>
      <c r="AM44">
        <f t="shared" si="13"/>
        <v>2</v>
      </c>
      <c r="AN44">
        <v>1</v>
      </c>
      <c r="AO44" t="str">
        <f t="shared" si="15"/>
        <v>ALL_CCF_VMAX_K_END_TITO_CLRS_NOM_LFM_1200_CBO_F6</v>
      </c>
      <c r="AP44" t="str">
        <f t="shared" si="15"/>
        <v>ALL_CCF_VMAX_K_END_TITO_CLRS_NOM_LFM_1200_CBO_F6</v>
      </c>
    </row>
    <row r="45" spans="1:42" x14ac:dyDescent="0.35">
      <c r="A45" s="16" t="s">
        <v>21</v>
      </c>
      <c r="B45" s="16" t="s">
        <v>62</v>
      </c>
      <c r="C45" s="16" t="str">
        <f>VLOOKUP(B45,templateLookup!A:B,2,0)</f>
        <v>PrimeVminSearchTestMethod</v>
      </c>
      <c r="D45" t="str">
        <f t="shared" si="14"/>
        <v>ALL_CCF_VMAX_K_END_TITO_CLRS_NOM_LFM_1200_CBO_F6</v>
      </c>
      <c r="E45" t="s">
        <v>7</v>
      </c>
      <c r="F45" t="s">
        <v>22</v>
      </c>
      <c r="G45" t="s">
        <v>1036</v>
      </c>
      <c r="H45" t="s">
        <v>253</v>
      </c>
      <c r="I45" t="s">
        <v>260</v>
      </c>
      <c r="J45" t="s">
        <v>283</v>
      </c>
      <c r="K45" t="s">
        <v>284</v>
      </c>
      <c r="L45" t="s">
        <v>285</v>
      </c>
      <c r="M45">
        <v>1200</v>
      </c>
      <c r="N45" t="s">
        <v>1089</v>
      </c>
      <c r="O45" t="s">
        <v>267</v>
      </c>
      <c r="P45" t="s">
        <v>268</v>
      </c>
      <c r="Q45" s="6" t="s">
        <v>1077</v>
      </c>
      <c r="R45">
        <v>17</v>
      </c>
      <c r="S45">
        <v>61</v>
      </c>
      <c r="T45">
        <v>113</v>
      </c>
      <c r="U45">
        <v>1</v>
      </c>
      <c r="V45" t="b">
        <v>0</v>
      </c>
      <c r="W45" t="s">
        <v>270</v>
      </c>
      <c r="X45" t="s">
        <v>960</v>
      </c>
      <c r="AA45">
        <v>2068</v>
      </c>
      <c r="AB45" t="s">
        <v>1021</v>
      </c>
      <c r="AM45">
        <f t="shared" si="13"/>
        <v>2</v>
      </c>
      <c r="AN45">
        <v>1</v>
      </c>
      <c r="AO45" t="str">
        <f t="shared" si="15"/>
        <v>ALL_CCF_VMAX_K_END_TITO_CLRS_NOM_LFM_1200_SBO_F6</v>
      </c>
      <c r="AP45" t="str">
        <f t="shared" si="15"/>
        <v>ALL_CCF_VMAX_K_END_TITO_CLRS_NOM_LFM_1200_SBO_F6</v>
      </c>
    </row>
    <row r="46" spans="1:42" x14ac:dyDescent="0.35">
      <c r="A46" s="16" t="s">
        <v>21</v>
      </c>
      <c r="B46" s="16" t="s">
        <v>62</v>
      </c>
      <c r="C46" s="16" t="str">
        <f>VLOOKUP(B46,templateLookup!A:B,2,0)</f>
        <v>PrimeVminSearchTestMethod</v>
      </c>
      <c r="D46" t="str">
        <f t="shared" si="14"/>
        <v>ALL_CCF_VMAX_K_END_TITO_CLRS_NOM_LFM_1200_SBO_F6</v>
      </c>
      <c r="E46" t="s">
        <v>7</v>
      </c>
      <c r="F46" t="s">
        <v>22</v>
      </c>
      <c r="G46" t="s">
        <v>1036</v>
      </c>
      <c r="H46" t="s">
        <v>253</v>
      </c>
      <c r="I46" t="s">
        <v>260</v>
      </c>
      <c r="J46" t="s">
        <v>283</v>
      </c>
      <c r="K46" t="s">
        <v>284</v>
      </c>
      <c r="L46" t="s">
        <v>285</v>
      </c>
      <c r="M46">
        <v>1200</v>
      </c>
      <c r="N46" t="s">
        <v>1090</v>
      </c>
      <c r="O46" t="s">
        <v>267</v>
      </c>
      <c r="P46" t="s">
        <v>268</v>
      </c>
      <c r="Q46" s="6" t="s">
        <v>1081</v>
      </c>
      <c r="R46">
        <v>17</v>
      </c>
      <c r="S46">
        <v>61</v>
      </c>
      <c r="T46">
        <v>114</v>
      </c>
      <c r="U46">
        <v>1</v>
      </c>
      <c r="V46" t="b">
        <v>0</v>
      </c>
      <c r="W46" t="s">
        <v>298</v>
      </c>
      <c r="X46" t="s">
        <v>960</v>
      </c>
      <c r="AA46">
        <v>2071</v>
      </c>
      <c r="AB46" t="s">
        <v>1021</v>
      </c>
      <c r="AM46">
        <f t="shared" si="13"/>
        <v>2</v>
      </c>
      <c r="AN46">
        <v>1</v>
      </c>
      <c r="AO46" t="str">
        <f t="shared" si="15"/>
        <v>SSA_CCF_VMAX_K_END_TITO_SAN_NOM_LFM_1200_PMA_F6</v>
      </c>
      <c r="AP46" t="str">
        <f t="shared" si="15"/>
        <v>SSA_CCF_VMAX_K_END_TITO_SAN_NOM_LFM_1200_PMA_F6</v>
      </c>
    </row>
    <row r="47" spans="1:42" x14ac:dyDescent="0.35">
      <c r="A47" s="16" t="s">
        <v>21</v>
      </c>
      <c r="B47" s="16" t="s">
        <v>62</v>
      </c>
      <c r="C47" s="16" t="str">
        <f>VLOOKUP(B47,templateLookup!A:B,2,0)</f>
        <v>PrimeVminSearchTestMethod</v>
      </c>
      <c r="D47" t="str">
        <f t="shared" si="14"/>
        <v>SSA_CCF_VMAX_K_END_TITO_SAN_NOM_LFM_1200_PMA_F6</v>
      </c>
      <c r="E47" t="s">
        <v>4</v>
      </c>
      <c r="F47" t="s">
        <v>22</v>
      </c>
      <c r="G47" t="s">
        <v>1036</v>
      </c>
      <c r="H47" t="s">
        <v>253</v>
      </c>
      <c r="I47" t="s">
        <v>260</v>
      </c>
      <c r="J47" t="s">
        <v>295</v>
      </c>
      <c r="K47" t="s">
        <v>284</v>
      </c>
      <c r="L47" t="s">
        <v>285</v>
      </c>
      <c r="M47">
        <v>1200</v>
      </c>
      <c r="N47" t="s">
        <v>1091</v>
      </c>
      <c r="O47" t="s">
        <v>267</v>
      </c>
      <c r="P47" t="s">
        <v>397</v>
      </c>
      <c r="Q47" t="s">
        <v>1085</v>
      </c>
      <c r="R47">
        <v>17</v>
      </c>
      <c r="S47">
        <v>61</v>
      </c>
      <c r="T47">
        <v>115</v>
      </c>
      <c r="U47">
        <v>1</v>
      </c>
      <c r="V47" t="b">
        <v>0</v>
      </c>
      <c r="W47" t="s">
        <v>298</v>
      </c>
      <c r="X47" t="s">
        <v>960</v>
      </c>
      <c r="AA47">
        <v>2075</v>
      </c>
      <c r="AB47" t="s">
        <v>1021</v>
      </c>
      <c r="AM47">
        <f t="shared" si="13"/>
        <v>2</v>
      </c>
      <c r="AN47">
        <v>1</v>
      </c>
      <c r="AO47">
        <v>1</v>
      </c>
      <c r="AP47">
        <v>1</v>
      </c>
    </row>
    <row r="48" spans="1:42" x14ac:dyDescent="0.35">
      <c r="A48" s="20" t="s">
        <v>21</v>
      </c>
      <c r="B48" s="20" t="s">
        <v>50</v>
      </c>
      <c r="C48" s="20" t="str">
        <f>VLOOKUP(B48,templateLookup!A:B,2,0)</f>
        <v>COMPOSITE</v>
      </c>
      <c r="D48" s="10"/>
      <c r="U48" s="6"/>
      <c r="V48" s="6"/>
    </row>
    <row r="49" spans="1:45" x14ac:dyDescent="0.35">
      <c r="A49" s="32" t="s">
        <v>21</v>
      </c>
      <c r="B49" s="32" t="s">
        <v>49</v>
      </c>
      <c r="C49" s="32" t="str">
        <f>VLOOKUP(B49,templateLookup!A:B,2,0)</f>
        <v>COMPOSITE</v>
      </c>
      <c r="D49" s="10" t="s">
        <v>1011</v>
      </c>
      <c r="F49" t="s">
        <v>22</v>
      </c>
      <c r="U49" s="6"/>
      <c r="V49" s="6"/>
      <c r="AM49">
        <f>COUNTA(AO49:AX49)</f>
        <v>2</v>
      </c>
      <c r="AN49">
        <v>1</v>
      </c>
      <c r="AO49">
        <v>1</v>
      </c>
      <c r="AP49">
        <v>1</v>
      </c>
    </row>
    <row r="50" spans="1:45" x14ac:dyDescent="0.35">
      <c r="A50" s="33" t="s">
        <v>21</v>
      </c>
      <c r="B50" s="33" t="s">
        <v>99</v>
      </c>
      <c r="C50" s="33" t="str">
        <f>VLOOKUP(B50,templateLookup!A:B,2,0)</f>
        <v>PrimeShmooTestMethod</v>
      </c>
      <c r="D50" t="str">
        <f>E50&amp;"_"&amp;F50&amp;"_"&amp;G50&amp;"_"&amp;H50&amp;"_"&amp;A50&amp;"_"&amp;I50&amp;"_"&amp;J50&amp;"_"&amp;K50&amp;"_"&amp;L50&amp;"_"&amp;M50&amp;"_"&amp;N50</f>
        <v>ALL_CCF_SHMOO_E_END_TITO_CLRS_NOM_LFM_1200_CBO</v>
      </c>
      <c r="E50" t="s">
        <v>7</v>
      </c>
      <c r="F50" t="s">
        <v>22</v>
      </c>
      <c r="G50" t="s">
        <v>1011</v>
      </c>
      <c r="H50" t="s">
        <v>207</v>
      </c>
      <c r="I50" t="s">
        <v>260</v>
      </c>
      <c r="J50" t="s">
        <v>283</v>
      </c>
      <c r="K50" t="s">
        <v>284</v>
      </c>
      <c r="L50" t="s">
        <v>285</v>
      </c>
      <c r="M50">
        <v>1200</v>
      </c>
      <c r="N50" t="s">
        <v>1051</v>
      </c>
      <c r="O50" t="s">
        <v>1012</v>
      </c>
      <c r="P50" t="s">
        <v>268</v>
      </c>
      <c r="Q50" s="6" t="s">
        <v>1063</v>
      </c>
      <c r="R50">
        <v>61</v>
      </c>
      <c r="S50">
        <v>12</v>
      </c>
      <c r="T50">
        <v>540</v>
      </c>
      <c r="U50">
        <v>1</v>
      </c>
      <c r="V50" t="b">
        <v>0</v>
      </c>
      <c r="W50" t="s">
        <v>270</v>
      </c>
      <c r="AC50" t="s">
        <v>1061</v>
      </c>
      <c r="AM50">
        <f>COUNTA(AO50:AX50)</f>
        <v>4</v>
      </c>
      <c r="AN50" t="s">
        <v>920</v>
      </c>
      <c r="AO50" t="str">
        <f t="shared" ref="AO50:AR51" si="16">$D51</f>
        <v>ALL_CCF_SHMOO_E_END_TITO_CLRS_NOM_LFM_1200_SBO</v>
      </c>
      <c r="AP50" t="str">
        <f t="shared" si="16"/>
        <v>ALL_CCF_SHMOO_E_END_TITO_CLRS_NOM_LFM_1200_SBO</v>
      </c>
      <c r="AQ50" t="str">
        <f t="shared" si="16"/>
        <v>ALL_CCF_SHMOO_E_END_TITO_CLRS_NOM_LFM_1200_SBO</v>
      </c>
      <c r="AR50" t="str">
        <f t="shared" si="16"/>
        <v>ALL_CCF_SHMOO_E_END_TITO_CLRS_NOM_LFM_1200_SBO</v>
      </c>
    </row>
    <row r="51" spans="1:45" x14ac:dyDescent="0.35">
      <c r="A51" s="33" t="s">
        <v>21</v>
      </c>
      <c r="B51" s="33" t="s">
        <v>99</v>
      </c>
      <c r="C51" s="33" t="str">
        <f>VLOOKUP(B51,templateLookup!A:B,2,0)</f>
        <v>PrimeShmooTestMethod</v>
      </c>
      <c r="D51" t="str">
        <f>E51&amp;"_"&amp;F51&amp;"_"&amp;G51&amp;"_"&amp;H51&amp;"_"&amp;A51&amp;"_"&amp;I51&amp;"_"&amp;J51&amp;"_"&amp;K51&amp;"_"&amp;L51&amp;"_"&amp;M51&amp;"_"&amp;N51</f>
        <v>ALL_CCF_SHMOO_E_END_TITO_CLRS_NOM_LFM_1200_SBO</v>
      </c>
      <c r="E51" t="s">
        <v>7</v>
      </c>
      <c r="F51" t="s">
        <v>22</v>
      </c>
      <c r="G51" t="s">
        <v>1011</v>
      </c>
      <c r="H51" t="s">
        <v>207</v>
      </c>
      <c r="I51" t="s">
        <v>260</v>
      </c>
      <c r="J51" t="s">
        <v>283</v>
      </c>
      <c r="K51" t="s">
        <v>284</v>
      </c>
      <c r="L51" t="s">
        <v>285</v>
      </c>
      <c r="M51">
        <v>1200</v>
      </c>
      <c r="N51" t="s">
        <v>1054</v>
      </c>
      <c r="O51" t="s">
        <v>1012</v>
      </c>
      <c r="P51" t="s">
        <v>268</v>
      </c>
      <c r="Q51" s="6" t="s">
        <v>1068</v>
      </c>
      <c r="R51">
        <v>61</v>
      </c>
      <c r="S51">
        <v>12</v>
      </c>
      <c r="T51">
        <v>543</v>
      </c>
      <c r="U51">
        <v>1</v>
      </c>
      <c r="V51" t="b">
        <v>0</v>
      </c>
      <c r="W51" t="s">
        <v>298</v>
      </c>
      <c r="AC51" t="s">
        <v>1061</v>
      </c>
      <c r="AM51">
        <f>COUNTA(AO51:AX51)</f>
        <v>4</v>
      </c>
      <c r="AN51" t="s">
        <v>920</v>
      </c>
      <c r="AO51" t="str">
        <f t="shared" si="16"/>
        <v>SSA_CCF_SHMOO_E_END_TITO_SAN_NOM_LFM_1200_PMA</v>
      </c>
      <c r="AP51" t="str">
        <f t="shared" si="16"/>
        <v>SSA_CCF_SHMOO_E_END_TITO_SAN_NOM_LFM_1200_PMA</v>
      </c>
      <c r="AQ51" t="str">
        <f t="shared" si="16"/>
        <v>SSA_CCF_SHMOO_E_END_TITO_SAN_NOM_LFM_1200_PMA</v>
      </c>
      <c r="AR51" t="str">
        <f t="shared" si="16"/>
        <v>SSA_CCF_SHMOO_E_END_TITO_SAN_NOM_LFM_1200_PMA</v>
      </c>
    </row>
    <row r="52" spans="1:45" x14ac:dyDescent="0.35">
      <c r="A52" s="33" t="s">
        <v>21</v>
      </c>
      <c r="B52" s="33" t="s">
        <v>99</v>
      </c>
      <c r="C52" s="33" t="str">
        <f>VLOOKUP(B52,templateLookup!A:B,2,0)</f>
        <v>PrimeShmooTestMethod</v>
      </c>
      <c r="D52" t="str">
        <f>E52&amp;"_"&amp;F52&amp;"_"&amp;G52&amp;"_"&amp;H52&amp;"_"&amp;A52&amp;"_"&amp;I52&amp;"_"&amp;J52&amp;"_"&amp;K52&amp;"_"&amp;L52&amp;"_"&amp;M52&amp;"_"&amp;N52</f>
        <v>SSA_CCF_SHMOO_E_END_TITO_SAN_NOM_LFM_1200_PMA</v>
      </c>
      <c r="E52" t="s">
        <v>4</v>
      </c>
      <c r="F52" t="s">
        <v>22</v>
      </c>
      <c r="G52" t="s">
        <v>1011</v>
      </c>
      <c r="H52" t="s">
        <v>207</v>
      </c>
      <c r="I52" t="s">
        <v>260</v>
      </c>
      <c r="J52" t="s">
        <v>295</v>
      </c>
      <c r="K52" t="s">
        <v>284</v>
      </c>
      <c r="L52" t="s">
        <v>285</v>
      </c>
      <c r="M52">
        <v>1200</v>
      </c>
      <c r="N52" t="s">
        <v>1055</v>
      </c>
      <c r="O52" t="s">
        <v>1012</v>
      </c>
      <c r="P52" t="s">
        <v>268</v>
      </c>
      <c r="Q52" t="s">
        <v>1075</v>
      </c>
      <c r="R52">
        <v>61</v>
      </c>
      <c r="S52">
        <v>12</v>
      </c>
      <c r="T52">
        <v>547</v>
      </c>
      <c r="U52" s="6">
        <v>1</v>
      </c>
      <c r="V52" s="6" t="b">
        <v>0</v>
      </c>
      <c r="W52" t="s">
        <v>298</v>
      </c>
      <c r="AC52" t="s">
        <v>1062</v>
      </c>
      <c r="AM52">
        <f>COUNTA(AO52:AX52)</f>
        <v>4</v>
      </c>
      <c r="AN52" t="s">
        <v>920</v>
      </c>
      <c r="AO52">
        <v>1</v>
      </c>
      <c r="AP52">
        <v>1</v>
      </c>
      <c r="AQ52">
        <v>1</v>
      </c>
      <c r="AR52">
        <v>1</v>
      </c>
    </row>
    <row r="53" spans="1:45" x14ac:dyDescent="0.35">
      <c r="A53" s="32" t="s">
        <v>21</v>
      </c>
      <c r="B53" s="32" t="s">
        <v>50</v>
      </c>
      <c r="C53" s="32" t="str">
        <f>VLOOKUP(B53,templateLookup!A:B,2,0)</f>
        <v>COMPOSITE</v>
      </c>
      <c r="D53" s="10"/>
    </row>
    <row r="54" spans="1:45" s="6" customFormat="1" x14ac:dyDescent="0.35">
      <c r="A54" s="5" t="s">
        <v>21</v>
      </c>
      <c r="B54" s="5" t="s">
        <v>50</v>
      </c>
      <c r="C54" s="5" t="str">
        <f>VLOOKUP(B54,templateLookup!A:B,2,0)</f>
        <v>COMPOSITE</v>
      </c>
      <c r="D54" s="5"/>
      <c r="U54"/>
      <c r="V54"/>
    </row>
    <row r="55" spans="1:45" s="3" customFormat="1" x14ac:dyDescent="0.35">
      <c r="A55" s="17" t="s">
        <v>1039</v>
      </c>
      <c r="B55" s="17" t="s">
        <v>49</v>
      </c>
      <c r="C55" s="17" t="str">
        <f>VLOOKUP(B55,templateLookup!A:B,2,0)</f>
        <v>COMPOSITE</v>
      </c>
      <c r="D55" s="17" t="s">
        <v>1039</v>
      </c>
      <c r="F55" t="s">
        <v>22</v>
      </c>
    </row>
    <row r="56" spans="1:45" x14ac:dyDescent="0.35">
      <c r="A56" s="3" t="s">
        <v>1039</v>
      </c>
      <c r="B56" s="3" t="s">
        <v>67</v>
      </c>
      <c r="C56" s="3" t="str">
        <f>VLOOKUP(B56,templateLookup!A:B,2,0)</f>
        <v>PrimeVminSearchTestMethod</v>
      </c>
      <c r="D56" t="str">
        <f>E56&amp;"_"&amp;F56&amp;"_"&amp;G56&amp;"_"&amp;H56&amp;"_"&amp;A56&amp;"_"&amp;I56&amp;"_"&amp;J56&amp;"_"&amp;K56&amp;"_"&amp;L56&amp;"_"&amp;M56&amp;"_"&amp;N56</f>
        <v>ALL_CCF_VMIN_K_ENDXFM_TITO_CLRS_MIN_HFM_2700_CBO</v>
      </c>
      <c r="E56" t="s">
        <v>7</v>
      </c>
      <c r="F56" t="s">
        <v>22</v>
      </c>
      <c r="G56" t="s">
        <v>951</v>
      </c>
      <c r="H56" t="s">
        <v>253</v>
      </c>
      <c r="I56" t="s">
        <v>260</v>
      </c>
      <c r="J56" t="s">
        <v>283</v>
      </c>
      <c r="K56" t="s">
        <v>952</v>
      </c>
      <c r="L56" t="s">
        <v>1038</v>
      </c>
      <c r="M56">
        <v>2700</v>
      </c>
      <c r="N56" t="s">
        <v>1051</v>
      </c>
      <c r="O56" t="s">
        <v>267</v>
      </c>
      <c r="P56" t="s">
        <v>268</v>
      </c>
      <c r="Q56" t="s">
        <v>1053</v>
      </c>
      <c r="R56">
        <v>61</v>
      </c>
      <c r="S56">
        <v>13</v>
      </c>
      <c r="T56">
        <v>601</v>
      </c>
      <c r="U56">
        <v>-1</v>
      </c>
      <c r="V56" s="12" t="b">
        <v>0</v>
      </c>
      <c r="W56" t="s">
        <v>270</v>
      </c>
      <c r="X56" t="s">
        <v>257</v>
      </c>
      <c r="Y56" t="s">
        <v>1092</v>
      </c>
      <c r="AA56">
        <v>2080</v>
      </c>
      <c r="AB56" t="s">
        <v>955</v>
      </c>
      <c r="AM56">
        <f>COUNTA(AO56:AX56)</f>
        <v>2</v>
      </c>
      <c r="AN56">
        <v>1</v>
      </c>
      <c r="AO56">
        <v>1</v>
      </c>
      <c r="AP56">
        <v>1</v>
      </c>
    </row>
    <row r="57" spans="1:45" s="3" customFormat="1" x14ac:dyDescent="0.35">
      <c r="A57" s="17" t="s">
        <v>1039</v>
      </c>
      <c r="B57" s="17" t="s">
        <v>50</v>
      </c>
      <c r="C57" s="17" t="str">
        <f>VLOOKUP(B57,templateLookup!A:B,2,0)</f>
        <v>COMPOSITE</v>
      </c>
      <c r="D57" s="17"/>
    </row>
    <row r="58" spans="1:45" s="26" customFormat="1" x14ac:dyDescent="0.35">
      <c r="A58" s="25" t="s">
        <v>1041</v>
      </c>
      <c r="B58" s="25" t="s">
        <v>49</v>
      </c>
      <c r="C58" s="25" t="str">
        <f>VLOOKUP(B58,templateLookup!A:B,2,0)</f>
        <v>COMPOSITE</v>
      </c>
      <c r="D58" s="25" t="s">
        <v>1041</v>
      </c>
      <c r="F58" t="s">
        <v>22</v>
      </c>
    </row>
    <row r="59" spans="1:45" x14ac:dyDescent="0.35">
      <c r="A59" s="26" t="s">
        <v>1041</v>
      </c>
      <c r="B59" s="26" t="s">
        <v>67</v>
      </c>
      <c r="C59" s="26" t="str">
        <f>VLOOKUP(B59,templateLookup!A:B,2,0)</f>
        <v>PrimeVminSearchTestMethod</v>
      </c>
      <c r="D59" t="str">
        <f>E59&amp;"_"&amp;F59&amp;"_"&amp;G59&amp;"_"&amp;H59&amp;"_"&amp;A59&amp;"_"&amp;I59&amp;"_"&amp;J59&amp;"_"&amp;K59&amp;"_"&amp;L59&amp;"_"&amp;M59&amp;"_"&amp;N59</f>
        <v>ALL_CCF_VMIN_K_ENDTFM_TITO_CLRS_MIN_TFM_4000_CBO</v>
      </c>
      <c r="E59" t="s">
        <v>7</v>
      </c>
      <c r="F59" t="s">
        <v>22</v>
      </c>
      <c r="G59" t="s">
        <v>951</v>
      </c>
      <c r="H59" t="s">
        <v>253</v>
      </c>
      <c r="I59" t="s">
        <v>260</v>
      </c>
      <c r="J59" t="s">
        <v>283</v>
      </c>
      <c r="K59" t="s">
        <v>952</v>
      </c>
      <c r="L59" t="s">
        <v>1042</v>
      </c>
      <c r="M59">
        <v>4000</v>
      </c>
      <c r="N59" t="s">
        <v>1051</v>
      </c>
      <c r="O59" t="s">
        <v>267</v>
      </c>
      <c r="P59" t="s">
        <v>268</v>
      </c>
      <c r="Q59" t="s">
        <v>1053</v>
      </c>
      <c r="R59">
        <v>61</v>
      </c>
      <c r="S59">
        <v>14</v>
      </c>
      <c r="T59">
        <v>603</v>
      </c>
      <c r="U59">
        <v>-1</v>
      </c>
      <c r="V59" s="12" t="b">
        <v>1</v>
      </c>
      <c r="W59" t="s">
        <v>270</v>
      </c>
      <c r="X59" t="s">
        <v>257</v>
      </c>
      <c r="Y59" t="s">
        <v>1093</v>
      </c>
      <c r="AA59">
        <v>2082</v>
      </c>
      <c r="AB59" t="s">
        <v>955</v>
      </c>
      <c r="AM59">
        <f>COUNTA(AO59:AX59)</f>
        <v>2</v>
      </c>
      <c r="AN59">
        <v>1</v>
      </c>
      <c r="AO59">
        <v>1</v>
      </c>
      <c r="AP59">
        <v>1</v>
      </c>
    </row>
    <row r="60" spans="1:45" s="26" customFormat="1" x14ac:dyDescent="0.35">
      <c r="A60" s="25" t="s">
        <v>1041</v>
      </c>
      <c r="B60" s="25" t="s">
        <v>50</v>
      </c>
      <c r="C60" s="25" t="str">
        <f>VLOOKUP(B60,templateLookup!A:B,2,0)</f>
        <v>COMPOSITE</v>
      </c>
      <c r="D60" s="25"/>
    </row>
    <row r="61" spans="1:45" s="28" customFormat="1" x14ac:dyDescent="0.35">
      <c r="A61" s="27" t="s">
        <v>1044</v>
      </c>
      <c r="B61" s="27" t="s">
        <v>49</v>
      </c>
      <c r="C61" s="27" t="str">
        <f>VLOOKUP(B61,templateLookup!A:B,2,0)</f>
        <v>COMPOSITE</v>
      </c>
      <c r="D61" s="27" t="s">
        <v>1044</v>
      </c>
      <c r="F61" s="28" t="s">
        <v>22</v>
      </c>
    </row>
    <row r="62" spans="1:45" s="28" customFormat="1" x14ac:dyDescent="0.35">
      <c r="A62" s="28" t="s">
        <v>1044</v>
      </c>
      <c r="B62" s="28" t="s">
        <v>79</v>
      </c>
      <c r="C62" s="28" t="str">
        <f>VLOOKUP(B62,templateLookup!A:B,2,0)</f>
        <v>iCHVQKTest</v>
      </c>
      <c r="D62" s="28" t="str">
        <f>E62&amp;"_"&amp;F62&amp;"_"&amp;G62&amp;"_"&amp;H62&amp;"_"&amp;A62&amp;"_"&amp;I62&amp;"_"&amp;J62&amp;"_"&amp;K62&amp;"_"&amp;L62&amp;"_"&amp;M62&amp;"_"&amp;N62</f>
        <v>ALL_CCF_HVQK_K_HOTSTRESS_TITO_CLRS_MAX_LFM_0400_CBO</v>
      </c>
      <c r="E62" s="28" t="s">
        <v>7</v>
      </c>
      <c r="F62" s="28" t="s">
        <v>22</v>
      </c>
      <c r="G62" s="28" t="s">
        <v>1005</v>
      </c>
      <c r="H62" s="28" t="s">
        <v>253</v>
      </c>
      <c r="I62" s="28" t="s">
        <v>260</v>
      </c>
      <c r="J62" s="28" t="s">
        <v>283</v>
      </c>
      <c r="K62" s="28" t="s">
        <v>357</v>
      </c>
      <c r="L62" s="28" t="s">
        <v>285</v>
      </c>
      <c r="M62" t="str">
        <f t="shared" ref="M62:M64" si="17">TEXT(400, "0000")</f>
        <v>0400</v>
      </c>
      <c r="N62" s="28" t="s">
        <v>1051</v>
      </c>
      <c r="O62" s="28" t="s">
        <v>1094</v>
      </c>
      <c r="P62" s="28" t="s">
        <v>1052</v>
      </c>
      <c r="Q62" s="28" t="s">
        <v>1053</v>
      </c>
      <c r="R62" s="28">
        <v>17</v>
      </c>
      <c r="S62" s="28">
        <v>61</v>
      </c>
      <c r="T62" s="28">
        <v>800</v>
      </c>
      <c r="U62" s="28">
        <v>-1</v>
      </c>
      <c r="V62" s="28" t="b">
        <v>0</v>
      </c>
      <c r="W62" s="28" t="s">
        <v>270</v>
      </c>
      <c r="AI62" s="28" t="s">
        <v>1046</v>
      </c>
      <c r="AL62" s="28" t="s">
        <v>1095</v>
      </c>
      <c r="AM62" s="28">
        <f>COUNTA(AO62:AX62)</f>
        <v>5</v>
      </c>
      <c r="AN62" s="28" t="s">
        <v>218</v>
      </c>
      <c r="AO62" s="28" t="str">
        <f t="shared" ref="AO62:AS63" si="18">$D63</f>
        <v>ALL_CCF_HVQK_K_HOTSTRESS_TITO_CLRS_MAX_LFM_0400_SBO</v>
      </c>
      <c r="AP62" s="28" t="str">
        <f t="shared" si="18"/>
        <v>ALL_CCF_HVQK_K_HOTSTRESS_TITO_CLRS_MAX_LFM_0400_SBO</v>
      </c>
      <c r="AQ62" s="28" t="str">
        <f t="shared" si="18"/>
        <v>ALL_CCF_HVQK_K_HOTSTRESS_TITO_CLRS_MAX_LFM_0400_SBO</v>
      </c>
      <c r="AR62" s="28" t="str">
        <f t="shared" si="18"/>
        <v>ALL_CCF_HVQK_K_HOTSTRESS_TITO_CLRS_MAX_LFM_0400_SBO</v>
      </c>
      <c r="AS62" s="28" t="str">
        <f t="shared" si="18"/>
        <v>ALL_CCF_HVQK_K_HOTSTRESS_TITO_CLRS_MAX_LFM_0400_SBO</v>
      </c>
    </row>
    <row r="63" spans="1:45" s="28" customFormat="1" x14ac:dyDescent="0.35">
      <c r="A63" s="28" t="s">
        <v>1044</v>
      </c>
      <c r="B63" s="28" t="s">
        <v>79</v>
      </c>
      <c r="C63" s="28" t="str">
        <f>VLOOKUP(B63,templateLookup!A:B,2,0)</f>
        <v>iCHVQKTest</v>
      </c>
      <c r="D63" s="28" t="str">
        <f>E63&amp;"_"&amp;F63&amp;"_"&amp;G63&amp;"_"&amp;H63&amp;"_"&amp;A63&amp;"_"&amp;I63&amp;"_"&amp;J63&amp;"_"&amp;K63&amp;"_"&amp;L63&amp;"_"&amp;M63&amp;"_"&amp;N63</f>
        <v>ALL_CCF_HVQK_K_HOTSTRESS_TITO_CLRS_MAX_LFM_0400_SBO</v>
      </c>
      <c r="E63" s="28" t="s">
        <v>7</v>
      </c>
      <c r="F63" s="28" t="s">
        <v>22</v>
      </c>
      <c r="G63" s="28" t="s">
        <v>1005</v>
      </c>
      <c r="H63" s="28" t="s">
        <v>253</v>
      </c>
      <c r="I63" s="28" t="s">
        <v>260</v>
      </c>
      <c r="J63" s="28" t="s">
        <v>283</v>
      </c>
      <c r="K63" s="28" t="s">
        <v>357</v>
      </c>
      <c r="L63" s="28" t="s">
        <v>285</v>
      </c>
      <c r="M63" t="str">
        <f t="shared" si="17"/>
        <v>0400</v>
      </c>
      <c r="N63" s="28" t="s">
        <v>1054</v>
      </c>
      <c r="O63" s="28" t="s">
        <v>1094</v>
      </c>
      <c r="P63" s="28" t="s">
        <v>268</v>
      </c>
      <c r="Q63" s="28" t="s">
        <v>875</v>
      </c>
      <c r="R63" s="28">
        <v>17</v>
      </c>
      <c r="S63" s="28">
        <v>61</v>
      </c>
      <c r="T63" s="28">
        <v>801</v>
      </c>
      <c r="U63" s="28">
        <v>-1</v>
      </c>
      <c r="V63" s="28" t="b">
        <v>0</v>
      </c>
      <c r="W63" s="28" t="s">
        <v>298</v>
      </c>
      <c r="AI63" s="28" t="s">
        <v>1046</v>
      </c>
      <c r="AL63" s="28" t="s">
        <v>1096</v>
      </c>
      <c r="AM63" s="28">
        <f>COUNTA(AO63:AX63)</f>
        <v>5</v>
      </c>
      <c r="AN63" s="28" t="s">
        <v>218</v>
      </c>
      <c r="AO63" s="28" t="str">
        <f t="shared" si="18"/>
        <v>SSA_CCF_HVQK_K_HOTSTRESS_TITO_SAN_MAX_LFM_0400_PMA</v>
      </c>
      <c r="AP63" s="28" t="str">
        <f t="shared" si="18"/>
        <v>SSA_CCF_HVQK_K_HOTSTRESS_TITO_SAN_MAX_LFM_0400_PMA</v>
      </c>
      <c r="AQ63" s="28" t="str">
        <f t="shared" si="18"/>
        <v>SSA_CCF_HVQK_K_HOTSTRESS_TITO_SAN_MAX_LFM_0400_PMA</v>
      </c>
      <c r="AR63" s="28" t="str">
        <f t="shared" si="18"/>
        <v>SSA_CCF_HVQK_K_HOTSTRESS_TITO_SAN_MAX_LFM_0400_PMA</v>
      </c>
      <c r="AS63" s="28" t="str">
        <f t="shared" si="18"/>
        <v>SSA_CCF_HVQK_K_HOTSTRESS_TITO_SAN_MAX_LFM_0400_PMA</v>
      </c>
    </row>
    <row r="64" spans="1:45" s="28" customFormat="1" x14ac:dyDescent="0.35">
      <c r="A64" s="28" t="s">
        <v>1044</v>
      </c>
      <c r="B64" s="28" t="s">
        <v>79</v>
      </c>
      <c r="C64" s="28" t="str">
        <f>VLOOKUP(B64,templateLookup!A:B,2,0)</f>
        <v>iCHVQKTest</v>
      </c>
      <c r="D64" s="28" t="str">
        <f>E64&amp;"_"&amp;F64&amp;"_"&amp;G64&amp;"_"&amp;H64&amp;"_"&amp;A64&amp;"_"&amp;I64&amp;"_"&amp;J64&amp;"_"&amp;K64&amp;"_"&amp;L64&amp;"_"&amp;M64&amp;"_"&amp;N64</f>
        <v>SSA_CCF_HVQK_K_HOTSTRESS_TITO_SAN_MAX_LFM_0400_PMA</v>
      </c>
      <c r="E64" s="28" t="s">
        <v>4</v>
      </c>
      <c r="F64" s="28" t="s">
        <v>22</v>
      </c>
      <c r="G64" s="28" t="s">
        <v>1005</v>
      </c>
      <c r="H64" s="28" t="s">
        <v>253</v>
      </c>
      <c r="I64" s="28" t="s">
        <v>260</v>
      </c>
      <c r="J64" s="28" t="s">
        <v>295</v>
      </c>
      <c r="K64" s="28" t="s">
        <v>357</v>
      </c>
      <c r="L64" s="28" t="s">
        <v>285</v>
      </c>
      <c r="M64" t="str">
        <f t="shared" si="17"/>
        <v>0400</v>
      </c>
      <c r="N64" s="28" t="s">
        <v>1055</v>
      </c>
      <c r="O64" s="28" t="s">
        <v>1094</v>
      </c>
      <c r="P64" s="28" t="s">
        <v>268</v>
      </c>
      <c r="Q64" s="28" t="s">
        <v>1056</v>
      </c>
      <c r="R64" s="28">
        <v>17</v>
      </c>
      <c r="S64" s="28">
        <v>61</v>
      </c>
      <c r="T64" s="28">
        <v>802</v>
      </c>
      <c r="U64" s="28">
        <v>-1</v>
      </c>
      <c r="V64" s="28" t="b">
        <v>0</v>
      </c>
      <c r="W64" s="28" t="s">
        <v>298</v>
      </c>
      <c r="AI64" s="28" t="s">
        <v>1046</v>
      </c>
      <c r="AL64" s="28" t="s">
        <v>1097</v>
      </c>
      <c r="AM64" s="28">
        <f>COUNTA(AO64:AX64)</f>
        <v>5</v>
      </c>
      <c r="AN64" s="28" t="s">
        <v>218</v>
      </c>
      <c r="AO64" s="28">
        <v>1</v>
      </c>
      <c r="AP64" s="28">
        <v>1</v>
      </c>
      <c r="AQ64" s="28">
        <v>1</v>
      </c>
      <c r="AR64" s="28">
        <v>1</v>
      </c>
      <c r="AS64" s="28">
        <v>1</v>
      </c>
    </row>
    <row r="65" spans="1:44" s="28" customFormat="1" x14ac:dyDescent="0.35">
      <c r="A65" s="27" t="s">
        <v>1044</v>
      </c>
      <c r="B65" s="27" t="s">
        <v>50</v>
      </c>
      <c r="C65" s="27" t="str">
        <f>VLOOKUP(B65,templateLookup!A:B,2,0)</f>
        <v>COMPOSITE</v>
      </c>
      <c r="D65" s="27"/>
    </row>
    <row r="66" spans="1:44" s="1" customFormat="1" x14ac:dyDescent="0.35">
      <c r="A66" s="29" t="s">
        <v>1049</v>
      </c>
      <c r="B66" s="29" t="s">
        <v>49</v>
      </c>
      <c r="C66" s="29" t="str">
        <f>VLOOKUP(B66,templateLookup!A:B,2,0)</f>
        <v>COMPOSITE</v>
      </c>
      <c r="D66" s="29" t="s">
        <v>1049</v>
      </c>
      <c r="F66" s="1" t="s">
        <v>22</v>
      </c>
    </row>
    <row r="67" spans="1:44" x14ac:dyDescent="0.35">
      <c r="A67" s="1" t="s">
        <v>1049</v>
      </c>
      <c r="B67" s="1" t="s">
        <v>68</v>
      </c>
      <c r="C67" s="1" t="str">
        <f>VLOOKUP(B67,templateLookup!A:B,2,0)</f>
        <v>LNLVminSearch</v>
      </c>
      <c r="D67" t="str">
        <f>E67&amp;"_"&amp;F67&amp;"_"&amp;G67&amp;"_"&amp;H67&amp;"_"&amp;A67&amp;"_"&amp;I67&amp;"_"&amp;J67&amp;"_"&amp;K67&amp;"_"&amp;L67&amp;"_"&amp;M67&amp;"_"&amp;N67</f>
        <v>ALL_CCF_VMIN_K_SDTEND_TITO_CLRS_MIN_LFM_0400_CBO</v>
      </c>
      <c r="E67" t="s">
        <v>7</v>
      </c>
      <c r="F67" t="s">
        <v>22</v>
      </c>
      <c r="G67" t="s">
        <v>951</v>
      </c>
      <c r="H67" t="s">
        <v>253</v>
      </c>
      <c r="I67" t="s">
        <v>260</v>
      </c>
      <c r="J67" t="s">
        <v>283</v>
      </c>
      <c r="K67" t="s">
        <v>952</v>
      </c>
      <c r="L67" t="s">
        <v>285</v>
      </c>
      <c r="M67" t="str">
        <f t="shared" ref="M67:M69" si="19">TEXT(400, "0000")</f>
        <v>0400</v>
      </c>
      <c r="N67" t="s">
        <v>1051</v>
      </c>
      <c r="O67" t="s">
        <v>267</v>
      </c>
      <c r="P67" t="s">
        <v>1052</v>
      </c>
      <c r="Q67" t="s">
        <v>1053</v>
      </c>
      <c r="R67">
        <v>61</v>
      </c>
      <c r="S67">
        <v>17</v>
      </c>
      <c r="T67">
        <v>700</v>
      </c>
      <c r="U67">
        <v>-1</v>
      </c>
      <c r="V67" s="12" t="b">
        <v>1</v>
      </c>
      <c r="W67" t="s">
        <v>270</v>
      </c>
      <c r="X67" t="s">
        <v>257</v>
      </c>
      <c r="Y67" t="s">
        <v>281</v>
      </c>
      <c r="AA67">
        <v>2083</v>
      </c>
      <c r="AB67" t="s">
        <v>955</v>
      </c>
      <c r="AD67" t="s">
        <v>7</v>
      </c>
      <c r="AE67">
        <v>0</v>
      </c>
      <c r="AM67">
        <f>COUNTA(AO67:AX67)</f>
        <v>2</v>
      </c>
      <c r="AN67">
        <v>1</v>
      </c>
      <c r="AO67" t="str">
        <f>$D68</f>
        <v>ALL_CCF_VMIN_K_SDTEND_TITO_CLRS_MIN_LFM_0400_SBO</v>
      </c>
      <c r="AP67" t="str">
        <f>$D68</f>
        <v>ALL_CCF_VMIN_K_SDTEND_TITO_CLRS_MIN_LFM_0400_SBO</v>
      </c>
    </row>
    <row r="68" spans="1:44" x14ac:dyDescent="0.35">
      <c r="A68" s="1" t="s">
        <v>1049</v>
      </c>
      <c r="B68" s="1" t="s">
        <v>68</v>
      </c>
      <c r="C68" s="1" t="str">
        <f>VLOOKUP(B68,templateLookup!A:B,2,0)</f>
        <v>LNLVminSearch</v>
      </c>
      <c r="D68" t="str">
        <f>E68&amp;"_"&amp;F68&amp;"_"&amp;G68&amp;"_"&amp;H68&amp;"_"&amp;A68&amp;"_"&amp;I68&amp;"_"&amp;J68&amp;"_"&amp;K68&amp;"_"&amp;L68&amp;"_"&amp;M68&amp;"_"&amp;N68</f>
        <v>ALL_CCF_VMIN_K_SDTEND_TITO_CLRS_MIN_LFM_0400_SBO</v>
      </c>
      <c r="E68" t="s">
        <v>7</v>
      </c>
      <c r="F68" t="s">
        <v>22</v>
      </c>
      <c r="G68" t="s">
        <v>951</v>
      </c>
      <c r="H68" t="s">
        <v>253</v>
      </c>
      <c r="I68" t="s">
        <v>260</v>
      </c>
      <c r="J68" t="s">
        <v>283</v>
      </c>
      <c r="K68" t="s">
        <v>952</v>
      </c>
      <c r="L68" t="s">
        <v>285</v>
      </c>
      <c r="M68" t="str">
        <f t="shared" si="19"/>
        <v>0400</v>
      </c>
      <c r="N68" t="s">
        <v>1054</v>
      </c>
      <c r="O68" t="s">
        <v>267</v>
      </c>
      <c r="P68" t="s">
        <v>268</v>
      </c>
      <c r="Q68" t="s">
        <v>875</v>
      </c>
      <c r="R68">
        <v>61</v>
      </c>
      <c r="S68">
        <v>17</v>
      </c>
      <c r="T68">
        <v>701</v>
      </c>
      <c r="U68">
        <v>-1</v>
      </c>
      <c r="V68" s="12" t="b">
        <v>1</v>
      </c>
      <c r="W68" t="s">
        <v>298</v>
      </c>
      <c r="X68" t="s">
        <v>960</v>
      </c>
      <c r="AA68">
        <v>2084</v>
      </c>
      <c r="AB68" t="s">
        <v>955</v>
      </c>
      <c r="AD68" t="s">
        <v>7</v>
      </c>
      <c r="AE68">
        <v>0</v>
      </c>
      <c r="AM68">
        <f>COUNTA(AO68:AX68)</f>
        <v>2</v>
      </c>
      <c r="AN68">
        <v>1</v>
      </c>
      <c r="AO68" t="str">
        <f>$D69</f>
        <v>SSA_CCF_VMIN_K_SDTEND_TITO_SAN_MIN_LFM_0400_PMA</v>
      </c>
      <c r="AP68" t="str">
        <f>$D69</f>
        <v>SSA_CCF_VMIN_K_SDTEND_TITO_SAN_MIN_LFM_0400_PMA</v>
      </c>
    </row>
    <row r="69" spans="1:44" x14ac:dyDescent="0.35">
      <c r="A69" s="1" t="s">
        <v>1049</v>
      </c>
      <c r="B69" s="1" t="s">
        <v>68</v>
      </c>
      <c r="C69" s="1" t="str">
        <f>VLOOKUP(B69,templateLookup!A:B,2,0)</f>
        <v>LNLVminSearch</v>
      </c>
      <c r="D69" t="str">
        <f>E69&amp;"_"&amp;F69&amp;"_"&amp;G69&amp;"_"&amp;H69&amp;"_"&amp;A69&amp;"_"&amp;I69&amp;"_"&amp;J69&amp;"_"&amp;K69&amp;"_"&amp;L69&amp;"_"&amp;M69&amp;"_"&amp;N69</f>
        <v>SSA_CCF_VMIN_K_SDTEND_TITO_SAN_MIN_LFM_0400_PMA</v>
      </c>
      <c r="E69" t="s">
        <v>4</v>
      </c>
      <c r="F69" t="s">
        <v>22</v>
      </c>
      <c r="G69" t="s">
        <v>951</v>
      </c>
      <c r="H69" t="s">
        <v>253</v>
      </c>
      <c r="I69" t="s">
        <v>260</v>
      </c>
      <c r="J69" t="s">
        <v>295</v>
      </c>
      <c r="K69" t="s">
        <v>952</v>
      </c>
      <c r="L69" t="s">
        <v>285</v>
      </c>
      <c r="M69" t="str">
        <f t="shared" si="19"/>
        <v>0400</v>
      </c>
      <c r="N69" t="s">
        <v>1055</v>
      </c>
      <c r="O69" t="s">
        <v>267</v>
      </c>
      <c r="P69" t="s">
        <v>268</v>
      </c>
      <c r="Q69" t="s">
        <v>1056</v>
      </c>
      <c r="R69">
        <v>61</v>
      </c>
      <c r="S69">
        <v>17</v>
      </c>
      <c r="T69">
        <v>702</v>
      </c>
      <c r="U69">
        <v>-1</v>
      </c>
      <c r="V69" s="12" t="b">
        <v>1</v>
      </c>
      <c r="W69" t="s">
        <v>298</v>
      </c>
      <c r="X69" t="s">
        <v>960</v>
      </c>
      <c r="AA69">
        <v>2085</v>
      </c>
      <c r="AB69" t="s">
        <v>955</v>
      </c>
      <c r="AD69" t="s">
        <v>7</v>
      </c>
      <c r="AE69">
        <v>0</v>
      </c>
      <c r="AM69">
        <f>COUNTA(AO69:AX69)</f>
        <v>2</v>
      </c>
      <c r="AN69">
        <v>1</v>
      </c>
      <c r="AO69">
        <v>1</v>
      </c>
      <c r="AP69">
        <v>1</v>
      </c>
    </row>
    <row r="70" spans="1:44" x14ac:dyDescent="0.35">
      <c r="A70" s="29" t="s">
        <v>1049</v>
      </c>
      <c r="B70" s="29" t="s">
        <v>49</v>
      </c>
      <c r="C70" s="29" t="str">
        <f>VLOOKUP(B70,templateLookup!A:B,2,0)</f>
        <v>COMPOSITE</v>
      </c>
      <c r="D70" s="10" t="s">
        <v>1050</v>
      </c>
      <c r="F70" s="29" t="s">
        <v>22</v>
      </c>
      <c r="AM70">
        <v>2</v>
      </c>
      <c r="AN70">
        <v>1</v>
      </c>
      <c r="AO70">
        <v>1</v>
      </c>
      <c r="AP70">
        <v>1</v>
      </c>
    </row>
    <row r="71" spans="1:44" x14ac:dyDescent="0.35">
      <c r="A71" s="1" t="s">
        <v>1049</v>
      </c>
      <c r="B71" s="1" t="s">
        <v>102</v>
      </c>
      <c r="C71" s="1" t="str">
        <f>VLOOKUP(B71,templateLookup!A:B,2,0)</f>
        <v>PrimeShmooTestMethod</v>
      </c>
      <c r="D71" t="str">
        <f>E71&amp;"_"&amp;F71&amp;"_"&amp;G71&amp;"_"&amp;H71&amp;"_"&amp;A71&amp;"_"&amp;I71&amp;"_"&amp;J71&amp;"_"&amp;K71&amp;"_"&amp;L71&amp;"_"&amp;M71&amp;"_"&amp;N71</f>
        <v>ALL_CCF_SHMOO_E_SDTEND_TITO_CLRS_MAX_LFM_0400_CBO</v>
      </c>
      <c r="E71" t="s">
        <v>7</v>
      </c>
      <c r="F71" t="s">
        <v>22</v>
      </c>
      <c r="G71" t="s">
        <v>1011</v>
      </c>
      <c r="H71" t="s">
        <v>207</v>
      </c>
      <c r="I71" t="s">
        <v>260</v>
      </c>
      <c r="J71" t="s">
        <v>283</v>
      </c>
      <c r="K71" t="s">
        <v>357</v>
      </c>
      <c r="L71" t="s">
        <v>285</v>
      </c>
      <c r="M71" t="str">
        <f t="shared" ref="M71:M73" si="20">TEXT(400, "0000")</f>
        <v>0400</v>
      </c>
      <c r="N71" t="s">
        <v>1051</v>
      </c>
      <c r="O71" t="s">
        <v>1012</v>
      </c>
      <c r="P71" t="s">
        <v>268</v>
      </c>
      <c r="Q71" t="s">
        <v>1053</v>
      </c>
      <c r="R71">
        <v>17</v>
      </c>
      <c r="S71">
        <v>61</v>
      </c>
      <c r="T71">
        <v>704</v>
      </c>
      <c r="U71">
        <v>1</v>
      </c>
      <c r="V71" t="b">
        <v>0</v>
      </c>
      <c r="W71" t="s">
        <v>270</v>
      </c>
      <c r="AC71" t="s">
        <v>1061</v>
      </c>
      <c r="AM71">
        <v>4</v>
      </c>
      <c r="AN71" t="s">
        <v>920</v>
      </c>
      <c r="AO71" t="str">
        <f t="shared" ref="AO71:AR72" si="21">$D72</f>
        <v>ALL_CCF_SHMOO_E_SDTEND_TITO_CLRS_MAX_LFM_0400_SBO</v>
      </c>
      <c r="AP71" t="str">
        <f t="shared" si="21"/>
        <v>ALL_CCF_SHMOO_E_SDTEND_TITO_CLRS_MAX_LFM_0400_SBO</v>
      </c>
      <c r="AQ71" t="str">
        <f t="shared" si="21"/>
        <v>ALL_CCF_SHMOO_E_SDTEND_TITO_CLRS_MAX_LFM_0400_SBO</v>
      </c>
      <c r="AR71" t="str">
        <f t="shared" si="21"/>
        <v>ALL_CCF_SHMOO_E_SDTEND_TITO_CLRS_MAX_LFM_0400_SBO</v>
      </c>
    </row>
    <row r="72" spans="1:44" x14ac:dyDescent="0.35">
      <c r="A72" s="1" t="s">
        <v>1049</v>
      </c>
      <c r="B72" s="1" t="s">
        <v>102</v>
      </c>
      <c r="C72" s="1" t="str">
        <f>VLOOKUP(B72,templateLookup!A:B,2,0)</f>
        <v>PrimeShmooTestMethod</v>
      </c>
      <c r="D72" t="str">
        <f>E72&amp;"_"&amp;F72&amp;"_"&amp;G72&amp;"_"&amp;H72&amp;"_"&amp;A72&amp;"_"&amp;I72&amp;"_"&amp;J72&amp;"_"&amp;K72&amp;"_"&amp;L72&amp;"_"&amp;M72&amp;"_"&amp;N72</f>
        <v>ALL_CCF_SHMOO_E_SDTEND_TITO_CLRS_MAX_LFM_0400_SBO</v>
      </c>
      <c r="E72" t="s">
        <v>7</v>
      </c>
      <c r="F72" t="s">
        <v>22</v>
      </c>
      <c r="G72" t="s">
        <v>1011</v>
      </c>
      <c r="H72" t="s">
        <v>207</v>
      </c>
      <c r="I72" t="s">
        <v>260</v>
      </c>
      <c r="J72" t="s">
        <v>283</v>
      </c>
      <c r="K72" t="s">
        <v>357</v>
      </c>
      <c r="L72" t="s">
        <v>285</v>
      </c>
      <c r="M72" t="str">
        <f t="shared" si="20"/>
        <v>0400</v>
      </c>
      <c r="N72" t="s">
        <v>1054</v>
      </c>
      <c r="O72" t="s">
        <v>1012</v>
      </c>
      <c r="P72" t="s">
        <v>268</v>
      </c>
      <c r="Q72" t="s">
        <v>875</v>
      </c>
      <c r="R72">
        <v>17</v>
      </c>
      <c r="S72">
        <v>61</v>
      </c>
      <c r="T72">
        <v>705</v>
      </c>
      <c r="U72">
        <v>1</v>
      </c>
      <c r="V72" s="12" t="b">
        <v>0</v>
      </c>
      <c r="W72" t="s">
        <v>298</v>
      </c>
      <c r="AC72" t="s">
        <v>1062</v>
      </c>
      <c r="AM72">
        <v>4</v>
      </c>
      <c r="AN72" t="s">
        <v>920</v>
      </c>
      <c r="AO72" t="str">
        <f t="shared" si="21"/>
        <v>SSA_CCF_SHMOO_E_SDTEND_TITO_SAN_MAX_LFM_0400_PMA</v>
      </c>
      <c r="AP72" t="str">
        <f t="shared" si="21"/>
        <v>SSA_CCF_SHMOO_E_SDTEND_TITO_SAN_MAX_LFM_0400_PMA</v>
      </c>
      <c r="AQ72" t="str">
        <f t="shared" si="21"/>
        <v>SSA_CCF_SHMOO_E_SDTEND_TITO_SAN_MAX_LFM_0400_PMA</v>
      </c>
      <c r="AR72" t="str">
        <f t="shared" si="21"/>
        <v>SSA_CCF_SHMOO_E_SDTEND_TITO_SAN_MAX_LFM_0400_PMA</v>
      </c>
    </row>
    <row r="73" spans="1:44" x14ac:dyDescent="0.35">
      <c r="A73" s="1" t="s">
        <v>1049</v>
      </c>
      <c r="B73" s="1" t="s">
        <v>102</v>
      </c>
      <c r="C73" s="1" t="str">
        <f>VLOOKUP(B73,templateLookup!A:B,2,0)</f>
        <v>PrimeShmooTestMethod</v>
      </c>
      <c r="D73" t="str">
        <f>E73&amp;"_"&amp;F73&amp;"_"&amp;G73&amp;"_"&amp;H73&amp;"_"&amp;A73&amp;"_"&amp;I73&amp;"_"&amp;J73&amp;"_"&amp;K73&amp;"_"&amp;L73&amp;"_"&amp;M73&amp;"_"&amp;N73</f>
        <v>SSA_CCF_SHMOO_E_SDTEND_TITO_SAN_MAX_LFM_0400_PMA</v>
      </c>
      <c r="E73" t="s">
        <v>4</v>
      </c>
      <c r="F73" t="s">
        <v>22</v>
      </c>
      <c r="G73" t="s">
        <v>1011</v>
      </c>
      <c r="H73" t="s">
        <v>207</v>
      </c>
      <c r="I73" t="s">
        <v>260</v>
      </c>
      <c r="J73" t="s">
        <v>295</v>
      </c>
      <c r="K73" t="s">
        <v>357</v>
      </c>
      <c r="L73" t="s">
        <v>285</v>
      </c>
      <c r="M73" t="str">
        <f t="shared" si="20"/>
        <v>0400</v>
      </c>
      <c r="N73" t="s">
        <v>1055</v>
      </c>
      <c r="O73" t="s">
        <v>1012</v>
      </c>
      <c r="P73" t="s">
        <v>268</v>
      </c>
      <c r="Q73" t="s">
        <v>1056</v>
      </c>
      <c r="R73">
        <v>17</v>
      </c>
      <c r="S73">
        <v>61</v>
      </c>
      <c r="T73">
        <v>706</v>
      </c>
      <c r="U73">
        <v>1</v>
      </c>
      <c r="V73" t="b">
        <v>0</v>
      </c>
      <c r="W73" t="s">
        <v>298</v>
      </c>
      <c r="AC73" t="s">
        <v>1062</v>
      </c>
      <c r="AM73">
        <v>4</v>
      </c>
      <c r="AN73" t="s">
        <v>920</v>
      </c>
      <c r="AO73">
        <v>1</v>
      </c>
      <c r="AP73">
        <v>1</v>
      </c>
      <c r="AQ73">
        <v>1</v>
      </c>
      <c r="AR73">
        <v>1</v>
      </c>
    </row>
    <row r="74" spans="1:44" x14ac:dyDescent="0.35">
      <c r="A74" s="29" t="s">
        <v>1049</v>
      </c>
      <c r="B74" s="29" t="s">
        <v>50</v>
      </c>
      <c r="C74" s="29" t="str">
        <f>VLOOKUP(B74,templateLookup!A:B,2,0)</f>
        <v>COMPOSITE</v>
      </c>
      <c r="D74" s="10"/>
    </row>
    <row r="75" spans="1:44" s="1" customFormat="1" x14ac:dyDescent="0.35">
      <c r="A75" s="29" t="s">
        <v>1049</v>
      </c>
      <c r="B75" s="29" t="s">
        <v>50</v>
      </c>
      <c r="C75" s="29" t="str">
        <f>VLOOKUP(B75,templateLookup!A:B,2,0)</f>
        <v>COMPOSITE</v>
      </c>
      <c r="D75" s="29"/>
    </row>
    <row r="76" spans="1:44" x14ac:dyDescent="0.35">
      <c r="A76" s="10" t="s">
        <v>203</v>
      </c>
      <c r="B76" s="10" t="s">
        <v>51</v>
      </c>
      <c r="C76" s="10" t="str">
        <f>VLOOKUP(B76,templateLookup!A:B,2,0)</f>
        <v>COMPOSITE</v>
      </c>
      <c r="D76" s="10" t="s">
        <v>203</v>
      </c>
    </row>
    <row r="84" spans="21:22" x14ac:dyDescent="0.35">
      <c r="U84" s="6"/>
      <c r="V84" s="6"/>
    </row>
    <row r="85" spans="21:22" x14ac:dyDescent="0.35">
      <c r="U85" s="6"/>
      <c r="V85" s="6"/>
    </row>
    <row r="88" spans="21:22" x14ac:dyDescent="0.35">
      <c r="U88" s="6"/>
      <c r="V88" s="6"/>
    </row>
    <row r="89" spans="21:22" x14ac:dyDescent="0.35">
      <c r="U89" s="6"/>
      <c r="V89" s="6"/>
    </row>
    <row r="145" spans="21:22" x14ac:dyDescent="0.35">
      <c r="U145" s="6"/>
      <c r="V145" s="6"/>
    </row>
  </sheetData>
  <autoFilter ref="A1:AX76" xr:uid="{00000000-0001-0000-0100-000000000000}"/>
  <conditionalFormatting sqref="U1:U1048576">
    <cfRule type="cellIs" dxfId="156" priority="3" operator="equal">
      <formula>1</formula>
    </cfRule>
    <cfRule type="cellIs" dxfId="155" priority="4" operator="equal">
      <formula>-1</formula>
    </cfRule>
  </conditionalFormatting>
  <conditionalFormatting sqref="V1:V1048576">
    <cfRule type="cellIs" dxfId="154" priority="1" operator="equal">
      <formula>TRUE</formula>
    </cfRule>
    <cfRule type="cellIs" dxfId="153" priority="2" operator="equal">
      <formula>FALSE</formula>
    </cfRule>
  </conditionalFormatting>
  <conditionalFormatting sqref="AB1">
    <cfRule type="duplicateValues" dxfId="152" priority="5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3F96-D265-4FFC-95DB-37A306DAD02E}">
  <dimension ref="A1:BD170"/>
  <sheetViews>
    <sheetView zoomScale="85" zoomScaleNormal="85" workbookViewId="0">
      <pane xSplit="4" ySplit="1" topLeftCell="AE14" activePane="bottomRight" state="frozen"/>
      <selection pane="topRight" activeCell="A39" sqref="A39"/>
      <selection pane="bottomLeft" activeCell="A39" sqref="A39"/>
      <selection pane="bottomRight" activeCell="AS39" sqref="AS39"/>
    </sheetView>
  </sheetViews>
  <sheetFormatPr defaultRowHeight="14.5" x14ac:dyDescent="0.35"/>
  <cols>
    <col min="1" max="1" width="10.54296875" bestFit="1" customWidth="1"/>
    <col min="2" max="2" width="18.453125" bestFit="1" customWidth="1"/>
    <col min="3" max="3" width="25.81640625" customWidth="1"/>
    <col min="4" max="4" width="71.54296875" bestFit="1" customWidth="1"/>
    <col min="5" max="5" width="5.453125" customWidth="1"/>
    <col min="6" max="6" width="10.1796875" customWidth="1"/>
    <col min="7" max="7" width="9.1796875" customWidth="1"/>
    <col min="8" max="8" width="3.54296875" customWidth="1"/>
    <col min="9" max="9" width="6.54296875" customWidth="1"/>
    <col min="10" max="10" width="7.1796875" customWidth="1"/>
    <col min="11" max="11" width="9.453125" customWidth="1"/>
    <col min="12" max="13" width="6" customWidth="1"/>
    <col min="14" max="14" width="24.81640625" customWidth="1"/>
    <col min="15" max="15" width="33" customWidth="1"/>
    <col min="16" max="16" width="61.1796875" customWidth="1"/>
    <col min="17" max="17" width="51.453125" customWidth="1"/>
    <col min="18" max="18" width="5" customWidth="1"/>
    <col min="19" max="19" width="5.453125" customWidth="1"/>
    <col min="20" max="20" width="10.81640625" bestFit="1" customWidth="1"/>
    <col min="21" max="21" width="10.81640625" customWidth="1"/>
    <col min="22" max="23" width="9.1796875" customWidth="1"/>
    <col min="24" max="24" width="15.54296875" customWidth="1"/>
    <col min="25" max="25" width="9.81640625" customWidth="1"/>
    <col min="26" max="26" width="13.1796875" customWidth="1"/>
    <col min="27" max="27" width="13.453125" customWidth="1"/>
    <col min="28" max="28" width="12.54296875" customWidth="1"/>
    <col min="29" max="30" width="58.81640625" customWidth="1"/>
    <col min="31" max="32" width="25.453125" customWidth="1"/>
    <col min="33" max="35" width="58.81640625" customWidth="1"/>
    <col min="36" max="36" width="12.54296875" customWidth="1"/>
    <col min="37" max="37" width="71.54296875" bestFit="1" customWidth="1"/>
    <col min="38" max="39" width="12.54296875" customWidth="1"/>
    <col min="40" max="40" width="30.453125" bestFit="1" customWidth="1"/>
    <col min="43" max="43" width="61.1796875" customWidth="1"/>
    <col min="44" max="44" width="70" bestFit="1" customWidth="1"/>
    <col min="45" max="45" width="68.453125" bestFit="1" customWidth="1"/>
    <col min="46" max="46" width="71" bestFit="1" customWidth="1"/>
    <col min="47" max="47" width="65.54296875" bestFit="1" customWidth="1"/>
    <col min="48" max="49" width="54" bestFit="1" customWidth="1"/>
  </cols>
  <sheetData>
    <row r="1" spans="1:52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1098</v>
      </c>
      <c r="V1" t="s">
        <v>167</v>
      </c>
      <c r="W1" t="s">
        <v>168</v>
      </c>
      <c r="X1" t="s">
        <v>902</v>
      </c>
      <c r="Y1" t="s">
        <v>903</v>
      </c>
      <c r="Z1" t="s">
        <v>898</v>
      </c>
      <c r="AA1" t="s">
        <v>169</v>
      </c>
      <c r="AB1" t="s">
        <v>189</v>
      </c>
      <c r="AC1" t="s">
        <v>190</v>
      </c>
      <c r="AD1" t="s">
        <v>899</v>
      </c>
      <c r="AE1" t="s">
        <v>900</v>
      </c>
      <c r="AF1" t="s">
        <v>901</v>
      </c>
      <c r="AG1" t="s">
        <v>187</v>
      </c>
      <c r="AH1" t="s">
        <v>188</v>
      </c>
      <c r="AI1" t="s">
        <v>181</v>
      </c>
      <c r="AJ1" t="s">
        <v>908</v>
      </c>
      <c r="AK1" t="s">
        <v>182</v>
      </c>
      <c r="AL1" t="s">
        <v>909</v>
      </c>
      <c r="AM1" t="s">
        <v>910</v>
      </c>
      <c r="AN1" t="s">
        <v>911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202</v>
      </c>
    </row>
    <row r="2" spans="1:52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24</v>
      </c>
    </row>
    <row r="3" spans="1:52" x14ac:dyDescent="0.35">
      <c r="A3" s="5" t="s">
        <v>871</v>
      </c>
      <c r="B3" s="5" t="s">
        <v>49</v>
      </c>
      <c r="C3" s="5" t="str">
        <f>VLOOKUP(B3,templateLookup!A:B,2,0)</f>
        <v>COMPOSITE</v>
      </c>
      <c r="D3" s="5" t="s">
        <v>871</v>
      </c>
      <c r="E3" s="5"/>
      <c r="F3" s="5" t="s">
        <v>24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 t="str">
        <f t="shared" ref="U3:U57" si="0">R3&amp;S3&amp;T3</f>
        <v/>
      </c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x14ac:dyDescent="0.35">
      <c r="A4" s="11" t="s">
        <v>871</v>
      </c>
      <c r="B4" s="11" t="s">
        <v>65</v>
      </c>
      <c r="C4" s="11" t="str">
        <f>VLOOKUP(B4,templateLookup!A:B,2,0)</f>
        <v>PrimeVminSearchTestMethod</v>
      </c>
      <c r="D4" t="str">
        <f>E4&amp;"_"&amp;F4&amp;"_"&amp;G4&amp;"_"&amp;H4&amp;"_"&amp;A4&amp;"_"&amp;I4&amp;"_"&amp;J4&amp;"_"&amp;K4&amp;"_"&amp;L4&amp;"_"&amp;M4&amp;"_"&amp;N4</f>
        <v>XSA_CORE_VMIN_K_PREHVQK_TITO_CRSA_NOM_LFM_0400_CORE_ALL</v>
      </c>
      <c r="E4" t="s">
        <v>205</v>
      </c>
      <c r="F4" t="s">
        <v>24</v>
      </c>
      <c r="G4" t="s">
        <v>951</v>
      </c>
      <c r="H4" t="s">
        <v>253</v>
      </c>
      <c r="I4" t="s">
        <v>260</v>
      </c>
      <c r="J4" t="s">
        <v>1099</v>
      </c>
      <c r="K4" t="s">
        <v>284</v>
      </c>
      <c r="L4" t="s">
        <v>285</v>
      </c>
      <c r="M4" t="str">
        <f>TEXT(400, "0000")</f>
        <v>0400</v>
      </c>
      <c r="N4" t="s">
        <v>1100</v>
      </c>
      <c r="O4" t="s">
        <v>267</v>
      </c>
      <c r="P4" s="37" t="s">
        <v>1101</v>
      </c>
      <c r="Q4" t="s">
        <v>1102</v>
      </c>
      <c r="R4">
        <v>61</v>
      </c>
      <c r="S4">
        <v>21</v>
      </c>
      <c r="T4">
        <v>217</v>
      </c>
      <c r="U4" t="str">
        <f t="shared" si="0"/>
        <v>6121217</v>
      </c>
      <c r="V4">
        <v>-1</v>
      </c>
      <c r="W4" t="b">
        <v>1</v>
      </c>
      <c r="X4">
        <v>2317</v>
      </c>
      <c r="Y4" t="s">
        <v>955</v>
      </c>
      <c r="AA4" t="s">
        <v>270</v>
      </c>
      <c r="AB4" t="s">
        <v>257</v>
      </c>
      <c r="AC4" t="s">
        <v>771</v>
      </c>
      <c r="AO4">
        <f>COUNTA(AQ4:AZ4)</f>
        <v>2</v>
      </c>
      <c r="AP4">
        <v>1</v>
      </c>
      <c r="AQ4" t="str">
        <f>D5</f>
        <v>SSA_CORE_VMIN_K_PREHVQK_TITO_SAN_NOM_LFM_0400_PMUCS</v>
      </c>
      <c r="AR4" t="str">
        <f>D5</f>
        <v>SSA_CORE_VMIN_K_PREHVQK_TITO_SAN_NOM_LFM_0400_PMUCS</v>
      </c>
    </row>
    <row r="5" spans="1:52" x14ac:dyDescent="0.35">
      <c r="A5" s="11" t="s">
        <v>871</v>
      </c>
      <c r="B5" s="11" t="s">
        <v>65</v>
      </c>
      <c r="C5" s="11" t="str">
        <f>VLOOKUP(B5,templateLookup!A:B,2,0)</f>
        <v>PrimeVminSearchTestMethod</v>
      </c>
      <c r="D5" t="str">
        <f>E5&amp;"_"&amp;F5&amp;"_"&amp;G5&amp;"_"&amp;H5&amp;"_"&amp;A5&amp;"_"&amp;I5&amp;"_"&amp;J5&amp;"_"&amp;K5&amp;"_"&amp;L5&amp;"_"&amp;M5&amp;"_"&amp;N5</f>
        <v>SSA_CORE_VMIN_K_PREHVQK_TITO_SAN_NOM_LFM_0400_PMUCS</v>
      </c>
      <c r="E5" t="s">
        <v>4</v>
      </c>
      <c r="F5" t="s">
        <v>24</v>
      </c>
      <c r="G5" t="s">
        <v>951</v>
      </c>
      <c r="H5" t="s">
        <v>253</v>
      </c>
      <c r="I5" t="s">
        <v>260</v>
      </c>
      <c r="J5" t="s">
        <v>295</v>
      </c>
      <c r="K5" t="s">
        <v>284</v>
      </c>
      <c r="L5" t="s">
        <v>285</v>
      </c>
      <c r="M5" t="str">
        <f>TEXT(400, "0000")</f>
        <v>0400</v>
      </c>
      <c r="N5" t="s">
        <v>1103</v>
      </c>
      <c r="O5" t="s">
        <v>267</v>
      </c>
      <c r="P5" t="s">
        <v>1104</v>
      </c>
      <c r="Q5" t="s">
        <v>1105</v>
      </c>
      <c r="R5">
        <v>61</v>
      </c>
      <c r="S5">
        <v>21</v>
      </c>
      <c r="T5">
        <v>216</v>
      </c>
      <c r="U5" t="str">
        <f t="shared" si="0"/>
        <v>6121216</v>
      </c>
      <c r="V5">
        <v>-1</v>
      </c>
      <c r="W5" t="b">
        <v>1</v>
      </c>
      <c r="X5">
        <v>2316</v>
      </c>
      <c r="Y5" t="s">
        <v>955</v>
      </c>
      <c r="AA5" t="s">
        <v>298</v>
      </c>
      <c r="AB5" t="s">
        <v>960</v>
      </c>
      <c r="AO5">
        <f>COUNTA(AQ5:AZ5)</f>
        <v>2</v>
      </c>
      <c r="AP5">
        <v>1</v>
      </c>
      <c r="AQ5">
        <v>1</v>
      </c>
      <c r="AR5">
        <v>1</v>
      </c>
    </row>
    <row r="6" spans="1:52" x14ac:dyDescent="0.35">
      <c r="A6" s="34" t="s">
        <v>871</v>
      </c>
      <c r="B6" s="34" t="s">
        <v>50</v>
      </c>
      <c r="C6" s="34" t="str">
        <f>VLOOKUP(B6,templateLookup!A:B,2,0)</f>
        <v>COMPOSITE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 t="str">
        <f t="shared" si="0"/>
        <v/>
      </c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</row>
    <row r="7" spans="1:52" x14ac:dyDescent="0.35">
      <c r="A7" s="5" t="s">
        <v>14</v>
      </c>
      <c r="B7" s="5" t="s">
        <v>49</v>
      </c>
      <c r="C7" s="5" t="str">
        <f>VLOOKUP(B7,templateLookup!A:B,2,0)</f>
        <v>COMPOSITE</v>
      </c>
      <c r="D7" s="5" t="s">
        <v>14</v>
      </c>
      <c r="E7" s="5"/>
      <c r="F7" s="5" t="s">
        <v>24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 t="str">
        <f t="shared" si="0"/>
        <v/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</row>
    <row r="8" spans="1:52" x14ac:dyDescent="0.35">
      <c r="A8" s="13" t="s">
        <v>14</v>
      </c>
      <c r="B8" s="13" t="s">
        <v>77</v>
      </c>
      <c r="C8" s="13" t="str">
        <f>VLOOKUP(B8,templateLookup!A:B,2,0)</f>
        <v>iCHVQKTest</v>
      </c>
      <c r="D8" t="str">
        <f>E8&amp;"_"&amp;F8&amp;"_"&amp;G8&amp;"_"&amp;H8&amp;"_"&amp;A8&amp;"_"&amp;I8&amp;"_"&amp;J8&amp;"_"&amp;K8&amp;"_"&amp;L8&amp;"_"&amp;M8&amp;"_"&amp;N8</f>
        <v>XSA_CORE_HVQK_K_STRESS_TITO_CRSA_NOM_LFM_0400_MCLK</v>
      </c>
      <c r="E8" t="s">
        <v>205</v>
      </c>
      <c r="F8" t="s">
        <v>24</v>
      </c>
      <c r="G8" t="s">
        <v>1005</v>
      </c>
      <c r="H8" t="s">
        <v>253</v>
      </c>
      <c r="I8" t="s">
        <v>260</v>
      </c>
      <c r="J8" t="s">
        <v>1099</v>
      </c>
      <c r="K8" t="s">
        <v>284</v>
      </c>
      <c r="L8" t="s">
        <v>285</v>
      </c>
      <c r="M8" t="str">
        <f t="shared" ref="M8:M9" si="1">TEXT(400, "0000")</f>
        <v>0400</v>
      </c>
      <c r="N8" t="s">
        <v>1106</v>
      </c>
      <c r="O8" t="s">
        <v>1107</v>
      </c>
      <c r="P8" s="37" t="s">
        <v>1101</v>
      </c>
      <c r="Q8" t="s">
        <v>1102</v>
      </c>
      <c r="R8">
        <v>17</v>
      </c>
      <c r="S8">
        <v>61</v>
      </c>
      <c r="T8">
        <v>200</v>
      </c>
      <c r="U8" t="str">
        <f t="shared" si="0"/>
        <v>1761200</v>
      </c>
      <c r="V8">
        <v>-1</v>
      </c>
      <c r="W8" t="b">
        <v>0</v>
      </c>
      <c r="AA8" t="s">
        <v>270</v>
      </c>
      <c r="AN8" t="s">
        <v>1108</v>
      </c>
      <c r="AO8">
        <f>COUNTA(AQ8:AZ8)</f>
        <v>5</v>
      </c>
      <c r="AP8" t="s">
        <v>218</v>
      </c>
      <c r="AQ8" t="str">
        <f>$D9</f>
        <v>SSA_CORE_HVQK_K_STRESS_TITO_SAN_NOM_LFM_0400_PMUCS_SBCLK</v>
      </c>
      <c r="AR8" t="str">
        <f>$D9</f>
        <v>SSA_CORE_HVQK_K_STRESS_TITO_SAN_NOM_LFM_0400_PMUCS_SBCLK</v>
      </c>
      <c r="AS8" t="str">
        <f>$D9</f>
        <v>SSA_CORE_HVQK_K_STRESS_TITO_SAN_NOM_LFM_0400_PMUCS_SBCLK</v>
      </c>
      <c r="AT8" t="str">
        <f>$D9</f>
        <v>SSA_CORE_HVQK_K_STRESS_TITO_SAN_NOM_LFM_0400_PMUCS_SBCLK</v>
      </c>
      <c r="AU8" t="str">
        <f>$D9</f>
        <v>SSA_CORE_HVQK_K_STRESS_TITO_SAN_NOM_LFM_0400_PMUCS_SBCLK</v>
      </c>
    </row>
    <row r="9" spans="1:52" x14ac:dyDescent="0.35">
      <c r="A9" s="13" t="s">
        <v>14</v>
      </c>
      <c r="B9" s="13" t="s">
        <v>77</v>
      </c>
      <c r="C9" s="13" t="str">
        <f>VLOOKUP(B9,templateLookup!A:B,2,0)</f>
        <v>iCHVQKTest</v>
      </c>
      <c r="D9" t="str">
        <f>E9&amp;"_"&amp;F9&amp;"_"&amp;G9&amp;"_"&amp;H9&amp;"_"&amp;A9&amp;"_"&amp;I9&amp;"_"&amp;J9&amp;"_"&amp;K9&amp;"_"&amp;L9&amp;"_"&amp;M9&amp;"_"&amp;N9</f>
        <v>SSA_CORE_HVQK_K_STRESS_TITO_SAN_NOM_LFM_0400_PMUCS_SBCLK</v>
      </c>
      <c r="E9" t="s">
        <v>4</v>
      </c>
      <c r="F9" t="s">
        <v>24</v>
      </c>
      <c r="G9" t="s">
        <v>1005</v>
      </c>
      <c r="H9" t="s">
        <v>253</v>
      </c>
      <c r="I9" t="s">
        <v>260</v>
      </c>
      <c r="J9" t="s">
        <v>295</v>
      </c>
      <c r="K9" t="s">
        <v>284</v>
      </c>
      <c r="L9" t="s">
        <v>285</v>
      </c>
      <c r="M9" t="str">
        <f t="shared" si="1"/>
        <v>0400</v>
      </c>
      <c r="N9" t="s">
        <v>1109</v>
      </c>
      <c r="O9" t="s">
        <v>1107</v>
      </c>
      <c r="P9" t="s">
        <v>1104</v>
      </c>
      <c r="Q9" t="s">
        <v>1105</v>
      </c>
      <c r="R9">
        <v>17</v>
      </c>
      <c r="S9">
        <v>61</v>
      </c>
      <c r="T9">
        <v>201</v>
      </c>
      <c r="U9" t="str">
        <f t="shared" si="0"/>
        <v>1761201</v>
      </c>
      <c r="V9">
        <v>-1</v>
      </c>
      <c r="W9" t="b">
        <v>0</v>
      </c>
      <c r="AA9" t="s">
        <v>298</v>
      </c>
      <c r="AN9" t="s">
        <v>1110</v>
      </c>
      <c r="AO9">
        <f>COUNTA(AQ9:AZ9)</f>
        <v>5</v>
      </c>
      <c r="AP9" t="s">
        <v>218</v>
      </c>
      <c r="AQ9">
        <v>1</v>
      </c>
      <c r="AR9">
        <v>1</v>
      </c>
      <c r="AS9">
        <v>1</v>
      </c>
      <c r="AT9">
        <v>1</v>
      </c>
      <c r="AU9">
        <v>1</v>
      </c>
    </row>
    <row r="10" spans="1:52" x14ac:dyDescent="0.35">
      <c r="A10" s="23" t="s">
        <v>14</v>
      </c>
      <c r="B10" s="23" t="s">
        <v>49</v>
      </c>
      <c r="C10" s="23" t="str">
        <f>VLOOKUP(B10,templateLookup!A:B,2,0)</f>
        <v>COMPOSITE</v>
      </c>
      <c r="D10" s="10" t="s">
        <v>1010</v>
      </c>
      <c r="E10" s="10"/>
      <c r="F10" s="10" t="s">
        <v>24</v>
      </c>
      <c r="G10" s="10"/>
      <c r="H10" s="10"/>
      <c r="I10" s="10"/>
      <c r="J10" s="10"/>
      <c r="K10" s="10"/>
      <c r="L10" s="10"/>
      <c r="M10" s="10"/>
      <c r="N10" s="10"/>
      <c r="O10" s="10"/>
      <c r="Q10" s="10"/>
      <c r="R10" s="10"/>
      <c r="S10" s="10"/>
      <c r="U10" t="str">
        <f t="shared" si="0"/>
        <v/>
      </c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>
        <f>COUNTA(AQ10:AZ10)</f>
        <v>2</v>
      </c>
      <c r="AP10" s="10" t="s">
        <v>218</v>
      </c>
      <c r="AQ10" s="10">
        <v>1</v>
      </c>
      <c r="AR10" s="10">
        <v>1</v>
      </c>
      <c r="AS10" s="10"/>
      <c r="AT10" s="10"/>
      <c r="AU10" s="10"/>
      <c r="AV10" s="10"/>
      <c r="AW10" s="10"/>
      <c r="AX10" s="10"/>
      <c r="AY10" s="10"/>
      <c r="AZ10" s="10"/>
    </row>
    <row r="11" spans="1:52" x14ac:dyDescent="0.35">
      <c r="A11" s="24" t="s">
        <v>14</v>
      </c>
      <c r="B11" s="24" t="s">
        <v>102</v>
      </c>
      <c r="C11" s="24" t="str">
        <f>VLOOKUP(B11,templateLookup!A:B,2,0)</f>
        <v>PrimeShmooTestMethod</v>
      </c>
      <c r="D11" t="str">
        <f>E11&amp;"_"&amp;F11&amp;"_"&amp;G11&amp;"_"&amp;H11&amp;"_"&amp;A11&amp;"_"&amp;I11&amp;"_"&amp;J11&amp;"_"&amp;K11&amp;"_"&amp;L11&amp;"_"&amp;M11&amp;"_"&amp;N11</f>
        <v>XSA_CORE_SHMOO_E_STRESS_TITO_CRSA_NOM_LFM_0400_MCLK</v>
      </c>
      <c r="E11" t="s">
        <v>205</v>
      </c>
      <c r="F11" t="s">
        <v>24</v>
      </c>
      <c r="G11" t="s">
        <v>1011</v>
      </c>
      <c r="H11" t="s">
        <v>207</v>
      </c>
      <c r="I11" t="s">
        <v>260</v>
      </c>
      <c r="J11" t="s">
        <v>1099</v>
      </c>
      <c r="K11" t="s">
        <v>284</v>
      </c>
      <c r="L11" t="s">
        <v>285</v>
      </c>
      <c r="M11" t="str">
        <f t="shared" ref="M11:M12" si="2">TEXT(400, "0000")</f>
        <v>0400</v>
      </c>
      <c r="N11" t="s">
        <v>1106</v>
      </c>
      <c r="O11" t="s">
        <v>1012</v>
      </c>
      <c r="P11" s="37" t="s">
        <v>1101</v>
      </c>
      <c r="Q11" t="s">
        <v>1102</v>
      </c>
      <c r="R11">
        <v>17</v>
      </c>
      <c r="S11">
        <v>61</v>
      </c>
      <c r="T11">
        <v>202</v>
      </c>
      <c r="U11" t="str">
        <f t="shared" si="0"/>
        <v>1761202</v>
      </c>
      <c r="V11">
        <v>1</v>
      </c>
      <c r="W11" s="12" t="b">
        <v>0</v>
      </c>
      <c r="Z11" t="s">
        <v>1061</v>
      </c>
      <c r="AA11" t="s">
        <v>270</v>
      </c>
      <c r="AO11">
        <f>COUNTA(AQ11:AZ11)</f>
        <v>4</v>
      </c>
      <c r="AP11" t="s">
        <v>920</v>
      </c>
      <c r="AQ11" t="str">
        <f>$D12</f>
        <v>SSA_CORE_SHMOO_E_STRESS_TITO_SAN_NOM_LFM_0400_PMUCS_SBCLK</v>
      </c>
      <c r="AR11" t="str">
        <f>$D12</f>
        <v>SSA_CORE_SHMOO_E_STRESS_TITO_SAN_NOM_LFM_0400_PMUCS_SBCLK</v>
      </c>
      <c r="AS11" t="str">
        <f>$D12</f>
        <v>SSA_CORE_SHMOO_E_STRESS_TITO_SAN_NOM_LFM_0400_PMUCS_SBCLK</v>
      </c>
      <c r="AT11" t="str">
        <f>$D12</f>
        <v>SSA_CORE_SHMOO_E_STRESS_TITO_SAN_NOM_LFM_0400_PMUCS_SBCLK</v>
      </c>
    </row>
    <row r="12" spans="1:52" x14ac:dyDescent="0.35">
      <c r="A12" s="24" t="s">
        <v>14</v>
      </c>
      <c r="B12" s="24" t="s">
        <v>102</v>
      </c>
      <c r="C12" s="24" t="str">
        <f>VLOOKUP(B12,templateLookup!A:B,2,0)</f>
        <v>PrimeShmooTestMethod</v>
      </c>
      <c r="D12" t="str">
        <f>E12&amp;"_"&amp;F12&amp;"_"&amp;G12&amp;"_"&amp;H12&amp;"_"&amp;A12&amp;"_"&amp;I12&amp;"_"&amp;J12&amp;"_"&amp;K12&amp;"_"&amp;L12&amp;"_"&amp;M12&amp;"_"&amp;N12</f>
        <v>SSA_CORE_SHMOO_E_STRESS_TITO_SAN_NOM_LFM_0400_PMUCS_SBCLK</v>
      </c>
      <c r="E12" t="s">
        <v>4</v>
      </c>
      <c r="F12" t="s">
        <v>24</v>
      </c>
      <c r="G12" t="s">
        <v>1011</v>
      </c>
      <c r="H12" t="s">
        <v>207</v>
      </c>
      <c r="I12" t="s">
        <v>260</v>
      </c>
      <c r="J12" t="s">
        <v>295</v>
      </c>
      <c r="K12" t="s">
        <v>284</v>
      </c>
      <c r="L12" t="s">
        <v>285</v>
      </c>
      <c r="M12" t="str">
        <f t="shared" si="2"/>
        <v>0400</v>
      </c>
      <c r="N12" t="s">
        <v>1109</v>
      </c>
      <c r="O12" t="s">
        <v>1012</v>
      </c>
      <c r="P12" t="s">
        <v>1104</v>
      </c>
      <c r="Q12" t="s">
        <v>1105</v>
      </c>
      <c r="R12">
        <v>17</v>
      </c>
      <c r="S12">
        <v>61</v>
      </c>
      <c r="T12">
        <v>203</v>
      </c>
      <c r="U12" t="str">
        <f t="shared" si="0"/>
        <v>1761203</v>
      </c>
      <c r="V12">
        <v>1</v>
      </c>
      <c r="W12" t="b">
        <v>0</v>
      </c>
      <c r="Z12" t="s">
        <v>1062</v>
      </c>
      <c r="AA12" t="s">
        <v>298</v>
      </c>
      <c r="AO12">
        <f>COUNTA(AQ12:AZ12)</f>
        <v>4</v>
      </c>
      <c r="AP12" t="s">
        <v>920</v>
      </c>
      <c r="AQ12">
        <v>1</v>
      </c>
      <c r="AR12">
        <v>1</v>
      </c>
      <c r="AS12">
        <v>1</v>
      </c>
      <c r="AT12">
        <v>1</v>
      </c>
    </row>
    <row r="13" spans="1:52" x14ac:dyDescent="0.35">
      <c r="A13" s="23" t="s">
        <v>14</v>
      </c>
      <c r="B13" s="23" t="s">
        <v>50</v>
      </c>
      <c r="C13" s="23" t="str">
        <f>VLOOKUP(B13,templateLookup!A:B,2,0)</f>
        <v>COMPOSITE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 t="str">
        <f t="shared" si="0"/>
        <v/>
      </c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x14ac:dyDescent="0.35">
      <c r="A14" s="34" t="s">
        <v>14</v>
      </c>
      <c r="B14" s="34" t="s">
        <v>50</v>
      </c>
      <c r="C14" s="34" t="str">
        <f>VLOOKUP(B14,templateLookup!A:B,2,0)</f>
        <v>COMPOSITE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 t="str">
        <f t="shared" si="0"/>
        <v/>
      </c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</row>
    <row r="15" spans="1:52" x14ac:dyDescent="0.35">
      <c r="A15" s="5" t="s">
        <v>1015</v>
      </c>
      <c r="B15" s="5" t="s">
        <v>49</v>
      </c>
      <c r="C15" s="5" t="str">
        <f>VLOOKUP(B15,templateLookup!A:B,2,0)</f>
        <v>COMPOSITE</v>
      </c>
      <c r="D15" s="5" t="s">
        <v>1015</v>
      </c>
      <c r="E15" s="5"/>
      <c r="F15" s="5" t="s">
        <v>24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 t="str">
        <f t="shared" si="0"/>
        <v/>
      </c>
      <c r="W15" s="12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</row>
    <row r="16" spans="1:52" x14ac:dyDescent="0.35">
      <c r="A16" s="33" t="s">
        <v>1015</v>
      </c>
      <c r="B16" s="33" t="s">
        <v>65</v>
      </c>
      <c r="C16" s="33" t="str">
        <f>VLOOKUP(B16,templateLookup!A:B,2,0)</f>
        <v>PrimeVminSearchTestMethod</v>
      </c>
      <c r="D16" t="str">
        <f>E16&amp;"_"&amp;F16&amp;"_"&amp;G16&amp;"_"&amp;H16&amp;"_"&amp;A16&amp;"_"&amp;I16&amp;"_"&amp;J16&amp;"_"&amp;K16&amp;"_"&amp;L16&amp;"_"&amp;M16&amp;"_"&amp;N16</f>
        <v>XSA_CORE_VMIN_K_POSTHVQK_TITO_CRSA_NOM_LFM_0400_CORE_ALL</v>
      </c>
      <c r="E16" t="s">
        <v>205</v>
      </c>
      <c r="F16" t="s">
        <v>24</v>
      </c>
      <c r="G16" t="s">
        <v>951</v>
      </c>
      <c r="H16" t="s">
        <v>253</v>
      </c>
      <c r="I16" t="s">
        <v>260</v>
      </c>
      <c r="J16" t="s">
        <v>1099</v>
      </c>
      <c r="K16" t="s">
        <v>284</v>
      </c>
      <c r="L16" t="s">
        <v>285</v>
      </c>
      <c r="M16" t="str">
        <f t="shared" ref="M16:M17" si="3">TEXT(400, "0000")</f>
        <v>0400</v>
      </c>
      <c r="N16" t="s">
        <v>1100</v>
      </c>
      <c r="O16" t="s">
        <v>267</v>
      </c>
      <c r="P16" s="37" t="s">
        <v>1101</v>
      </c>
      <c r="Q16" t="s">
        <v>1102</v>
      </c>
      <c r="R16">
        <v>26</v>
      </c>
      <c r="S16">
        <v>61</v>
      </c>
      <c r="T16">
        <v>250</v>
      </c>
      <c r="U16" t="str">
        <f t="shared" si="0"/>
        <v>2661250</v>
      </c>
      <c r="V16">
        <v>-1</v>
      </c>
      <c r="W16" t="b">
        <v>1</v>
      </c>
      <c r="X16">
        <v>2334</v>
      </c>
      <c r="Y16" t="s">
        <v>955</v>
      </c>
      <c r="AA16" t="s">
        <v>270</v>
      </c>
      <c r="AB16" t="s">
        <v>257</v>
      </c>
      <c r="AO16">
        <f>COUNTA(AQ16:AZ16)</f>
        <v>2</v>
      </c>
      <c r="AP16">
        <v>1</v>
      </c>
      <c r="AQ16" t="str">
        <f>$D17</f>
        <v>SSA_CORE_VMIN_K_POSTHVQK_TITO_SAN_NOM_LFM_0400_PMUCS</v>
      </c>
      <c r="AR16" t="str">
        <f>$D17</f>
        <v>SSA_CORE_VMIN_K_POSTHVQK_TITO_SAN_NOM_LFM_0400_PMUCS</v>
      </c>
    </row>
    <row r="17" spans="1:52" x14ac:dyDescent="0.35">
      <c r="A17" s="33" t="s">
        <v>1015</v>
      </c>
      <c r="B17" s="33" t="s">
        <v>65</v>
      </c>
      <c r="C17" s="33" t="str">
        <f>VLOOKUP(B17,templateLookup!A:B,2,0)</f>
        <v>PrimeVminSearchTestMethod</v>
      </c>
      <c r="D17" t="str">
        <f>E17&amp;"_"&amp;F17&amp;"_"&amp;G17&amp;"_"&amp;H17&amp;"_"&amp;A17&amp;"_"&amp;I17&amp;"_"&amp;J17&amp;"_"&amp;K17&amp;"_"&amp;L17&amp;"_"&amp;M17&amp;"_"&amp;N17</f>
        <v>SSA_CORE_VMIN_K_POSTHVQK_TITO_SAN_NOM_LFM_0400_PMUCS</v>
      </c>
      <c r="E17" t="s">
        <v>4</v>
      </c>
      <c r="F17" t="s">
        <v>24</v>
      </c>
      <c r="G17" t="s">
        <v>951</v>
      </c>
      <c r="H17" t="s">
        <v>253</v>
      </c>
      <c r="I17" t="s">
        <v>260</v>
      </c>
      <c r="J17" t="s">
        <v>295</v>
      </c>
      <c r="K17" t="s">
        <v>284</v>
      </c>
      <c r="L17" t="s">
        <v>285</v>
      </c>
      <c r="M17" t="str">
        <f t="shared" si="3"/>
        <v>0400</v>
      </c>
      <c r="N17" t="s">
        <v>1103</v>
      </c>
      <c r="O17" t="s">
        <v>267</v>
      </c>
      <c r="P17" t="s">
        <v>1104</v>
      </c>
      <c r="Q17" t="s">
        <v>1105</v>
      </c>
      <c r="R17">
        <v>26</v>
      </c>
      <c r="S17">
        <v>61</v>
      </c>
      <c r="T17">
        <v>251</v>
      </c>
      <c r="U17" t="str">
        <f t="shared" si="0"/>
        <v>2661251</v>
      </c>
      <c r="V17">
        <v>-1</v>
      </c>
      <c r="W17" t="b">
        <v>0</v>
      </c>
      <c r="X17">
        <v>2333</v>
      </c>
      <c r="Y17" t="s">
        <v>955</v>
      </c>
      <c r="AA17" t="s">
        <v>298</v>
      </c>
      <c r="AB17" t="s">
        <v>960</v>
      </c>
      <c r="AO17">
        <f>COUNTA(AQ17:AZ17)</f>
        <v>2</v>
      </c>
      <c r="AP17">
        <v>1</v>
      </c>
      <c r="AQ17">
        <v>1</v>
      </c>
      <c r="AR17">
        <v>1</v>
      </c>
    </row>
    <row r="18" spans="1:52" x14ac:dyDescent="0.35">
      <c r="A18" s="34" t="s">
        <v>1015</v>
      </c>
      <c r="B18" s="34" t="s">
        <v>50</v>
      </c>
      <c r="C18" s="34" t="str">
        <f>VLOOKUP(B18,templateLookup!A:B,2,0)</f>
        <v>COMPOSITE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 t="str">
        <f t="shared" si="0"/>
        <v/>
      </c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</row>
    <row r="19" spans="1:52" x14ac:dyDescent="0.35">
      <c r="A19" s="5" t="s">
        <v>21</v>
      </c>
      <c r="B19" s="5" t="s">
        <v>49</v>
      </c>
      <c r="C19" s="5" t="str">
        <f>VLOOKUP(B19,templateLookup!A:B,2,0)</f>
        <v>COMPOSITE</v>
      </c>
      <c r="D19" s="5" t="s">
        <v>21</v>
      </c>
      <c r="E19" s="5"/>
      <c r="F19" s="5" t="s">
        <v>24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tr">
        <f t="shared" si="0"/>
        <v/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35">
      <c r="A20" s="30" t="s">
        <v>21</v>
      </c>
      <c r="B20" s="30" t="s">
        <v>49</v>
      </c>
      <c r="C20" s="30" t="str">
        <f>VLOOKUP(B20,templateLookup!A:B,2,0)</f>
        <v>COMPOSITE</v>
      </c>
      <c r="D20" s="10" t="s">
        <v>1017</v>
      </c>
      <c r="E20" s="10"/>
      <c r="F20" s="10" t="s">
        <v>24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 t="str">
        <f t="shared" si="0"/>
        <v/>
      </c>
      <c r="W20" s="12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>
        <f>COUNTA(AQ20:AZ20)</f>
        <v>2</v>
      </c>
      <c r="AP20" s="10" t="s">
        <v>218</v>
      </c>
      <c r="AQ20" s="10" t="str">
        <f>D26</f>
        <v>VMAX</v>
      </c>
      <c r="AR20" s="10" t="str">
        <f>D26</f>
        <v>VMAX</v>
      </c>
      <c r="AS20" s="10"/>
      <c r="AT20" s="10"/>
      <c r="AU20" s="10"/>
      <c r="AV20" s="10"/>
      <c r="AW20" s="10"/>
      <c r="AX20" s="10"/>
      <c r="AY20" s="10"/>
      <c r="AZ20" s="10"/>
    </row>
    <row r="21" spans="1:52" x14ac:dyDescent="0.35">
      <c r="A21" s="31" t="s">
        <v>21</v>
      </c>
      <c r="B21" s="31" t="s">
        <v>62</v>
      </c>
      <c r="C21" s="31" t="str">
        <f>VLOOKUP(B21,templateLookup!A:B,2,0)</f>
        <v>PrimeVminSearchTestMethod</v>
      </c>
      <c r="D21" t="str">
        <f>E21&amp;"_"&amp;F21&amp;"_"&amp;G21&amp;"_"&amp;H21&amp;"_"&amp;A21&amp;"_"&amp;I21&amp;"_"&amp;J21&amp;"_"&amp;K21&amp;"_"&amp;L21&amp;"_"&amp;M21&amp;"_"&amp;N21</f>
        <v>SSA_CORE_VCHK_K_END_TICO_CRSA_NOM_LFM_1500_MLC_SRAM_ALL</v>
      </c>
      <c r="E21" t="s">
        <v>4</v>
      </c>
      <c r="F21" t="s">
        <v>24</v>
      </c>
      <c r="G21" t="s">
        <v>1018</v>
      </c>
      <c r="H21" t="s">
        <v>253</v>
      </c>
      <c r="I21" t="s">
        <v>1111</v>
      </c>
      <c r="J21" t="s">
        <v>1099</v>
      </c>
      <c r="K21" t="s">
        <v>284</v>
      </c>
      <c r="L21" t="s">
        <v>285</v>
      </c>
      <c r="M21">
        <v>1500</v>
      </c>
      <c r="N21" t="s">
        <v>1112</v>
      </c>
      <c r="O21" t="s">
        <v>267</v>
      </c>
      <c r="P21" t="s">
        <v>1104</v>
      </c>
      <c r="Q21" t="s">
        <v>1113</v>
      </c>
      <c r="R21">
        <v>61</v>
      </c>
      <c r="S21">
        <v>22</v>
      </c>
      <c r="T21">
        <v>513</v>
      </c>
      <c r="U21" t="str">
        <f t="shared" si="0"/>
        <v>6122513</v>
      </c>
      <c r="V21">
        <v>-1</v>
      </c>
      <c r="W21" t="b">
        <v>1</v>
      </c>
      <c r="X21">
        <v>2350</v>
      </c>
      <c r="Y21" t="s">
        <v>1021</v>
      </c>
      <c r="AA21" t="s">
        <v>270</v>
      </c>
      <c r="AB21" t="s">
        <v>257</v>
      </c>
      <c r="AC21" t="s">
        <v>1114</v>
      </c>
      <c r="AO21">
        <f>COUNTA(AQ21:AZ21)</f>
        <v>2</v>
      </c>
      <c r="AP21">
        <v>1</v>
      </c>
      <c r="AQ21" t="str">
        <f t="shared" ref="AQ21:AR23" si="4">$D22</f>
        <v>LSA_CORE_VCHK_K_END_TICO_CR_NOM_LFM_1500_RF_ALL</v>
      </c>
      <c r="AR21" t="str">
        <f t="shared" si="4"/>
        <v>LSA_CORE_VCHK_K_END_TICO_CR_NOM_LFM_1500_RF_ALL</v>
      </c>
    </row>
    <row r="22" spans="1:52" x14ac:dyDescent="0.35">
      <c r="A22" s="31" t="s">
        <v>21</v>
      </c>
      <c r="B22" s="31" t="s">
        <v>62</v>
      </c>
      <c r="C22" s="31" t="str">
        <f>VLOOKUP(B22,templateLookup!A:B,2,0)</f>
        <v>PrimeVminSearchTestMethod</v>
      </c>
      <c r="D22" t="str">
        <f>E22&amp;"_"&amp;F22&amp;"_"&amp;G22&amp;"_"&amp;H22&amp;"_"&amp;A22&amp;"_"&amp;I22&amp;"_"&amp;J22&amp;"_"&amp;K22&amp;"_"&amp;L22&amp;"_"&amp;M22&amp;"_"&amp;N22</f>
        <v>LSA_CORE_VCHK_K_END_TICO_CR_NOM_LFM_1500_RF_ALL</v>
      </c>
      <c r="E22" t="s">
        <v>5</v>
      </c>
      <c r="F22" t="s">
        <v>24</v>
      </c>
      <c r="G22" t="s">
        <v>1018</v>
      </c>
      <c r="H22" t="s">
        <v>253</v>
      </c>
      <c r="I22" t="s">
        <v>1111</v>
      </c>
      <c r="J22" t="s">
        <v>777</v>
      </c>
      <c r="K22" t="s">
        <v>284</v>
      </c>
      <c r="L22" t="s">
        <v>285</v>
      </c>
      <c r="M22">
        <v>1500</v>
      </c>
      <c r="N22" t="s">
        <v>1024</v>
      </c>
      <c r="O22" t="s">
        <v>267</v>
      </c>
      <c r="P22" t="s">
        <v>1104</v>
      </c>
      <c r="Q22" t="s">
        <v>1115</v>
      </c>
      <c r="R22">
        <v>21</v>
      </c>
      <c r="S22">
        <v>22</v>
      </c>
      <c r="T22">
        <v>514</v>
      </c>
      <c r="U22" t="str">
        <f t="shared" si="0"/>
        <v>2122514</v>
      </c>
      <c r="V22">
        <v>-1</v>
      </c>
      <c r="W22" t="b">
        <v>1</v>
      </c>
      <c r="X22">
        <v>2351</v>
      </c>
      <c r="Y22" t="s">
        <v>1021</v>
      </c>
      <c r="AA22" t="s">
        <v>270</v>
      </c>
      <c r="AB22" t="s">
        <v>960</v>
      </c>
      <c r="AO22">
        <f>COUNTA(AQ22:AZ22)</f>
        <v>2</v>
      </c>
      <c r="AP22">
        <v>1</v>
      </c>
      <c r="AQ22" t="str">
        <f t="shared" si="4"/>
        <v>ROM_CORE_VCHK_K_END_TICO_CR_NOM_LFM_1500_ROM_ALL</v>
      </c>
      <c r="AR22" t="str">
        <f t="shared" si="4"/>
        <v>ROM_CORE_VCHK_K_END_TICO_CR_NOM_LFM_1500_ROM_ALL</v>
      </c>
    </row>
    <row r="23" spans="1:52" x14ac:dyDescent="0.35">
      <c r="A23" s="31" t="s">
        <v>21</v>
      </c>
      <c r="B23" s="31" t="s">
        <v>62</v>
      </c>
      <c r="C23" s="31" t="str">
        <f>VLOOKUP(B23,templateLookup!A:B,2,0)</f>
        <v>PrimeVminSearchTestMethod</v>
      </c>
      <c r="D23" t="str">
        <f>E23&amp;"_"&amp;F23&amp;"_"&amp;G23&amp;"_"&amp;H23&amp;"_"&amp;A23&amp;"_"&amp;I23&amp;"_"&amp;J23&amp;"_"&amp;K23&amp;"_"&amp;L23&amp;"_"&amp;M23&amp;"_"&amp;N23</f>
        <v>ROM_CORE_VCHK_K_END_TICO_CR_NOM_LFM_1500_ROM_ALL</v>
      </c>
      <c r="E23" t="s">
        <v>6</v>
      </c>
      <c r="F23" t="s">
        <v>24</v>
      </c>
      <c r="G23" t="s">
        <v>1018</v>
      </c>
      <c r="H23" t="s">
        <v>253</v>
      </c>
      <c r="I23" t="s">
        <v>1111</v>
      </c>
      <c r="J23" t="s">
        <v>777</v>
      </c>
      <c r="K23" t="s">
        <v>284</v>
      </c>
      <c r="L23" t="s">
        <v>285</v>
      </c>
      <c r="M23">
        <v>1500</v>
      </c>
      <c r="N23" t="s">
        <v>1116</v>
      </c>
      <c r="O23" t="s">
        <v>267</v>
      </c>
      <c r="P23" t="s">
        <v>1104</v>
      </c>
      <c r="Q23" t="s">
        <v>1117</v>
      </c>
      <c r="R23">
        <v>21</v>
      </c>
      <c r="S23">
        <v>22</v>
      </c>
      <c r="T23">
        <v>515</v>
      </c>
      <c r="U23" t="str">
        <f t="shared" si="0"/>
        <v>2122515</v>
      </c>
      <c r="V23">
        <v>-1</v>
      </c>
      <c r="W23" t="b">
        <v>1</v>
      </c>
      <c r="X23">
        <v>2352</v>
      </c>
      <c r="Y23" t="s">
        <v>1021</v>
      </c>
      <c r="AA23" t="s">
        <v>270</v>
      </c>
      <c r="AB23" t="s">
        <v>960</v>
      </c>
      <c r="AO23">
        <f>COUNTA(AQ23:AZ23)</f>
        <v>2</v>
      </c>
      <c r="AP23">
        <v>1</v>
      </c>
      <c r="AQ23" t="str">
        <f t="shared" si="4"/>
        <v>SSA_CORE_VCHK_K_END_TITO_SAN_NOM_LFM_0400_PMUCS</v>
      </c>
      <c r="AR23" t="str">
        <f t="shared" si="4"/>
        <v>SSA_CORE_VCHK_K_END_TITO_SAN_NOM_LFM_0400_PMUCS</v>
      </c>
    </row>
    <row r="24" spans="1:52" x14ac:dyDescent="0.35">
      <c r="A24" s="31" t="s">
        <v>21</v>
      </c>
      <c r="B24" s="31" t="s">
        <v>62</v>
      </c>
      <c r="C24" s="31" t="str">
        <f>VLOOKUP(B24,templateLookup!A:B,2,0)</f>
        <v>PrimeVminSearchTestMethod</v>
      </c>
      <c r="D24" t="str">
        <f>E24&amp;"_"&amp;F24&amp;"_"&amp;G24&amp;"_"&amp;H24&amp;"_"&amp;A24&amp;"_"&amp;I24&amp;"_"&amp;J24&amp;"_"&amp;K24&amp;"_"&amp;L24&amp;"_"&amp;M24&amp;"_"&amp;N24</f>
        <v>SSA_CORE_VCHK_K_END_TITO_SAN_NOM_LFM_0400_PMUCS</v>
      </c>
      <c r="E24" t="s">
        <v>4</v>
      </c>
      <c r="F24" t="s">
        <v>24</v>
      </c>
      <c r="G24" t="s">
        <v>1018</v>
      </c>
      <c r="H24" t="s">
        <v>253</v>
      </c>
      <c r="I24" t="s">
        <v>260</v>
      </c>
      <c r="J24" t="s">
        <v>295</v>
      </c>
      <c r="K24" t="s">
        <v>284</v>
      </c>
      <c r="L24" t="s">
        <v>285</v>
      </c>
      <c r="M24" t="str">
        <f>TEXT(400, "0000")</f>
        <v>0400</v>
      </c>
      <c r="N24" t="s">
        <v>1103</v>
      </c>
      <c r="O24" t="s">
        <v>267</v>
      </c>
      <c r="P24" t="s">
        <v>1104</v>
      </c>
      <c r="Q24" t="s">
        <v>1118</v>
      </c>
      <c r="R24">
        <v>61</v>
      </c>
      <c r="S24">
        <v>22</v>
      </c>
      <c r="T24">
        <v>512</v>
      </c>
      <c r="U24" t="str">
        <f t="shared" si="0"/>
        <v>6122512</v>
      </c>
      <c r="V24">
        <v>-1</v>
      </c>
      <c r="W24" t="b">
        <v>1</v>
      </c>
      <c r="X24">
        <v>2346</v>
      </c>
      <c r="Y24" t="s">
        <v>1021</v>
      </c>
      <c r="AA24" t="s">
        <v>298</v>
      </c>
      <c r="AB24" t="s">
        <v>960</v>
      </c>
      <c r="AO24">
        <f>COUNTA(AQ24:AZ24)</f>
        <v>2</v>
      </c>
      <c r="AP24">
        <v>1</v>
      </c>
      <c r="AQ24">
        <v>1</v>
      </c>
      <c r="AR24">
        <v>1</v>
      </c>
    </row>
    <row r="25" spans="1:52" x14ac:dyDescent="0.35">
      <c r="A25" s="30" t="s">
        <v>21</v>
      </c>
      <c r="B25" s="30" t="s">
        <v>50</v>
      </c>
      <c r="C25" s="30" t="str">
        <f>VLOOKUP(B25,templateLookup!A:B,2,0)</f>
        <v>COMPOSITE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Q25" s="10"/>
      <c r="R25" s="10"/>
      <c r="S25" s="10"/>
      <c r="U25" t="str">
        <f t="shared" si="0"/>
        <v/>
      </c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x14ac:dyDescent="0.35">
      <c r="A26" s="35" t="s">
        <v>21</v>
      </c>
      <c r="B26" s="35" t="s">
        <v>49</v>
      </c>
      <c r="C26" s="35" t="str">
        <f>VLOOKUP(B26,templateLookup!A:B,2,0)</f>
        <v>COMPOSITE</v>
      </c>
      <c r="D26" s="10" t="s">
        <v>1036</v>
      </c>
      <c r="E26" s="10"/>
      <c r="F26" s="10" t="s">
        <v>24</v>
      </c>
      <c r="G26" s="10"/>
      <c r="H26" s="10"/>
      <c r="I26" s="10"/>
      <c r="J26" s="10"/>
      <c r="K26" s="10"/>
      <c r="L26" s="10"/>
      <c r="M26" s="10"/>
      <c r="N26" s="10"/>
      <c r="O26" s="10"/>
      <c r="Q26" s="10"/>
      <c r="R26" s="10"/>
      <c r="S26" s="10"/>
      <c r="U26" t="str">
        <f t="shared" si="0"/>
        <v/>
      </c>
      <c r="W26" s="12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>
        <f>COUNTA(AQ26:AZ26)</f>
        <v>2</v>
      </c>
      <c r="AP26" s="10" t="s">
        <v>218</v>
      </c>
      <c r="AQ26" s="10">
        <v>1</v>
      </c>
      <c r="AR26" s="10">
        <v>1</v>
      </c>
      <c r="AS26" s="10"/>
      <c r="AT26" s="10"/>
      <c r="AU26" s="10"/>
      <c r="AV26" s="10"/>
      <c r="AW26" s="10"/>
      <c r="AX26" s="10"/>
      <c r="AY26" s="10"/>
      <c r="AZ26" s="10"/>
    </row>
    <row r="27" spans="1:52" x14ac:dyDescent="0.35">
      <c r="A27" s="36" t="s">
        <v>21</v>
      </c>
      <c r="B27" s="36" t="s">
        <v>62</v>
      </c>
      <c r="C27" s="36" t="str">
        <f>VLOOKUP(B27,templateLookup!A:B,2,0)</f>
        <v>PrimeVminSearchTestMethod</v>
      </c>
      <c r="D27" t="str">
        <f>E27&amp;"_"&amp;F27&amp;"_"&amp;G27&amp;"_"&amp;H27&amp;"_"&amp;A27&amp;"_"&amp;I27&amp;"_"&amp;J27&amp;"_"&amp;K27&amp;"_"&amp;L27&amp;"_"&amp;M27&amp;"_"&amp;N27</f>
        <v>XSA_CORE_VMAX_K_END_TICO_CRSA_NOM_LFM_1500_MCLK</v>
      </c>
      <c r="E27" t="s">
        <v>205</v>
      </c>
      <c r="F27" t="s">
        <v>24</v>
      </c>
      <c r="G27" t="s">
        <v>1036</v>
      </c>
      <c r="H27" t="s">
        <v>253</v>
      </c>
      <c r="I27" t="s">
        <v>1111</v>
      </c>
      <c r="J27" t="s">
        <v>1099</v>
      </c>
      <c r="K27" t="s">
        <v>284</v>
      </c>
      <c r="L27" t="s">
        <v>285</v>
      </c>
      <c r="M27">
        <v>1500</v>
      </c>
      <c r="N27" t="s">
        <v>1106</v>
      </c>
      <c r="O27" t="s">
        <v>267</v>
      </c>
      <c r="P27" t="s">
        <v>1104</v>
      </c>
      <c r="Q27" t="s">
        <v>1119</v>
      </c>
      <c r="R27">
        <v>17</v>
      </c>
      <c r="S27">
        <v>61</v>
      </c>
      <c r="T27">
        <v>210</v>
      </c>
      <c r="U27" t="str">
        <f t="shared" si="0"/>
        <v>1761210</v>
      </c>
      <c r="V27">
        <v>1</v>
      </c>
      <c r="W27" t="b">
        <v>0</v>
      </c>
      <c r="X27">
        <v>2347</v>
      </c>
      <c r="Y27" t="s">
        <v>1021</v>
      </c>
      <c r="AA27" t="s">
        <v>270</v>
      </c>
      <c r="AB27" t="s">
        <v>960</v>
      </c>
      <c r="AO27">
        <f>COUNTA(AQ27:AZ27)</f>
        <v>2</v>
      </c>
      <c r="AP27">
        <v>1</v>
      </c>
      <c r="AQ27" t="str">
        <f>D28</f>
        <v>ROM_CORE_VMAX_K_END_TICO_CR_NOM_LFM_1500_SBCLK</v>
      </c>
      <c r="AR27" t="str">
        <f>D28</f>
        <v>ROM_CORE_VMAX_K_END_TICO_CR_NOM_LFM_1500_SBCLK</v>
      </c>
    </row>
    <row r="28" spans="1:52" x14ac:dyDescent="0.35">
      <c r="A28" s="36" t="s">
        <v>21</v>
      </c>
      <c r="B28" s="36" t="s">
        <v>62</v>
      </c>
      <c r="C28" s="36" t="str">
        <f>VLOOKUP(B28,templateLookup!A:B,2,0)</f>
        <v>PrimeVminSearchTestMethod</v>
      </c>
      <c r="D28" t="str">
        <f>E28&amp;"_"&amp;F28&amp;"_"&amp;G28&amp;"_"&amp;H28&amp;"_"&amp;A28&amp;"_"&amp;I28&amp;"_"&amp;J28&amp;"_"&amp;K28&amp;"_"&amp;L28&amp;"_"&amp;M28&amp;"_"&amp;N28</f>
        <v>ROM_CORE_VMAX_K_END_TICO_CR_NOM_LFM_1500_SBCLK</v>
      </c>
      <c r="E28" t="s">
        <v>6</v>
      </c>
      <c r="F28" t="s">
        <v>24</v>
      </c>
      <c r="G28" t="s">
        <v>1036</v>
      </c>
      <c r="H28" t="s">
        <v>253</v>
      </c>
      <c r="I28" t="s">
        <v>1111</v>
      </c>
      <c r="J28" t="s">
        <v>777</v>
      </c>
      <c r="K28" t="s">
        <v>284</v>
      </c>
      <c r="L28" t="s">
        <v>285</v>
      </c>
      <c r="M28">
        <v>1500</v>
      </c>
      <c r="N28" t="s">
        <v>1120</v>
      </c>
      <c r="O28" t="s">
        <v>267</v>
      </c>
      <c r="P28" t="s">
        <v>1104</v>
      </c>
      <c r="Q28" t="s">
        <v>1121</v>
      </c>
      <c r="R28">
        <v>17</v>
      </c>
      <c r="S28">
        <v>21</v>
      </c>
      <c r="T28">
        <v>211</v>
      </c>
      <c r="U28" t="str">
        <f t="shared" si="0"/>
        <v>1721211</v>
      </c>
      <c r="V28">
        <v>1</v>
      </c>
      <c r="W28" t="b">
        <v>0</v>
      </c>
      <c r="X28">
        <v>2348</v>
      </c>
      <c r="Y28" t="s">
        <v>1021</v>
      </c>
      <c r="AA28" t="s">
        <v>270</v>
      </c>
      <c r="AB28" t="s">
        <v>960</v>
      </c>
      <c r="AO28">
        <f>COUNTA(AQ28:AZ28)</f>
        <v>2</v>
      </c>
      <c r="AP28">
        <v>1</v>
      </c>
      <c r="AQ28" t="str">
        <f>D29</f>
        <v>SSA_CORE_VMAX_K_END_TICO_SAN_NOM_LFM_0400_PMUCS_SBCLK</v>
      </c>
      <c r="AR28" t="str">
        <f>D29</f>
        <v>SSA_CORE_VMAX_K_END_TICO_SAN_NOM_LFM_0400_PMUCS_SBCLK</v>
      </c>
    </row>
    <row r="29" spans="1:52" x14ac:dyDescent="0.35">
      <c r="A29" s="36" t="s">
        <v>21</v>
      </c>
      <c r="B29" s="36" t="s">
        <v>62</v>
      </c>
      <c r="C29" s="36" t="str">
        <f>VLOOKUP(B29,templateLookup!A:B,2,0)</f>
        <v>PrimeVminSearchTestMethod</v>
      </c>
      <c r="D29" t="str">
        <f>E29&amp;"_"&amp;F29&amp;"_"&amp;G29&amp;"_"&amp;H29&amp;"_"&amp;A29&amp;"_"&amp;I29&amp;"_"&amp;J29&amp;"_"&amp;K29&amp;"_"&amp;L29&amp;"_"&amp;M29&amp;"_"&amp;N29</f>
        <v>SSA_CORE_VMAX_K_END_TICO_SAN_NOM_LFM_0400_PMUCS_SBCLK</v>
      </c>
      <c r="E29" t="s">
        <v>4</v>
      </c>
      <c r="F29" t="s">
        <v>24</v>
      </c>
      <c r="G29" t="s">
        <v>1036</v>
      </c>
      <c r="H29" t="s">
        <v>253</v>
      </c>
      <c r="I29" t="s">
        <v>1111</v>
      </c>
      <c r="J29" t="s">
        <v>295</v>
      </c>
      <c r="K29" t="s">
        <v>284</v>
      </c>
      <c r="L29" t="s">
        <v>285</v>
      </c>
      <c r="M29" t="str">
        <f>TEXT(400, "0000")</f>
        <v>0400</v>
      </c>
      <c r="N29" t="s">
        <v>1109</v>
      </c>
      <c r="O29" t="s">
        <v>267</v>
      </c>
      <c r="P29" t="s">
        <v>1104</v>
      </c>
      <c r="Q29" t="s">
        <v>1122</v>
      </c>
      <c r="R29">
        <v>17</v>
      </c>
      <c r="S29">
        <v>61</v>
      </c>
      <c r="T29">
        <v>212</v>
      </c>
      <c r="U29" t="str">
        <f t="shared" si="0"/>
        <v>1761212</v>
      </c>
      <c r="V29">
        <v>1</v>
      </c>
      <c r="W29" s="12" t="b">
        <v>0</v>
      </c>
      <c r="X29">
        <v>2349</v>
      </c>
      <c r="Y29" t="s">
        <v>1021</v>
      </c>
      <c r="AA29" t="s">
        <v>270</v>
      </c>
      <c r="AB29" t="s">
        <v>960</v>
      </c>
      <c r="AO29">
        <f>COUNTA(AQ29:AZ29)</f>
        <v>2</v>
      </c>
      <c r="AP29">
        <v>1</v>
      </c>
      <c r="AQ29">
        <v>1</v>
      </c>
      <c r="AR29">
        <v>1</v>
      </c>
    </row>
    <row r="30" spans="1:52" x14ac:dyDescent="0.35">
      <c r="A30" s="35" t="s">
        <v>21</v>
      </c>
      <c r="B30" s="35" t="s">
        <v>50</v>
      </c>
      <c r="C30" s="35" t="str">
        <f>VLOOKUP(B30,templateLookup!A:B,2,0)</f>
        <v>COMPOSITE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Q30" s="10"/>
      <c r="R30" s="10"/>
      <c r="S30" s="10"/>
      <c r="T30" s="10"/>
      <c r="U30" s="10" t="str">
        <f t="shared" si="0"/>
        <v/>
      </c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x14ac:dyDescent="0.35">
      <c r="A31" s="17" t="s">
        <v>21</v>
      </c>
      <c r="B31" s="17" t="s">
        <v>49</v>
      </c>
      <c r="C31" s="17" t="str">
        <f>VLOOKUP(B31,templateLookup!A:B,2,0)</f>
        <v>COMPOSITE</v>
      </c>
      <c r="D31" s="10" t="s">
        <v>1011</v>
      </c>
      <c r="E31" s="10"/>
      <c r="F31" s="10" t="s">
        <v>24</v>
      </c>
      <c r="G31" s="10"/>
      <c r="H31" s="10"/>
      <c r="I31" s="10"/>
      <c r="J31" s="10"/>
      <c r="K31" s="10"/>
      <c r="L31" s="10"/>
      <c r="M31" s="10"/>
      <c r="N31" s="10"/>
      <c r="O31" s="10"/>
      <c r="Q31" s="10"/>
      <c r="R31" s="10"/>
      <c r="S31" s="10"/>
      <c r="U31" t="str">
        <f t="shared" si="0"/>
        <v/>
      </c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>
        <f>COUNTA(AQ31:AZ31)</f>
        <v>2</v>
      </c>
      <c r="AP31" s="10" t="s">
        <v>218</v>
      </c>
      <c r="AQ31" s="10">
        <v>1</v>
      </c>
      <c r="AR31" s="10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x14ac:dyDescent="0.35">
      <c r="A32" s="3" t="s">
        <v>21</v>
      </c>
      <c r="B32" s="3" t="s">
        <v>99</v>
      </c>
      <c r="C32" s="3" t="str">
        <f>VLOOKUP(B32,templateLookup!A:B,2,0)</f>
        <v>PrimeShmooTestMethod</v>
      </c>
      <c r="D32" t="str">
        <f>E32&amp;"_"&amp;F32&amp;"_"&amp;G32&amp;"_"&amp;H32&amp;"_"&amp;A32&amp;"_"&amp;I32&amp;"_"&amp;J32&amp;"_"&amp;K32&amp;"_"&amp;L32&amp;"_"&amp;M32&amp;"_"&amp;N32</f>
        <v>SSA_CORE_SHMOO_E_END_TICO_CRSA_NOM_LFM_1500_MLC_SRAM</v>
      </c>
      <c r="E32" t="s">
        <v>4</v>
      </c>
      <c r="F32" t="s">
        <v>24</v>
      </c>
      <c r="G32" t="s">
        <v>1011</v>
      </c>
      <c r="H32" t="s">
        <v>207</v>
      </c>
      <c r="I32" t="s">
        <v>1111</v>
      </c>
      <c r="J32" t="s">
        <v>1099</v>
      </c>
      <c r="K32" t="s">
        <v>284</v>
      </c>
      <c r="L32" t="s">
        <v>285</v>
      </c>
      <c r="M32">
        <v>1500</v>
      </c>
      <c r="N32" t="s">
        <v>1123</v>
      </c>
      <c r="O32" t="s">
        <v>1012</v>
      </c>
      <c r="P32" t="s">
        <v>1104</v>
      </c>
      <c r="Q32" t="s">
        <v>1113</v>
      </c>
      <c r="R32">
        <v>61</v>
      </c>
      <c r="S32">
        <v>22</v>
      </c>
      <c r="T32">
        <v>560</v>
      </c>
      <c r="U32" t="str">
        <f t="shared" si="0"/>
        <v>6122560</v>
      </c>
      <c r="V32">
        <v>1</v>
      </c>
      <c r="W32" s="12" t="b">
        <v>0</v>
      </c>
      <c r="Z32" t="s">
        <v>1061</v>
      </c>
      <c r="AA32" t="s">
        <v>270</v>
      </c>
      <c r="AO32">
        <f>COUNTA(AQ32:AZ32)</f>
        <v>4</v>
      </c>
      <c r="AP32" t="s">
        <v>920</v>
      </c>
      <c r="AQ32" t="str">
        <f t="shared" ref="AQ32:AT34" si="5">$D33</f>
        <v>LSA_CORE_SHMOO_E_END_TICO_CR_NOM_LFM_1500_RF_ALL</v>
      </c>
      <c r="AR32" t="str">
        <f t="shared" si="5"/>
        <v>LSA_CORE_SHMOO_E_END_TICO_CR_NOM_LFM_1500_RF_ALL</v>
      </c>
      <c r="AS32" t="str">
        <f t="shared" si="5"/>
        <v>LSA_CORE_SHMOO_E_END_TICO_CR_NOM_LFM_1500_RF_ALL</v>
      </c>
      <c r="AT32" t="str">
        <f t="shared" si="5"/>
        <v>LSA_CORE_SHMOO_E_END_TICO_CR_NOM_LFM_1500_RF_ALL</v>
      </c>
    </row>
    <row r="33" spans="1:56" x14ac:dyDescent="0.35">
      <c r="A33" s="3" t="s">
        <v>21</v>
      </c>
      <c r="B33" s="3" t="s">
        <v>99</v>
      </c>
      <c r="C33" s="3" t="str">
        <f>VLOOKUP(B33,templateLookup!A:B,2,0)</f>
        <v>PrimeShmooTestMethod</v>
      </c>
      <c r="D33" t="str">
        <f>E33&amp;"_"&amp;F33&amp;"_"&amp;G33&amp;"_"&amp;H33&amp;"_"&amp;A33&amp;"_"&amp;I33&amp;"_"&amp;J33&amp;"_"&amp;K33&amp;"_"&amp;L33&amp;"_"&amp;M33&amp;"_"&amp;N33</f>
        <v>LSA_CORE_SHMOO_E_END_TICO_CR_NOM_LFM_1500_RF_ALL</v>
      </c>
      <c r="E33" t="s">
        <v>5</v>
      </c>
      <c r="F33" t="s">
        <v>24</v>
      </c>
      <c r="G33" t="s">
        <v>1011</v>
      </c>
      <c r="H33" t="s">
        <v>207</v>
      </c>
      <c r="I33" t="s">
        <v>1111</v>
      </c>
      <c r="J33" t="s">
        <v>777</v>
      </c>
      <c r="K33" t="s">
        <v>284</v>
      </c>
      <c r="L33" t="s">
        <v>285</v>
      </c>
      <c r="M33">
        <v>1500</v>
      </c>
      <c r="N33" t="s">
        <v>1024</v>
      </c>
      <c r="O33" t="s">
        <v>1012</v>
      </c>
      <c r="P33" t="s">
        <v>1104</v>
      </c>
      <c r="Q33" t="s">
        <v>1115</v>
      </c>
      <c r="R33">
        <v>21</v>
      </c>
      <c r="S33">
        <v>22</v>
      </c>
      <c r="T33">
        <v>561</v>
      </c>
      <c r="U33" t="str">
        <f t="shared" si="0"/>
        <v>2122561</v>
      </c>
      <c r="V33">
        <v>1</v>
      </c>
      <c r="W33" s="12" t="b">
        <v>0</v>
      </c>
      <c r="Z33" t="s">
        <v>1061</v>
      </c>
      <c r="AA33" t="s">
        <v>270</v>
      </c>
      <c r="AO33">
        <f>COUNTA(AQ33:AZ33)</f>
        <v>4</v>
      </c>
      <c r="AP33" t="s">
        <v>920</v>
      </c>
      <c r="AQ33" t="str">
        <f t="shared" si="5"/>
        <v>ROM_CORE_SHMOO_E_END_TICO_CR_NOM_LFM_1500_ROM</v>
      </c>
      <c r="AR33" t="str">
        <f t="shared" si="5"/>
        <v>ROM_CORE_SHMOO_E_END_TICO_CR_NOM_LFM_1500_ROM</v>
      </c>
      <c r="AS33" t="str">
        <f t="shared" si="5"/>
        <v>ROM_CORE_SHMOO_E_END_TICO_CR_NOM_LFM_1500_ROM</v>
      </c>
      <c r="AT33" t="str">
        <f t="shared" si="5"/>
        <v>ROM_CORE_SHMOO_E_END_TICO_CR_NOM_LFM_1500_ROM</v>
      </c>
    </row>
    <row r="34" spans="1:56" x14ac:dyDescent="0.35">
      <c r="A34" s="3" t="s">
        <v>21</v>
      </c>
      <c r="B34" s="3" t="s">
        <v>99</v>
      </c>
      <c r="C34" s="3" t="str">
        <f>VLOOKUP(B34,templateLookup!A:B,2,0)</f>
        <v>PrimeShmooTestMethod</v>
      </c>
      <c r="D34" t="str">
        <f>E34&amp;"_"&amp;F34&amp;"_"&amp;G34&amp;"_"&amp;H34&amp;"_"&amp;A34&amp;"_"&amp;I34&amp;"_"&amp;J34&amp;"_"&amp;K34&amp;"_"&amp;L34&amp;"_"&amp;M34&amp;"_"&amp;N34</f>
        <v>ROM_CORE_SHMOO_E_END_TICO_CR_NOM_LFM_1500_ROM</v>
      </c>
      <c r="E34" t="s">
        <v>6</v>
      </c>
      <c r="F34" t="s">
        <v>24</v>
      </c>
      <c r="G34" t="s">
        <v>1011</v>
      </c>
      <c r="H34" t="s">
        <v>207</v>
      </c>
      <c r="I34" t="s">
        <v>1111</v>
      </c>
      <c r="J34" t="s">
        <v>777</v>
      </c>
      <c r="K34" t="s">
        <v>284</v>
      </c>
      <c r="L34" t="s">
        <v>285</v>
      </c>
      <c r="M34">
        <v>1500</v>
      </c>
      <c r="N34" t="s">
        <v>6</v>
      </c>
      <c r="O34" t="s">
        <v>1012</v>
      </c>
      <c r="P34" t="s">
        <v>1104</v>
      </c>
      <c r="Q34" t="s">
        <v>1117</v>
      </c>
      <c r="R34">
        <v>21</v>
      </c>
      <c r="S34">
        <v>22</v>
      </c>
      <c r="T34">
        <v>562</v>
      </c>
      <c r="U34" t="str">
        <f t="shared" si="0"/>
        <v>2122562</v>
      </c>
      <c r="V34">
        <v>1</v>
      </c>
      <c r="W34" s="12" t="b">
        <v>0</v>
      </c>
      <c r="Z34" t="s">
        <v>1061</v>
      </c>
      <c r="AA34" t="s">
        <v>270</v>
      </c>
      <c r="AO34">
        <f>COUNTA(AQ34:AZ34)</f>
        <v>4</v>
      </c>
      <c r="AP34" t="s">
        <v>920</v>
      </c>
      <c r="AQ34" t="str">
        <f t="shared" si="5"/>
        <v>SSA_CORE_SHMOO_E_END_TITO_CRSA_NOM_LFM_0400_PMUCS</v>
      </c>
      <c r="AR34" t="str">
        <f t="shared" si="5"/>
        <v>SSA_CORE_SHMOO_E_END_TITO_CRSA_NOM_LFM_0400_PMUCS</v>
      </c>
      <c r="AS34" t="str">
        <f t="shared" si="5"/>
        <v>SSA_CORE_SHMOO_E_END_TITO_CRSA_NOM_LFM_0400_PMUCS</v>
      </c>
      <c r="AT34" t="str">
        <f t="shared" si="5"/>
        <v>SSA_CORE_SHMOO_E_END_TITO_CRSA_NOM_LFM_0400_PMUCS</v>
      </c>
    </row>
    <row r="35" spans="1:56" x14ac:dyDescent="0.35">
      <c r="A35" s="3" t="s">
        <v>21</v>
      </c>
      <c r="B35" s="3" t="s">
        <v>99</v>
      </c>
      <c r="C35" s="3" t="str">
        <f>VLOOKUP(B35,templateLookup!A:B,2,0)</f>
        <v>PrimeShmooTestMethod</v>
      </c>
      <c r="D35" t="str">
        <f>E35&amp;"_"&amp;F35&amp;"_"&amp;G35&amp;"_"&amp;H35&amp;"_"&amp;A35&amp;"_"&amp;I35&amp;"_"&amp;J35&amp;"_"&amp;K35&amp;"_"&amp;L35&amp;"_"&amp;M35&amp;"_"&amp;N35</f>
        <v>SSA_CORE_SHMOO_E_END_TITO_CRSA_NOM_LFM_0400_PMUCS</v>
      </c>
      <c r="E35" t="s">
        <v>4</v>
      </c>
      <c r="F35" t="s">
        <v>24</v>
      </c>
      <c r="G35" t="s">
        <v>1011</v>
      </c>
      <c r="H35" t="s">
        <v>207</v>
      </c>
      <c r="I35" t="s">
        <v>260</v>
      </c>
      <c r="J35" t="s">
        <v>1099</v>
      </c>
      <c r="K35" t="s">
        <v>284</v>
      </c>
      <c r="L35" t="s">
        <v>285</v>
      </c>
      <c r="M35" t="str">
        <f>TEXT(400, "0000")</f>
        <v>0400</v>
      </c>
      <c r="N35" t="s">
        <v>1103</v>
      </c>
      <c r="O35" t="s">
        <v>1012</v>
      </c>
      <c r="P35" t="s">
        <v>1104</v>
      </c>
      <c r="Q35" t="s">
        <v>1118</v>
      </c>
      <c r="R35">
        <v>61</v>
      </c>
      <c r="S35">
        <v>22</v>
      </c>
      <c r="T35">
        <v>563</v>
      </c>
      <c r="U35" t="str">
        <f t="shared" si="0"/>
        <v>6122563</v>
      </c>
      <c r="V35">
        <v>1</v>
      </c>
      <c r="W35" t="b">
        <v>0</v>
      </c>
      <c r="Z35" t="s">
        <v>1062</v>
      </c>
      <c r="AA35" t="s">
        <v>298</v>
      </c>
      <c r="AO35">
        <f>COUNTA(AQ35:AZ35)</f>
        <v>4</v>
      </c>
      <c r="AP35" t="s">
        <v>920</v>
      </c>
      <c r="AQ35">
        <v>1</v>
      </c>
      <c r="AR35">
        <v>1</v>
      </c>
      <c r="AS35">
        <v>1</v>
      </c>
      <c r="AT35">
        <v>1</v>
      </c>
    </row>
    <row r="36" spans="1:56" x14ac:dyDescent="0.35">
      <c r="A36" s="17" t="s">
        <v>21</v>
      </c>
      <c r="B36" s="17" t="s">
        <v>50</v>
      </c>
      <c r="C36" s="17" t="str">
        <f>VLOOKUP(B36,templateLookup!A:B,2,0)</f>
        <v>COMPOSITE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 t="str">
        <f t="shared" si="0"/>
        <v/>
      </c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6" x14ac:dyDescent="0.35">
      <c r="A37" s="34" t="s">
        <v>21</v>
      </c>
      <c r="B37" s="34" t="s">
        <v>50</v>
      </c>
      <c r="C37" s="34" t="str">
        <f>VLOOKUP(B37,templateLookup!A:B,2,0)</f>
        <v>COMPOSITE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 t="str">
        <f t="shared" si="0"/>
        <v/>
      </c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</row>
    <row r="38" spans="1:56" s="3" customFormat="1" x14ac:dyDescent="0.35">
      <c r="A38" s="17" t="s">
        <v>1039</v>
      </c>
      <c r="B38" s="17" t="s">
        <v>49</v>
      </c>
      <c r="C38" s="17" t="str">
        <f>VLOOKUP(B38,templateLookup!A:B,2,0)</f>
        <v>COMPOSITE</v>
      </c>
      <c r="D38" s="17" t="s">
        <v>1039</v>
      </c>
      <c r="F38" s="10" t="s">
        <v>24</v>
      </c>
      <c r="U38" s="3" t="str">
        <f t="shared" si="0"/>
        <v/>
      </c>
    </row>
    <row r="39" spans="1:56" ht="29" x14ac:dyDescent="0.35">
      <c r="A39" s="3" t="s">
        <v>1039</v>
      </c>
      <c r="B39" s="3" t="s">
        <v>67</v>
      </c>
      <c r="C39" s="3" t="str">
        <f>VLOOKUP(B39,templateLookup!A:B,2,0)</f>
        <v>PrimeVminSearchTestMethod</v>
      </c>
      <c r="D39" t="str">
        <f>E39&amp;"_"&amp;F39&amp;"_"&amp;G39&amp;"_"&amp;H39&amp;"_"&amp;A39&amp;"_"&amp;I39&amp;"_"&amp;J39&amp;"_"&amp;K39&amp;"_"&amp;L39&amp;"_"&amp;M39&amp;"_"&amp;N39</f>
        <v>XSA_CORE_VMIN_K_ENDXFM_TITO_CRSA_NOM_HFM_3000_CORE_ALL</v>
      </c>
      <c r="E39" t="s">
        <v>205</v>
      </c>
      <c r="F39" t="s">
        <v>24</v>
      </c>
      <c r="G39" t="s">
        <v>951</v>
      </c>
      <c r="H39" t="s">
        <v>253</v>
      </c>
      <c r="I39" t="s">
        <v>260</v>
      </c>
      <c r="J39" t="s">
        <v>1099</v>
      </c>
      <c r="K39" t="s">
        <v>284</v>
      </c>
      <c r="L39" t="s">
        <v>1038</v>
      </c>
      <c r="M39">
        <v>3000</v>
      </c>
      <c r="N39" t="s">
        <v>1100</v>
      </c>
      <c r="O39" t="s">
        <v>267</v>
      </c>
      <c r="P39" t="s">
        <v>1104</v>
      </c>
      <c r="Q39" t="s">
        <v>1102</v>
      </c>
      <c r="R39">
        <v>61</v>
      </c>
      <c r="S39">
        <v>24</v>
      </c>
      <c r="T39">
        <v>570</v>
      </c>
      <c r="U39" t="str">
        <f t="shared" si="0"/>
        <v>6124570</v>
      </c>
      <c r="V39">
        <v>-1</v>
      </c>
      <c r="W39" t="b">
        <v>0</v>
      </c>
      <c r="X39">
        <v>2360</v>
      </c>
      <c r="Y39" t="s">
        <v>955</v>
      </c>
      <c r="AA39" t="s">
        <v>270</v>
      </c>
      <c r="AB39" t="s">
        <v>257</v>
      </c>
      <c r="AC39" s="37" t="s">
        <v>1124</v>
      </c>
      <c r="AD39" t="s">
        <v>771</v>
      </c>
      <c r="AO39">
        <v>2</v>
      </c>
      <c r="AP39">
        <v>1</v>
      </c>
      <c r="AQ39">
        <v>1</v>
      </c>
      <c r="AR39">
        <v>1</v>
      </c>
    </row>
    <row r="40" spans="1:56" s="3" customFormat="1" x14ac:dyDescent="0.35">
      <c r="A40" s="17" t="s">
        <v>1039</v>
      </c>
      <c r="B40" s="17" t="s">
        <v>50</v>
      </c>
      <c r="C40" s="17" t="str">
        <f>VLOOKUP(B40,templateLookup!A:B,2,0)</f>
        <v>COMPOSITE</v>
      </c>
      <c r="D40" s="17"/>
      <c r="U40" s="3" t="str">
        <f t="shared" si="0"/>
        <v/>
      </c>
    </row>
    <row r="41" spans="1:56" s="26" customFormat="1" x14ac:dyDescent="0.35">
      <c r="A41" s="25" t="s">
        <v>1041</v>
      </c>
      <c r="B41" s="25" t="s">
        <v>49</v>
      </c>
      <c r="C41" s="25" t="str">
        <f>VLOOKUP(B41,templateLookup!A:B,2,0)</f>
        <v>COMPOSITE</v>
      </c>
      <c r="D41" s="25" t="s">
        <v>1041</v>
      </c>
      <c r="F41" s="10" t="s">
        <v>24</v>
      </c>
      <c r="U41" s="26" t="str">
        <f t="shared" si="0"/>
        <v/>
      </c>
    </row>
    <row r="42" spans="1:56" x14ac:dyDescent="0.35">
      <c r="A42" s="26" t="s">
        <v>1041</v>
      </c>
      <c r="B42" s="26" t="s">
        <v>67</v>
      </c>
      <c r="C42" s="26" t="str">
        <f>VLOOKUP(B42,templateLookup!A:B,2,0)</f>
        <v>PrimeVminSearchTestMethod</v>
      </c>
      <c r="D42" t="str">
        <f>E42&amp;"_"&amp;F42&amp;"_"&amp;G42&amp;"_"&amp;H42&amp;"_"&amp;A42&amp;"_"&amp;I42&amp;"_"&amp;J42&amp;"_"&amp;K42&amp;"_"&amp;L42&amp;"_"&amp;M42&amp;"_"&amp;N42</f>
        <v>XSA_CORE_VMIN_K_ENDTFM_TITO_CRSA_NOM_TFM_4600_CORE_ALL</v>
      </c>
      <c r="E42" t="s">
        <v>205</v>
      </c>
      <c r="F42" t="s">
        <v>24</v>
      </c>
      <c r="G42" t="s">
        <v>951</v>
      </c>
      <c r="H42" t="s">
        <v>253</v>
      </c>
      <c r="I42" t="s">
        <v>260</v>
      </c>
      <c r="J42" t="s">
        <v>1099</v>
      </c>
      <c r="K42" t="s">
        <v>284</v>
      </c>
      <c r="L42" t="s">
        <v>1042</v>
      </c>
      <c r="M42">
        <v>4600</v>
      </c>
      <c r="N42" t="s">
        <v>1100</v>
      </c>
      <c r="O42" t="s">
        <v>267</v>
      </c>
      <c r="P42" t="s">
        <v>1104</v>
      </c>
      <c r="Q42" t="s">
        <v>1102</v>
      </c>
      <c r="R42">
        <v>61</v>
      </c>
      <c r="S42">
        <v>25</v>
      </c>
      <c r="T42">
        <v>572</v>
      </c>
      <c r="U42" t="str">
        <f t="shared" si="0"/>
        <v>6125572</v>
      </c>
      <c r="V42">
        <v>-1</v>
      </c>
      <c r="W42" t="b">
        <v>1</v>
      </c>
      <c r="X42">
        <v>2362</v>
      </c>
      <c r="Y42" t="s">
        <v>955</v>
      </c>
      <c r="AA42" t="s">
        <v>270</v>
      </c>
      <c r="AB42" t="s">
        <v>257</v>
      </c>
      <c r="AC42" t="s">
        <v>1125</v>
      </c>
      <c r="AD42" t="s">
        <v>1126</v>
      </c>
      <c r="AO42">
        <v>2</v>
      </c>
      <c r="AP42">
        <v>1</v>
      </c>
      <c r="AQ42">
        <v>1</v>
      </c>
      <c r="AR42">
        <v>1</v>
      </c>
    </row>
    <row r="43" spans="1:56" s="26" customFormat="1" x14ac:dyDescent="0.35">
      <c r="A43" s="25" t="s">
        <v>1041</v>
      </c>
      <c r="B43" s="25" t="s">
        <v>50</v>
      </c>
      <c r="C43" s="25" t="str">
        <f>VLOOKUP(B43,templateLookup!A:B,2,0)</f>
        <v>COMPOSITE</v>
      </c>
      <c r="D43" s="25"/>
      <c r="U43" s="26" t="str">
        <f t="shared" si="0"/>
        <v/>
      </c>
    </row>
    <row r="44" spans="1:56" s="28" customFormat="1" x14ac:dyDescent="0.35">
      <c r="A44" s="27" t="s">
        <v>1044</v>
      </c>
      <c r="B44" s="27" t="s">
        <v>49</v>
      </c>
      <c r="C44" s="27" t="str">
        <f>VLOOKUP(B44,templateLookup!A:B,2,0)</f>
        <v>COMPOSITE</v>
      </c>
      <c r="D44" s="27" t="s">
        <v>1044</v>
      </c>
      <c r="F44" s="27" t="s">
        <v>24</v>
      </c>
      <c r="U44" s="28" t="str">
        <f t="shared" si="0"/>
        <v/>
      </c>
    </row>
    <row r="45" spans="1:56" s="28" customFormat="1" x14ac:dyDescent="0.35">
      <c r="A45" s="28" t="s">
        <v>1044</v>
      </c>
      <c r="B45" s="28" t="s">
        <v>79</v>
      </c>
      <c r="C45" s="28" t="str">
        <f>VLOOKUP(B45,templateLookup!A:B,2,0)</f>
        <v>iCHVQKTest</v>
      </c>
      <c r="D45" s="28" t="str">
        <f>E45&amp;"_"&amp;F45&amp;"_"&amp;G45&amp;"_"&amp;H45&amp;"_"&amp;A45&amp;"_"&amp;I45&amp;"_"&amp;J45&amp;"_"&amp;K45&amp;"_"&amp;L45&amp;"_"&amp;M45&amp;"_"&amp;N45</f>
        <v>SSA_CORE_HVQK_K_HOTSTRESS_TITO_SAN_NOM_LFM_400_PMUCS_SBCLK</v>
      </c>
      <c r="E45" s="28" t="s">
        <v>4</v>
      </c>
      <c r="F45" s="28" t="s">
        <v>24</v>
      </c>
      <c r="G45" s="28" t="s">
        <v>1005</v>
      </c>
      <c r="H45" s="28" t="s">
        <v>253</v>
      </c>
      <c r="I45" s="28" t="s">
        <v>260</v>
      </c>
      <c r="J45" s="28" t="s">
        <v>295</v>
      </c>
      <c r="K45" s="28" t="s">
        <v>284</v>
      </c>
      <c r="L45" s="28" t="s">
        <v>285</v>
      </c>
      <c r="M45">
        <v>400</v>
      </c>
      <c r="N45" s="28" t="s">
        <v>1109</v>
      </c>
      <c r="O45" s="28" t="s">
        <v>1127</v>
      </c>
      <c r="P45" s="28" t="s">
        <v>1104</v>
      </c>
      <c r="Q45" s="28" t="s">
        <v>1105</v>
      </c>
      <c r="R45" s="28">
        <v>17</v>
      </c>
      <c r="S45" s="28">
        <v>61</v>
      </c>
      <c r="T45" s="28">
        <v>351</v>
      </c>
      <c r="U45" s="28" t="str">
        <f t="shared" si="0"/>
        <v>1761351</v>
      </c>
      <c r="V45" s="28">
        <v>-1</v>
      </c>
      <c r="W45" s="28" t="b">
        <v>0</v>
      </c>
      <c r="AA45" s="28" t="s">
        <v>298</v>
      </c>
      <c r="AK45" s="28" t="s">
        <v>1046</v>
      </c>
      <c r="AN45" s="28" t="s">
        <v>1128</v>
      </c>
      <c r="AO45" s="28">
        <f>COUNTA(AQ45:AZ45)</f>
        <v>5</v>
      </c>
      <c r="AP45" s="28" t="s">
        <v>218</v>
      </c>
      <c r="AQ45" s="28" t="str">
        <f>$D46</f>
        <v>ALL_CORE_PATMOD_K_HOTSTRESS_X_X_X_X_X_DLVR</v>
      </c>
      <c r="AR45" s="28" t="str">
        <f t="shared" ref="AR45:AU45" si="6">$D46</f>
        <v>ALL_CORE_PATMOD_K_HOTSTRESS_X_X_X_X_X_DLVR</v>
      </c>
      <c r="AS45" s="28" t="str">
        <f t="shared" si="6"/>
        <v>ALL_CORE_PATMOD_K_HOTSTRESS_X_X_X_X_X_DLVR</v>
      </c>
      <c r="AT45" s="28" t="str">
        <f t="shared" si="6"/>
        <v>ALL_CORE_PATMOD_K_HOTSTRESS_X_X_X_X_X_DLVR</v>
      </c>
      <c r="AU45" s="28" t="str">
        <f t="shared" si="6"/>
        <v>ALL_CORE_PATMOD_K_HOTSTRESS_X_X_X_X_X_DLVR</v>
      </c>
    </row>
    <row r="46" spans="1:56" x14ac:dyDescent="0.35">
      <c r="A46" s="28" t="s">
        <v>1044</v>
      </c>
      <c r="B46" s="28" t="s">
        <v>61</v>
      </c>
      <c r="C46" s="28" t="str">
        <f>VLOOKUP(B46,templateLookup!A:B,2,0)</f>
        <v>PrimePatConfigTestMethod</v>
      </c>
      <c r="D46" t="str">
        <f>E46&amp;"_"&amp;F46&amp;"_"&amp;G46&amp;"_"&amp;H46&amp;"_"&amp;A46&amp;"_"&amp;I46&amp;"_"&amp;J46&amp;"_"&amp;K46&amp;"_"&amp;L46&amp;"_"&amp;M46&amp;"_"&amp;N46</f>
        <v>ALL_CORE_PATMOD_K_HOTSTRESS_X_X_X_X_X_DLVR</v>
      </c>
      <c r="E46" t="s">
        <v>7</v>
      </c>
      <c r="F46" t="s">
        <v>24</v>
      </c>
      <c r="G46" t="s">
        <v>252</v>
      </c>
      <c r="H46" t="s">
        <v>253</v>
      </c>
      <c r="I46" t="s">
        <v>208</v>
      </c>
      <c r="J46" t="s">
        <v>208</v>
      </c>
      <c r="K46" t="s">
        <v>208</v>
      </c>
      <c r="L46" t="s">
        <v>208</v>
      </c>
      <c r="M46" t="s">
        <v>208</v>
      </c>
      <c r="N46" t="s">
        <v>1129</v>
      </c>
      <c r="O46" t="s">
        <v>211</v>
      </c>
      <c r="P46" t="s">
        <v>211</v>
      </c>
      <c r="Q46" t="s">
        <v>212</v>
      </c>
      <c r="R46">
        <v>90</v>
      </c>
      <c r="S46">
        <v>21</v>
      </c>
      <c r="T46">
        <v>352</v>
      </c>
      <c r="U46" s="28" t="str">
        <f>R46&amp;S46&amp;T46</f>
        <v>9021352</v>
      </c>
      <c r="V46">
        <v>-1</v>
      </c>
      <c r="W46" t="b">
        <v>0</v>
      </c>
      <c r="AB46" t="s">
        <v>960</v>
      </c>
      <c r="AG46" t="s">
        <v>1130</v>
      </c>
      <c r="AH46" t="s">
        <v>1131</v>
      </c>
      <c r="AI46" t="s">
        <v>1132</v>
      </c>
      <c r="AO46">
        <v>2</v>
      </c>
      <c r="AP46">
        <v>1</v>
      </c>
      <c r="AQ46" s="28" t="str">
        <f>$D47</f>
        <v>XSA_CORE_HVQK_K_HOTSTRESS_TITO_CRSA_NOM_LFM_400_MCLK</v>
      </c>
      <c r="AR46" s="28" t="str">
        <f>$D47</f>
        <v>XSA_CORE_HVQK_K_HOTSTRESS_TITO_CRSA_NOM_LFM_400_MCLK</v>
      </c>
      <c r="BC46" s="8"/>
      <c r="BD46" s="8"/>
    </row>
    <row r="47" spans="1:56" s="28" customFormat="1" x14ac:dyDescent="0.35">
      <c r="A47" s="28" t="s">
        <v>1044</v>
      </c>
      <c r="B47" s="28" t="s">
        <v>79</v>
      </c>
      <c r="C47" s="28" t="str">
        <f>VLOOKUP(B47,templateLookup!A:B,2,0)</f>
        <v>iCHVQKTest</v>
      </c>
      <c r="D47" s="28" t="str">
        <f>E47&amp;"_"&amp;F47&amp;"_"&amp;G47&amp;"_"&amp;H47&amp;"_"&amp;A47&amp;"_"&amp;I47&amp;"_"&amp;J47&amp;"_"&amp;K47&amp;"_"&amp;L47&amp;"_"&amp;M47&amp;"_"&amp;N47</f>
        <v>XSA_CORE_HVQK_K_HOTSTRESS_TITO_CRSA_NOM_LFM_400_MCLK</v>
      </c>
      <c r="E47" s="28" t="s">
        <v>205</v>
      </c>
      <c r="F47" s="28" t="s">
        <v>24</v>
      </c>
      <c r="G47" s="28" t="s">
        <v>1005</v>
      </c>
      <c r="H47" s="28" t="s">
        <v>253</v>
      </c>
      <c r="I47" s="28" t="s">
        <v>260</v>
      </c>
      <c r="J47" s="28" t="s">
        <v>1099</v>
      </c>
      <c r="K47" s="28" t="s">
        <v>284</v>
      </c>
      <c r="L47" s="28" t="s">
        <v>285</v>
      </c>
      <c r="M47">
        <v>400</v>
      </c>
      <c r="N47" s="28" t="s">
        <v>1106</v>
      </c>
      <c r="O47" s="28" t="s">
        <v>1127</v>
      </c>
      <c r="P47" s="37" t="s">
        <v>1101</v>
      </c>
      <c r="Q47" s="28" t="s">
        <v>1102</v>
      </c>
      <c r="R47" s="28">
        <v>17</v>
      </c>
      <c r="S47" s="28">
        <v>61</v>
      </c>
      <c r="T47" s="28">
        <v>350</v>
      </c>
      <c r="U47" s="28" t="str">
        <f t="shared" si="0"/>
        <v>1761350</v>
      </c>
      <c r="V47" s="28">
        <v>-1</v>
      </c>
      <c r="W47" s="28" t="b">
        <v>0</v>
      </c>
      <c r="AA47" s="28" t="s">
        <v>270</v>
      </c>
      <c r="AK47" s="28" t="s">
        <v>1046</v>
      </c>
      <c r="AN47" s="28" t="s">
        <v>1133</v>
      </c>
      <c r="AO47" s="28">
        <v>5</v>
      </c>
      <c r="AP47" s="28" t="s">
        <v>218</v>
      </c>
      <c r="AQ47" s="28" t="str">
        <f>$D48</f>
        <v>ALL_CORE_PATMOD_K_HOTSTRESS_X_X_X_X_X_DLVR_POR</v>
      </c>
      <c r="AR47" s="28" t="str">
        <f t="shared" ref="AR47:AT47" si="7">$D48</f>
        <v>ALL_CORE_PATMOD_K_HOTSTRESS_X_X_X_X_X_DLVR_POR</v>
      </c>
      <c r="AS47" s="28" t="str">
        <f t="shared" si="7"/>
        <v>ALL_CORE_PATMOD_K_HOTSTRESS_X_X_X_X_X_DLVR_POR</v>
      </c>
      <c r="AT47" s="28" t="str">
        <f t="shared" si="7"/>
        <v>ALL_CORE_PATMOD_K_HOTSTRESS_X_X_X_X_X_DLVR_POR</v>
      </c>
      <c r="AU47" s="28" t="str">
        <f t="shared" ref="AU47" si="8">$D48</f>
        <v>ALL_CORE_PATMOD_K_HOTSTRESS_X_X_X_X_X_DLVR_POR</v>
      </c>
    </row>
    <row r="48" spans="1:56" x14ac:dyDescent="0.35">
      <c r="A48" s="28" t="s">
        <v>1044</v>
      </c>
      <c r="B48" s="28" t="s">
        <v>61</v>
      </c>
      <c r="C48" s="28" t="str">
        <f>VLOOKUP(B48,templateLookup!A:B,2,0)</f>
        <v>PrimePatConfigTestMethod</v>
      </c>
      <c r="D48" t="str">
        <f>E48&amp;"_"&amp;F48&amp;"_"&amp;G48&amp;"_"&amp;H48&amp;"_"&amp;A48&amp;"_"&amp;I48&amp;"_"&amp;J48&amp;"_"&amp;K48&amp;"_"&amp;L48&amp;"_"&amp;M48&amp;"_"&amp;N48</f>
        <v>ALL_CORE_PATMOD_K_HOTSTRESS_X_X_X_X_X_DLVR_POR</v>
      </c>
      <c r="E48" t="s">
        <v>7</v>
      </c>
      <c r="F48" t="s">
        <v>24</v>
      </c>
      <c r="G48" t="s">
        <v>252</v>
      </c>
      <c r="H48" t="s">
        <v>253</v>
      </c>
      <c r="I48" t="s">
        <v>208</v>
      </c>
      <c r="J48" t="s">
        <v>208</v>
      </c>
      <c r="K48" t="s">
        <v>208</v>
      </c>
      <c r="L48" t="s">
        <v>208</v>
      </c>
      <c r="M48" t="s">
        <v>208</v>
      </c>
      <c r="N48" t="s">
        <v>1134</v>
      </c>
      <c r="O48" t="s">
        <v>211</v>
      </c>
      <c r="P48" t="s">
        <v>211</v>
      </c>
      <c r="Q48" t="s">
        <v>212</v>
      </c>
      <c r="R48">
        <v>90</v>
      </c>
      <c r="S48">
        <v>21</v>
      </c>
      <c r="T48">
        <v>353</v>
      </c>
      <c r="U48" s="28" t="str">
        <f>R48&amp;S48&amp;T48</f>
        <v>9021353</v>
      </c>
      <c r="V48">
        <v>-1</v>
      </c>
      <c r="W48" t="b">
        <v>0</v>
      </c>
      <c r="AB48" t="s">
        <v>960</v>
      </c>
      <c r="AG48" t="s">
        <v>1130</v>
      </c>
      <c r="AH48" t="s">
        <v>1135</v>
      </c>
      <c r="AI48" t="s">
        <v>1132</v>
      </c>
      <c r="AO48">
        <v>2</v>
      </c>
      <c r="AP48">
        <v>1</v>
      </c>
      <c r="AQ48" s="28">
        <v>1</v>
      </c>
      <c r="AR48" s="28">
        <v>1</v>
      </c>
      <c r="BC48" s="8"/>
      <c r="BD48" s="8"/>
    </row>
    <row r="49" spans="1:52" s="28" customFormat="1" x14ac:dyDescent="0.35">
      <c r="A49" s="27" t="s">
        <v>1044</v>
      </c>
      <c r="B49" s="27" t="s">
        <v>50</v>
      </c>
      <c r="C49" s="27" t="str">
        <f>VLOOKUP(B49,templateLookup!A:B,2,0)</f>
        <v>COMPOSITE</v>
      </c>
      <c r="D49" s="27" t="s">
        <v>1136</v>
      </c>
      <c r="U49" s="28" t="str">
        <f t="shared" si="0"/>
        <v/>
      </c>
    </row>
    <row r="50" spans="1:52" s="1" customFormat="1" x14ac:dyDescent="0.35">
      <c r="A50" s="29" t="s">
        <v>1049</v>
      </c>
      <c r="B50" s="29" t="s">
        <v>49</v>
      </c>
      <c r="C50" s="29" t="str">
        <f>VLOOKUP(B50,templateLookup!A:B,2,0)</f>
        <v>COMPOSITE</v>
      </c>
      <c r="D50" s="29" t="s">
        <v>1049</v>
      </c>
      <c r="F50" s="10" t="s">
        <v>24</v>
      </c>
      <c r="U50" s="1" t="str">
        <f t="shared" si="0"/>
        <v/>
      </c>
    </row>
    <row r="51" spans="1:52" x14ac:dyDescent="0.35">
      <c r="A51" s="1" t="s">
        <v>1049</v>
      </c>
      <c r="B51" s="1" t="s">
        <v>68</v>
      </c>
      <c r="C51" s="1" t="str">
        <f>VLOOKUP(B51,templateLookup!A:B,2,0)</f>
        <v>LNLVminSearch</v>
      </c>
      <c r="D51" t="str">
        <f>E51&amp;"_"&amp;F51&amp;"_"&amp;G51&amp;"_"&amp;H51&amp;"_"&amp;A51&amp;"_"&amp;I51&amp;"_"&amp;J51&amp;"_"&amp;K51&amp;"_"&amp;L51&amp;"_"&amp;M51&amp;"_"&amp;N51</f>
        <v>XSA_CORE_VMIN_K_SDTEND_TITO_CRSA_NOM_LFM_400_CORE_ALL</v>
      </c>
      <c r="E51" t="s">
        <v>205</v>
      </c>
      <c r="F51" t="s">
        <v>24</v>
      </c>
      <c r="G51" t="s">
        <v>951</v>
      </c>
      <c r="H51" t="s">
        <v>253</v>
      </c>
      <c r="I51" t="s">
        <v>260</v>
      </c>
      <c r="J51" t="s">
        <v>1099</v>
      </c>
      <c r="K51" t="s">
        <v>284</v>
      </c>
      <c r="L51" t="s">
        <v>285</v>
      </c>
      <c r="M51">
        <v>400</v>
      </c>
      <c r="N51" t="s">
        <v>1100</v>
      </c>
      <c r="O51" t="s">
        <v>267</v>
      </c>
      <c r="P51" s="37" t="s">
        <v>1101</v>
      </c>
      <c r="Q51" t="s">
        <v>1102</v>
      </c>
      <c r="R51">
        <v>61</v>
      </c>
      <c r="S51">
        <v>27</v>
      </c>
      <c r="T51">
        <v>600</v>
      </c>
      <c r="U51" t="str">
        <f t="shared" si="0"/>
        <v>6127600</v>
      </c>
      <c r="V51">
        <v>-1</v>
      </c>
      <c r="W51" t="b">
        <v>1</v>
      </c>
      <c r="X51">
        <v>2363</v>
      </c>
      <c r="Y51" t="s">
        <v>955</v>
      </c>
      <c r="AA51" t="s">
        <v>270</v>
      </c>
      <c r="AB51" t="s">
        <v>257</v>
      </c>
      <c r="AC51" t="s">
        <v>771</v>
      </c>
      <c r="AE51" t="s">
        <v>7</v>
      </c>
      <c r="AF51">
        <v>0</v>
      </c>
      <c r="AO51">
        <f>COUNTA(AQ51:AZ51)</f>
        <v>2</v>
      </c>
      <c r="AP51">
        <v>1</v>
      </c>
      <c r="AQ51" t="str">
        <f>$D52</f>
        <v>SSA_CORE_VMIN_K_SDTEND_TITO_SAN_NOM_LFM_400_PMUCS</v>
      </c>
      <c r="AR51" t="str">
        <f>$D52</f>
        <v>SSA_CORE_VMIN_K_SDTEND_TITO_SAN_NOM_LFM_400_PMUCS</v>
      </c>
    </row>
    <row r="52" spans="1:52" x14ac:dyDescent="0.35">
      <c r="A52" s="1" t="s">
        <v>1049</v>
      </c>
      <c r="B52" s="1" t="s">
        <v>68</v>
      </c>
      <c r="C52" s="1" t="str">
        <f>VLOOKUP(B52,templateLookup!A:B,2,0)</f>
        <v>LNLVminSearch</v>
      </c>
      <c r="D52" t="str">
        <f>E52&amp;"_"&amp;F52&amp;"_"&amp;G52&amp;"_"&amp;H52&amp;"_"&amp;A52&amp;"_"&amp;I52&amp;"_"&amp;J52&amp;"_"&amp;K52&amp;"_"&amp;L52&amp;"_"&amp;M52&amp;"_"&amp;N52</f>
        <v>SSA_CORE_VMIN_K_SDTEND_TITO_SAN_NOM_LFM_400_PMUCS</v>
      </c>
      <c r="E52" t="s">
        <v>4</v>
      </c>
      <c r="F52" t="s">
        <v>24</v>
      </c>
      <c r="G52" t="s">
        <v>951</v>
      </c>
      <c r="H52" t="s">
        <v>253</v>
      </c>
      <c r="I52" t="s">
        <v>260</v>
      </c>
      <c r="J52" t="s">
        <v>295</v>
      </c>
      <c r="K52" t="s">
        <v>284</v>
      </c>
      <c r="L52" t="s">
        <v>285</v>
      </c>
      <c r="M52">
        <v>400</v>
      </c>
      <c r="N52" t="s">
        <v>1103</v>
      </c>
      <c r="O52" t="s">
        <v>267</v>
      </c>
      <c r="P52" t="s">
        <v>1104</v>
      </c>
      <c r="Q52" t="s">
        <v>1105</v>
      </c>
      <c r="R52">
        <v>61</v>
      </c>
      <c r="S52">
        <v>27</v>
      </c>
      <c r="T52">
        <v>601</v>
      </c>
      <c r="U52" t="str">
        <f t="shared" si="0"/>
        <v>6127601</v>
      </c>
      <c r="V52">
        <v>-1</v>
      </c>
      <c r="W52" t="b">
        <v>1</v>
      </c>
      <c r="X52">
        <v>2364</v>
      </c>
      <c r="Y52" t="s">
        <v>955</v>
      </c>
      <c r="AA52" t="s">
        <v>298</v>
      </c>
      <c r="AB52" t="s">
        <v>960</v>
      </c>
      <c r="AE52" t="s">
        <v>7</v>
      </c>
      <c r="AF52">
        <v>0</v>
      </c>
      <c r="AO52">
        <f>COUNTA(AQ52:AZ52)</f>
        <v>2</v>
      </c>
      <c r="AP52">
        <v>1</v>
      </c>
      <c r="AQ52">
        <v>1</v>
      </c>
      <c r="AR52">
        <v>1</v>
      </c>
    </row>
    <row r="53" spans="1:52" x14ac:dyDescent="0.35">
      <c r="A53" s="29" t="s">
        <v>1049</v>
      </c>
      <c r="B53" s="29" t="s">
        <v>49</v>
      </c>
      <c r="C53" s="29" t="str">
        <f>VLOOKUP(B53,templateLookup!A:B,2,0)</f>
        <v>COMPOSITE</v>
      </c>
      <c r="D53" s="10" t="s">
        <v>1050</v>
      </c>
      <c r="E53" s="10"/>
      <c r="F53" s="10" t="s">
        <v>24</v>
      </c>
      <c r="G53" s="10"/>
      <c r="H53" s="10"/>
      <c r="I53" s="10"/>
      <c r="J53" s="10"/>
      <c r="K53" s="10"/>
      <c r="L53" s="10"/>
      <c r="M53" s="10"/>
      <c r="N53" s="10"/>
      <c r="O53" s="10"/>
      <c r="Q53" s="10"/>
      <c r="R53" s="10"/>
      <c r="S53" s="10"/>
      <c r="U53" t="str">
        <f t="shared" si="0"/>
        <v/>
      </c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>
        <v>2</v>
      </c>
      <c r="AP53" s="10">
        <v>1</v>
      </c>
      <c r="AQ53" s="10">
        <v>1</v>
      </c>
      <c r="AR53" s="10">
        <v>1</v>
      </c>
      <c r="AS53" s="10"/>
      <c r="AT53" s="10"/>
      <c r="AU53" s="10"/>
      <c r="AV53" s="10"/>
      <c r="AW53" s="10"/>
      <c r="AX53" s="10"/>
      <c r="AY53" s="10"/>
      <c r="AZ53" s="10"/>
    </row>
    <row r="54" spans="1:52" x14ac:dyDescent="0.35">
      <c r="A54" s="1" t="s">
        <v>1049</v>
      </c>
      <c r="B54" s="1" t="s">
        <v>102</v>
      </c>
      <c r="C54" s="1" t="str">
        <f>VLOOKUP(B54,templateLookup!A:B,2,0)</f>
        <v>PrimeShmooTestMethod</v>
      </c>
      <c r="D54" t="str">
        <f>E54&amp;"_"&amp;F54&amp;"_"&amp;G54&amp;"_"&amp;H54&amp;"_"&amp;A54&amp;"_"&amp;I54&amp;"_"&amp;J54&amp;"_"&amp;K54&amp;"_"&amp;L54&amp;"_"&amp;M54&amp;"_"&amp;N54</f>
        <v>XSA_CORE_SHMOO_E_SDTEND_TITO_CRSA_NOM_LFM_400_MCLK</v>
      </c>
      <c r="E54" t="s">
        <v>205</v>
      </c>
      <c r="F54" t="s">
        <v>24</v>
      </c>
      <c r="G54" t="s">
        <v>1011</v>
      </c>
      <c r="H54" t="s">
        <v>207</v>
      </c>
      <c r="I54" t="s">
        <v>260</v>
      </c>
      <c r="J54" t="s">
        <v>1099</v>
      </c>
      <c r="K54" t="s">
        <v>284</v>
      </c>
      <c r="L54" t="s">
        <v>285</v>
      </c>
      <c r="M54">
        <v>400</v>
      </c>
      <c r="N54" t="s">
        <v>1106</v>
      </c>
      <c r="O54" t="s">
        <v>1012</v>
      </c>
      <c r="P54" s="37" t="s">
        <v>1101</v>
      </c>
      <c r="Q54" t="s">
        <v>1102</v>
      </c>
      <c r="R54">
        <v>17</v>
      </c>
      <c r="S54">
        <v>61</v>
      </c>
      <c r="T54">
        <v>602</v>
      </c>
      <c r="U54" t="str">
        <f t="shared" si="0"/>
        <v>1761602</v>
      </c>
      <c r="V54">
        <v>1</v>
      </c>
      <c r="W54" s="12" t="b">
        <v>0</v>
      </c>
      <c r="Z54" t="s">
        <v>1061</v>
      </c>
      <c r="AA54" t="s">
        <v>270</v>
      </c>
      <c r="AO54">
        <v>4</v>
      </c>
      <c r="AP54" t="s">
        <v>920</v>
      </c>
      <c r="AQ54" t="str">
        <f>$D55</f>
        <v>SSA_CORE_SHMOO_E_SDTEND_TITO_SAN_NOM_LFM_400_PMUCS_SBCLK</v>
      </c>
      <c r="AR54" t="str">
        <f>$D55</f>
        <v>SSA_CORE_SHMOO_E_SDTEND_TITO_SAN_NOM_LFM_400_PMUCS_SBCLK</v>
      </c>
      <c r="AS54" t="str">
        <f>$D55</f>
        <v>SSA_CORE_SHMOO_E_SDTEND_TITO_SAN_NOM_LFM_400_PMUCS_SBCLK</v>
      </c>
      <c r="AT54" t="str">
        <f>$D55</f>
        <v>SSA_CORE_SHMOO_E_SDTEND_TITO_SAN_NOM_LFM_400_PMUCS_SBCLK</v>
      </c>
    </row>
    <row r="55" spans="1:52" x14ac:dyDescent="0.35">
      <c r="A55" s="1" t="s">
        <v>1049</v>
      </c>
      <c r="B55" s="1" t="s">
        <v>102</v>
      </c>
      <c r="C55" s="1" t="str">
        <f>VLOOKUP(B55,templateLookup!A:B,2,0)</f>
        <v>PrimeShmooTestMethod</v>
      </c>
      <c r="D55" t="str">
        <f>E55&amp;"_"&amp;F55&amp;"_"&amp;G55&amp;"_"&amp;H55&amp;"_"&amp;A55&amp;"_"&amp;I55&amp;"_"&amp;J55&amp;"_"&amp;K55&amp;"_"&amp;L55&amp;"_"&amp;M55&amp;"_"&amp;N55</f>
        <v>SSA_CORE_SHMOO_E_SDTEND_TITO_SAN_NOM_LFM_400_PMUCS_SBCLK</v>
      </c>
      <c r="E55" t="s">
        <v>4</v>
      </c>
      <c r="F55" t="s">
        <v>24</v>
      </c>
      <c r="G55" t="s">
        <v>1011</v>
      </c>
      <c r="H55" t="s">
        <v>207</v>
      </c>
      <c r="I55" t="s">
        <v>260</v>
      </c>
      <c r="J55" t="s">
        <v>295</v>
      </c>
      <c r="K55" t="s">
        <v>284</v>
      </c>
      <c r="L55" t="s">
        <v>285</v>
      </c>
      <c r="M55">
        <v>400</v>
      </c>
      <c r="N55" t="s">
        <v>1109</v>
      </c>
      <c r="O55" t="s">
        <v>1012</v>
      </c>
      <c r="P55" t="s">
        <v>1104</v>
      </c>
      <c r="Q55" t="s">
        <v>1105</v>
      </c>
      <c r="R55">
        <v>17</v>
      </c>
      <c r="S55">
        <v>61</v>
      </c>
      <c r="T55">
        <v>603</v>
      </c>
      <c r="U55" t="str">
        <f t="shared" si="0"/>
        <v>1761603</v>
      </c>
      <c r="V55">
        <v>1</v>
      </c>
      <c r="W55" t="b">
        <v>0</v>
      </c>
      <c r="Z55" t="s">
        <v>1062</v>
      </c>
      <c r="AA55" t="s">
        <v>298</v>
      </c>
      <c r="AO55">
        <v>4</v>
      </c>
      <c r="AP55" t="s">
        <v>920</v>
      </c>
      <c r="AQ55">
        <v>1</v>
      </c>
      <c r="AR55">
        <v>1</v>
      </c>
      <c r="AS55">
        <v>1</v>
      </c>
      <c r="AT55">
        <v>1</v>
      </c>
    </row>
    <row r="56" spans="1:52" x14ac:dyDescent="0.35">
      <c r="A56" s="29" t="s">
        <v>1049</v>
      </c>
      <c r="B56" s="29" t="s">
        <v>50</v>
      </c>
      <c r="C56" s="29" t="str">
        <f>VLOOKUP(B56,templateLookup!A:B,2,0)</f>
        <v>COMPOSITE</v>
      </c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 t="str">
        <f t="shared" si="0"/>
        <v/>
      </c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s="1" customFormat="1" x14ac:dyDescent="0.35">
      <c r="A57" s="29" t="s">
        <v>1049</v>
      </c>
      <c r="B57" s="29" t="s">
        <v>50</v>
      </c>
      <c r="C57" s="29" t="str">
        <f>VLOOKUP(B57,templateLookup!A:B,2,0)</f>
        <v>COMPOSITE</v>
      </c>
      <c r="D57" s="29"/>
      <c r="U57" s="1" t="str">
        <f t="shared" si="0"/>
        <v/>
      </c>
    </row>
    <row r="58" spans="1:52" x14ac:dyDescent="0.35">
      <c r="A58" t="s">
        <v>203</v>
      </c>
      <c r="B58" t="s">
        <v>51</v>
      </c>
      <c r="C58" t="str">
        <f>VLOOKUP(B58,templateLookup!A:B,2,0)</f>
        <v>COMPOSITE</v>
      </c>
      <c r="D58" t="s">
        <v>203</v>
      </c>
    </row>
    <row r="89" spans="22:23" x14ac:dyDescent="0.35">
      <c r="V89" s="6"/>
      <c r="W89" s="6"/>
    </row>
    <row r="90" spans="22:23" x14ac:dyDescent="0.35">
      <c r="V90" s="6"/>
      <c r="W90" s="6"/>
    </row>
    <row r="97" spans="22:23" x14ac:dyDescent="0.35">
      <c r="V97" s="6"/>
      <c r="W97" s="6"/>
    </row>
    <row r="98" spans="22:23" x14ac:dyDescent="0.35">
      <c r="V98" s="6"/>
      <c r="W98" s="6"/>
    </row>
    <row r="109" spans="22:23" x14ac:dyDescent="0.35">
      <c r="V109" s="6"/>
      <c r="W109" s="6"/>
    </row>
    <row r="110" spans="22:23" x14ac:dyDescent="0.35">
      <c r="V110" s="6"/>
      <c r="W110" s="6"/>
    </row>
    <row r="113" spans="22:23" x14ac:dyDescent="0.35">
      <c r="V113" s="6"/>
      <c r="W113" s="6"/>
    </row>
    <row r="114" spans="22:23" x14ac:dyDescent="0.35">
      <c r="V114" s="6"/>
      <c r="W114" s="6"/>
    </row>
    <row r="170" spans="22:23" x14ac:dyDescent="0.35">
      <c r="V170" s="6"/>
      <c r="W170" s="6"/>
    </row>
  </sheetData>
  <autoFilter ref="A1:AZ58" xr:uid="{9D3B8437-3DCF-4B36-BC4E-3AB927DD0A96}"/>
  <conditionalFormatting sqref="U1:U1048576">
    <cfRule type="duplicateValues" dxfId="151" priority="14"/>
  </conditionalFormatting>
  <conditionalFormatting sqref="V49:V1048576 V1:V47">
    <cfRule type="cellIs" dxfId="150" priority="17" operator="equal">
      <formula>1</formula>
    </cfRule>
    <cfRule type="cellIs" dxfId="149" priority="18" operator="equal">
      <formula>-1</formula>
    </cfRule>
  </conditionalFormatting>
  <conditionalFormatting sqref="W49:W1048576 W1:W47">
    <cfRule type="cellIs" dxfId="148" priority="15" operator="equal">
      <formula>TRUE</formula>
    </cfRule>
    <cfRule type="cellIs" dxfId="147" priority="16" operator="equal">
      <formula>FALSE</formula>
    </cfRule>
  </conditionalFormatting>
  <conditionalFormatting sqref="Y1">
    <cfRule type="duplicateValues" dxfId="146" priority="19"/>
  </conditionalFormatting>
  <conditionalFormatting sqref="T46">
    <cfRule type="duplicateValues" dxfId="145" priority="10"/>
  </conditionalFormatting>
  <conditionalFormatting sqref="V46">
    <cfRule type="cellIs" dxfId="144" priority="12" operator="equal">
      <formula>TRUE</formula>
    </cfRule>
    <cfRule type="cellIs" dxfId="143" priority="13" operator="equal">
      <formula>FALSE</formula>
    </cfRule>
  </conditionalFormatting>
  <conditionalFormatting sqref="AI48:AO48 V46:AA46 AT46:BE46 AC46:AO46">
    <cfRule type="expression" dxfId="142" priority="11">
      <formula>EXACT($U46,1)</formula>
    </cfRule>
  </conditionalFormatting>
  <conditionalFormatting sqref="T48">
    <cfRule type="duplicateValues" dxfId="141" priority="4"/>
  </conditionalFormatting>
  <conditionalFormatting sqref="V48">
    <cfRule type="cellIs" dxfId="140" priority="6" operator="equal">
      <formula>TRUE</formula>
    </cfRule>
    <cfRule type="cellIs" dxfId="139" priority="7" operator="equal">
      <formula>FALSE</formula>
    </cfRule>
  </conditionalFormatting>
  <conditionalFormatting sqref="V48:AA48 AT48:BE48 AC48:AF48">
    <cfRule type="expression" dxfId="138" priority="5">
      <formula>EXACT($U48,1)</formula>
    </cfRule>
  </conditionalFormatting>
  <conditionalFormatting sqref="AH48">
    <cfRule type="expression" dxfId="137" priority="3">
      <formula>EXACT($U48,1)</formula>
    </cfRule>
  </conditionalFormatting>
  <conditionalFormatting sqref="AG48">
    <cfRule type="expression" dxfId="136" priority="2">
      <formula>EXACT($U48,1)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676BC-743D-434F-ADD0-619A0ED5CDB5}">
  <dimension ref="A1:AX106"/>
  <sheetViews>
    <sheetView topLeftCell="AK1" zoomScale="85" zoomScaleNormal="85" workbookViewId="0">
      <pane ySplit="1" topLeftCell="A2" activePane="bottomLeft" state="frozen"/>
      <selection activeCell="A39" sqref="A39"/>
      <selection pane="bottomLeft" activeCell="N21" sqref="N21"/>
    </sheetView>
  </sheetViews>
  <sheetFormatPr defaultRowHeight="14.5" x14ac:dyDescent="0.35"/>
  <cols>
    <col min="2" max="2" width="18.1796875" bestFit="1" customWidth="1"/>
    <col min="3" max="3" width="33.453125" bestFit="1" customWidth="1"/>
    <col min="4" max="4" width="80" customWidth="1"/>
    <col min="5" max="6" width="9.1796875" customWidth="1"/>
    <col min="7" max="7" width="11.54296875" bestFit="1" customWidth="1"/>
    <col min="8" max="13" width="9.1796875" customWidth="1"/>
    <col min="14" max="14" width="39.453125" customWidth="1"/>
    <col min="15" max="15" width="30.54296875" bestFit="1" customWidth="1"/>
    <col min="16" max="16" width="43.54296875" customWidth="1"/>
    <col min="17" max="17" width="62.453125" bestFit="1" customWidth="1"/>
    <col min="18" max="18" width="10.54296875" customWidth="1"/>
    <col min="19" max="22" width="9.1796875" customWidth="1"/>
    <col min="23" max="23" width="11.1796875" customWidth="1"/>
    <col min="24" max="24" width="22.54296875" customWidth="1"/>
    <col min="25" max="25" width="21" customWidth="1"/>
    <col min="26" max="26" width="52" customWidth="1"/>
    <col min="27" max="27" width="24.81640625" customWidth="1"/>
    <col min="28" max="29" width="9.1796875" customWidth="1"/>
    <col min="30" max="30" width="24.1796875" customWidth="1"/>
    <col min="31" max="31" width="46.54296875" customWidth="1"/>
    <col min="32" max="32" width="90.1796875" customWidth="1"/>
    <col min="33" max="38" width="24.1796875" customWidth="1"/>
    <col min="39" max="40" width="9.1796875" style="38"/>
    <col min="41" max="41" width="80" bestFit="1" customWidth="1"/>
    <col min="42" max="42" width="71.54296875" customWidth="1"/>
    <col min="43" max="44" width="85.453125" bestFit="1" customWidth="1"/>
  </cols>
  <sheetData>
    <row r="1" spans="1:50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167</v>
      </c>
      <c r="V1" t="s">
        <v>168</v>
      </c>
      <c r="W1" t="s">
        <v>169</v>
      </c>
      <c r="X1" t="s">
        <v>898</v>
      </c>
      <c r="Y1" t="s">
        <v>189</v>
      </c>
      <c r="Z1" t="s">
        <v>190</v>
      </c>
      <c r="AA1" t="s">
        <v>899</v>
      </c>
      <c r="AB1" t="s">
        <v>902</v>
      </c>
      <c r="AC1" t="s">
        <v>903</v>
      </c>
      <c r="AD1" t="s">
        <v>911</v>
      </c>
      <c r="AE1" t="s">
        <v>908</v>
      </c>
      <c r="AF1" t="s">
        <v>182</v>
      </c>
      <c r="AG1" t="s">
        <v>900</v>
      </c>
      <c r="AH1" t="s">
        <v>901</v>
      </c>
      <c r="AI1" t="s">
        <v>187</v>
      </c>
      <c r="AJ1" t="s">
        <v>188</v>
      </c>
      <c r="AK1" t="s">
        <v>909</v>
      </c>
      <c r="AL1" t="s">
        <v>910</v>
      </c>
      <c r="AM1" s="38" t="s">
        <v>191</v>
      </c>
      <c r="AN1" s="38" t="s">
        <v>192</v>
      </c>
      <c r="AO1" t="s">
        <v>193</v>
      </c>
      <c r="AP1" t="s">
        <v>194</v>
      </c>
      <c r="AQ1" t="s">
        <v>195</v>
      </c>
      <c r="AR1" t="s">
        <v>196</v>
      </c>
      <c r="AS1" t="s">
        <v>197</v>
      </c>
      <c r="AT1" t="s">
        <v>198</v>
      </c>
      <c r="AU1" t="s">
        <v>199</v>
      </c>
      <c r="AV1" t="s">
        <v>200</v>
      </c>
      <c r="AW1" t="s">
        <v>201</v>
      </c>
      <c r="AX1" t="s">
        <v>202</v>
      </c>
    </row>
    <row r="2" spans="1:50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251</v>
      </c>
    </row>
    <row r="3" spans="1:50" x14ac:dyDescent="0.35">
      <c r="A3" s="5" t="s">
        <v>871</v>
      </c>
      <c r="B3" s="5" t="s">
        <v>49</v>
      </c>
      <c r="C3" s="5" t="str">
        <f>VLOOKUP(B3,templateLookup!A:B,2,0)</f>
        <v>COMPOSITE</v>
      </c>
      <c r="D3" s="5" t="s">
        <v>871</v>
      </c>
      <c r="E3" s="6"/>
      <c r="F3" t="s">
        <v>251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W3" s="6"/>
      <c r="X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39"/>
      <c r="AN3" s="39"/>
      <c r="AO3" s="6"/>
      <c r="AP3" s="6"/>
      <c r="AQ3" s="6"/>
      <c r="AR3" s="6"/>
      <c r="AS3" s="6"/>
      <c r="AT3" s="6"/>
      <c r="AU3" s="6"/>
      <c r="AV3" s="6"/>
      <c r="AW3" s="6"/>
      <c r="AX3" s="6"/>
    </row>
    <row r="4" spans="1:50" x14ac:dyDescent="0.35">
      <c r="A4" s="12" t="s">
        <v>871</v>
      </c>
      <c r="B4" s="12" t="s">
        <v>65</v>
      </c>
      <c r="C4" s="12" t="str">
        <f>VLOOKUP(B4,templateLookup!A:B,2,0)</f>
        <v>PrimeVminSearchTestMethod</v>
      </c>
      <c r="D4" t="str">
        <f>E4&amp;"_"&amp;F4&amp;"_"&amp;G4&amp;"_"&amp;H4&amp;"_"&amp;A4&amp;"_"&amp;I4&amp;"_"&amp;J4&amp;"_"&amp;K4&amp;"_"&amp;L4&amp;"_"&amp;M4&amp;"_"&amp;N4</f>
        <v>ALL_GFX_VMIN_K_PREHVQK_TITO_SACD_MIN_LFM_0320_DE</v>
      </c>
      <c r="E4" t="s">
        <v>7</v>
      </c>
      <c r="F4" t="s">
        <v>251</v>
      </c>
      <c r="G4" t="s">
        <v>951</v>
      </c>
      <c r="H4" t="s">
        <v>253</v>
      </c>
      <c r="I4" t="s">
        <v>260</v>
      </c>
      <c r="J4" t="s">
        <v>395</v>
      </c>
      <c r="K4" t="s">
        <v>952</v>
      </c>
      <c r="L4" t="s">
        <v>285</v>
      </c>
      <c r="M4" t="str">
        <f>TEXT(320,"0000")</f>
        <v>0320</v>
      </c>
      <c r="N4" t="s">
        <v>1137</v>
      </c>
      <c r="O4" t="s">
        <v>267</v>
      </c>
      <c r="P4" t="s">
        <v>397</v>
      </c>
      <c r="Q4" t="s">
        <v>1138</v>
      </c>
      <c r="R4">
        <v>61</v>
      </c>
      <c r="S4">
        <v>41</v>
      </c>
      <c r="T4">
        <v>450</v>
      </c>
      <c r="U4">
        <v>-1</v>
      </c>
      <c r="V4" t="b">
        <v>1</v>
      </c>
      <c r="W4" t="s">
        <v>298</v>
      </c>
      <c r="Y4" t="s">
        <v>960</v>
      </c>
      <c r="AB4">
        <v>2400</v>
      </c>
      <c r="AC4" t="s">
        <v>955</v>
      </c>
      <c r="AM4" s="38">
        <f t="shared" ref="AM4:AM12" si="0">COUNTA(AO4:AX4)</f>
        <v>2</v>
      </c>
      <c r="AN4" s="38">
        <v>1</v>
      </c>
      <c r="AO4" t="str">
        <f>D5</f>
        <v>ALL_GFX_VMIN_K_PREHVQK_TITO_SAPS_MIN_LFM_0200_IPU_PS</v>
      </c>
      <c r="AP4" t="str">
        <f>D5</f>
        <v>ALL_GFX_VMIN_K_PREHVQK_TITO_SAPS_MIN_LFM_0200_IPU_PS</v>
      </c>
    </row>
    <row r="5" spans="1:50" x14ac:dyDescent="0.35">
      <c r="A5" s="12" t="s">
        <v>871</v>
      </c>
      <c r="B5" s="12" t="s">
        <v>65</v>
      </c>
      <c r="C5" s="12" t="str">
        <f>VLOOKUP(B5,templateLookup!A:B,2,0)</f>
        <v>PrimeVminSearchTestMethod</v>
      </c>
      <c r="D5" t="str">
        <f>E5&amp;"_"&amp;F5&amp;"_"&amp;G5&amp;"_"&amp;H5&amp;"_"&amp;A5&amp;"_"&amp;I5&amp;"_"&amp;J5&amp;"_"&amp;K5&amp;"_"&amp;L5&amp;"_"&amp;M5&amp;"_"&amp;N5</f>
        <v>ALL_GFX_VMIN_K_PREHVQK_TITO_SAPS_MIN_LFM_0200_IPU_PS</v>
      </c>
      <c r="E5" t="s">
        <v>7</v>
      </c>
      <c r="F5" t="s">
        <v>251</v>
      </c>
      <c r="G5" t="s">
        <v>951</v>
      </c>
      <c r="H5" t="s">
        <v>253</v>
      </c>
      <c r="I5" t="s">
        <v>260</v>
      </c>
      <c r="J5" t="s">
        <v>460</v>
      </c>
      <c r="K5" t="s">
        <v>952</v>
      </c>
      <c r="L5" t="s">
        <v>285</v>
      </c>
      <c r="M5" t="str">
        <f>TEXT(200,"0000")</f>
        <v>0200</v>
      </c>
      <c r="N5" t="s">
        <v>1139</v>
      </c>
      <c r="O5" t="s">
        <v>267</v>
      </c>
      <c r="P5" t="s">
        <v>397</v>
      </c>
      <c r="Q5" t="s">
        <v>1140</v>
      </c>
      <c r="R5">
        <v>61</v>
      </c>
      <c r="S5">
        <v>41</v>
      </c>
      <c r="T5">
        <v>461</v>
      </c>
      <c r="U5">
        <v>-1</v>
      </c>
      <c r="V5" t="b">
        <v>1</v>
      </c>
      <c r="W5" t="s">
        <v>298</v>
      </c>
      <c r="Y5" t="s">
        <v>960</v>
      </c>
      <c r="Z5" t="s">
        <v>1141</v>
      </c>
      <c r="AB5">
        <v>2411</v>
      </c>
      <c r="AC5" t="s">
        <v>955</v>
      </c>
      <c r="AM5" s="38">
        <f t="shared" si="0"/>
        <v>2</v>
      </c>
      <c r="AN5" s="38">
        <v>1</v>
      </c>
      <c r="AO5" t="str">
        <f>D6</f>
        <v>ALL_GFX_VMIN_K_PREHVQK_TITO_SAIS_MIN_LFM_0200_IPU_IS</v>
      </c>
      <c r="AP5" t="str">
        <f>D6</f>
        <v>ALL_GFX_VMIN_K_PREHVQK_TITO_SAIS_MIN_LFM_0200_IPU_IS</v>
      </c>
    </row>
    <row r="6" spans="1:50" x14ac:dyDescent="0.35">
      <c r="A6" s="12" t="s">
        <v>871</v>
      </c>
      <c r="B6" s="12" t="s">
        <v>65</v>
      </c>
      <c r="C6" s="12" t="str">
        <f>VLOOKUP(B6,templateLookup!A:B,2,0)</f>
        <v>PrimeVminSearchTestMethod</v>
      </c>
      <c r="D6" t="str">
        <f>E6&amp;"_"&amp;F6&amp;"_"&amp;G6&amp;"_"&amp;H6&amp;"_"&amp;A6&amp;"_"&amp;I6&amp;"_"&amp;J6&amp;"_"&amp;K6&amp;"_"&amp;L6&amp;"_"&amp;M6&amp;"_"&amp;N6</f>
        <v>ALL_GFX_VMIN_K_PREHVQK_TITO_SAIS_MIN_LFM_0200_IPU_IS</v>
      </c>
      <c r="E6" t="s">
        <v>7</v>
      </c>
      <c r="F6" t="s">
        <v>251</v>
      </c>
      <c r="G6" t="s">
        <v>951</v>
      </c>
      <c r="H6" t="s">
        <v>253</v>
      </c>
      <c r="I6" t="s">
        <v>260</v>
      </c>
      <c r="J6" t="s">
        <v>1142</v>
      </c>
      <c r="K6" t="s">
        <v>952</v>
      </c>
      <c r="L6" t="s">
        <v>285</v>
      </c>
      <c r="M6" t="str">
        <f>TEXT(200,"0000")</f>
        <v>0200</v>
      </c>
      <c r="N6" t="s">
        <v>1143</v>
      </c>
      <c r="O6" t="s">
        <v>267</v>
      </c>
      <c r="P6" t="s">
        <v>397</v>
      </c>
      <c r="Q6" t="s">
        <v>1144</v>
      </c>
      <c r="R6">
        <v>61</v>
      </c>
      <c r="S6">
        <v>41</v>
      </c>
      <c r="T6">
        <v>471</v>
      </c>
      <c r="U6">
        <v>-1</v>
      </c>
      <c r="V6" t="b">
        <v>1</v>
      </c>
      <c r="W6" t="s">
        <v>298</v>
      </c>
      <c r="Y6" t="s">
        <v>960</v>
      </c>
      <c r="Z6" t="s">
        <v>1145</v>
      </c>
      <c r="AB6">
        <v>2421</v>
      </c>
      <c r="AC6" t="s">
        <v>955</v>
      </c>
      <c r="AM6" s="38">
        <f t="shared" si="0"/>
        <v>2</v>
      </c>
      <c r="AN6" s="38">
        <v>1</v>
      </c>
      <c r="AO6" t="str">
        <f>D7</f>
        <v>ALL_GFX_VMIN_K_PREHVQK_TITO_SAME_MIN_LFM_0400_MEDIA</v>
      </c>
      <c r="AP6" t="str">
        <f>D7</f>
        <v>ALL_GFX_VMIN_K_PREHVQK_TITO_SAME_MIN_LFM_0400_MEDIA</v>
      </c>
    </row>
    <row r="7" spans="1:50" x14ac:dyDescent="0.35">
      <c r="A7" s="12" t="s">
        <v>871</v>
      </c>
      <c r="B7" s="12" t="s">
        <v>65</v>
      </c>
      <c r="C7" s="12" t="str">
        <f>VLOOKUP(B7,templateLookup!A:B,2,0)</f>
        <v>PrimeVminSearchTestMethod</v>
      </c>
      <c r="D7" t="str">
        <f>E7&amp;"_"&amp;F7&amp;"_"&amp;G7&amp;"_"&amp;H7&amp;"_"&amp;A7&amp;"_"&amp;I7&amp;"_"&amp;J7&amp;"_"&amp;K7&amp;"_"&amp;L7&amp;"_"&amp;M7&amp;"_"&amp;N7</f>
        <v>ALL_GFX_VMIN_K_PREHVQK_TITO_SAME_MIN_LFM_0400_MEDIA</v>
      </c>
      <c r="E7" t="s">
        <v>7</v>
      </c>
      <c r="F7" t="s">
        <v>251</v>
      </c>
      <c r="G7" t="s">
        <v>951</v>
      </c>
      <c r="H7" t="s">
        <v>253</v>
      </c>
      <c r="I7" t="s">
        <v>260</v>
      </c>
      <c r="J7" t="s">
        <v>504</v>
      </c>
      <c r="K7" t="s">
        <v>952</v>
      </c>
      <c r="L7" t="s">
        <v>285</v>
      </c>
      <c r="M7" t="str">
        <f>TEXT(400,"0000")</f>
        <v>0400</v>
      </c>
      <c r="N7" t="s">
        <v>1146</v>
      </c>
      <c r="O7" t="s">
        <v>267</v>
      </c>
      <c r="P7" t="s">
        <v>397</v>
      </c>
      <c r="Q7" t="s">
        <v>1147</v>
      </c>
      <c r="R7">
        <v>61</v>
      </c>
      <c r="S7">
        <v>41</v>
      </c>
      <c r="T7">
        <v>472</v>
      </c>
      <c r="U7">
        <v>-1</v>
      </c>
      <c r="V7" t="b">
        <v>1</v>
      </c>
      <c r="W7" t="s">
        <v>298</v>
      </c>
      <c r="Y7" t="s">
        <v>960</v>
      </c>
      <c r="AB7">
        <v>2422</v>
      </c>
      <c r="AC7" t="s">
        <v>955</v>
      </c>
      <c r="AM7" s="38">
        <f t="shared" si="0"/>
        <v>2</v>
      </c>
      <c r="AN7" s="38">
        <v>1</v>
      </c>
      <c r="AO7">
        <v>1</v>
      </c>
      <c r="AP7">
        <v>1</v>
      </c>
    </row>
    <row r="8" spans="1:50" x14ac:dyDescent="0.35">
      <c r="A8" s="40" t="s">
        <v>871</v>
      </c>
      <c r="B8" s="32" t="s">
        <v>49</v>
      </c>
      <c r="C8" s="32" t="str">
        <f>VLOOKUP(B8,templateLookup!A:B,2,0)</f>
        <v>COMPOSITE</v>
      </c>
      <c r="D8" s="10" t="s">
        <v>1148</v>
      </c>
      <c r="F8" t="s">
        <v>251</v>
      </c>
      <c r="AM8" s="38">
        <f t="shared" si="0"/>
        <v>2</v>
      </c>
      <c r="AN8" s="38">
        <v>1</v>
      </c>
      <c r="AO8">
        <v>1</v>
      </c>
      <c r="AP8">
        <v>1</v>
      </c>
    </row>
    <row r="9" spans="1:50" x14ac:dyDescent="0.35">
      <c r="A9" s="12" t="s">
        <v>871</v>
      </c>
      <c r="B9" s="33" t="s">
        <v>99</v>
      </c>
      <c r="C9" s="33" t="str">
        <f>VLOOKUP(B9,templateLookup!A:B,2,0)</f>
        <v>PrimeShmooTestMethod</v>
      </c>
      <c r="D9" t="str">
        <f>E9&amp;"_"&amp;F9&amp;"_"&amp;G9&amp;"_"&amp;H9&amp;"_"&amp;A9&amp;"_"&amp;I9&amp;"_"&amp;J9&amp;"_"&amp;K9&amp;"_"&amp;L9&amp;"_"&amp;M9&amp;"_"&amp;N9</f>
        <v>ALL_GFX_SHMOO_K_PREHVQK_TITO_SACD_NOM_LFM_0320_DE</v>
      </c>
      <c r="E9" t="s">
        <v>7</v>
      </c>
      <c r="F9" t="s">
        <v>251</v>
      </c>
      <c r="G9" t="s">
        <v>1011</v>
      </c>
      <c r="H9" t="s">
        <v>253</v>
      </c>
      <c r="I9" t="s">
        <v>260</v>
      </c>
      <c r="J9" t="s">
        <v>395</v>
      </c>
      <c r="K9" t="s">
        <v>284</v>
      </c>
      <c r="L9" t="s">
        <v>285</v>
      </c>
      <c r="M9" t="str">
        <f>TEXT(320,"0000")</f>
        <v>0320</v>
      </c>
      <c r="N9" t="s">
        <v>1137</v>
      </c>
      <c r="O9" t="s">
        <v>1012</v>
      </c>
      <c r="P9" t="s">
        <v>397</v>
      </c>
      <c r="Q9" t="s">
        <v>1138</v>
      </c>
      <c r="R9">
        <v>61</v>
      </c>
      <c r="S9">
        <v>42</v>
      </c>
      <c r="T9">
        <v>900</v>
      </c>
      <c r="U9">
        <v>1</v>
      </c>
      <c r="V9" t="b">
        <v>0</v>
      </c>
      <c r="W9" t="s">
        <v>298</v>
      </c>
      <c r="X9" t="s">
        <v>1062</v>
      </c>
      <c r="AM9" s="38">
        <f t="shared" si="0"/>
        <v>4</v>
      </c>
      <c r="AN9" s="38" t="s">
        <v>920</v>
      </c>
      <c r="AO9" t="str">
        <f t="shared" ref="AO9:AR11" si="1">$D10</f>
        <v>ALL_GFX_SHMOO_K_PREHVQK_TITO_SAPS_NOM_LFM_0200_IPU_PS</v>
      </c>
      <c r="AP9" t="str">
        <f t="shared" si="1"/>
        <v>ALL_GFX_SHMOO_K_PREHVQK_TITO_SAPS_NOM_LFM_0200_IPU_PS</v>
      </c>
      <c r="AQ9" t="str">
        <f t="shared" si="1"/>
        <v>ALL_GFX_SHMOO_K_PREHVQK_TITO_SAPS_NOM_LFM_0200_IPU_PS</v>
      </c>
      <c r="AR9" t="str">
        <f t="shared" si="1"/>
        <v>ALL_GFX_SHMOO_K_PREHVQK_TITO_SAPS_NOM_LFM_0200_IPU_PS</v>
      </c>
    </row>
    <row r="10" spans="1:50" x14ac:dyDescent="0.35">
      <c r="A10" s="12" t="s">
        <v>871</v>
      </c>
      <c r="B10" s="33" t="s">
        <v>99</v>
      </c>
      <c r="C10" s="33" t="str">
        <f>VLOOKUP(B10,templateLookup!A:B,2,0)</f>
        <v>PrimeShmooTestMethod</v>
      </c>
      <c r="D10" t="str">
        <f>E10&amp;"_"&amp;F10&amp;"_"&amp;G10&amp;"_"&amp;H10&amp;"_"&amp;A10&amp;"_"&amp;I10&amp;"_"&amp;J10&amp;"_"&amp;K10&amp;"_"&amp;L10&amp;"_"&amp;M10&amp;"_"&amp;N10</f>
        <v>ALL_GFX_SHMOO_K_PREHVQK_TITO_SAPS_NOM_LFM_0200_IPU_PS</v>
      </c>
      <c r="E10" t="s">
        <v>7</v>
      </c>
      <c r="F10" t="s">
        <v>251</v>
      </c>
      <c r="G10" t="s">
        <v>1011</v>
      </c>
      <c r="H10" t="s">
        <v>253</v>
      </c>
      <c r="I10" t="s">
        <v>260</v>
      </c>
      <c r="J10" t="s">
        <v>460</v>
      </c>
      <c r="K10" t="s">
        <v>284</v>
      </c>
      <c r="L10" t="s">
        <v>285</v>
      </c>
      <c r="M10" t="str">
        <f>TEXT(200,"0000")</f>
        <v>0200</v>
      </c>
      <c r="N10" t="s">
        <v>1139</v>
      </c>
      <c r="O10" t="s">
        <v>1012</v>
      </c>
      <c r="P10" t="s">
        <v>397</v>
      </c>
      <c r="Q10" t="s">
        <v>1140</v>
      </c>
      <c r="R10">
        <v>61</v>
      </c>
      <c r="S10">
        <v>42</v>
      </c>
      <c r="T10">
        <v>912</v>
      </c>
      <c r="U10">
        <v>1</v>
      </c>
      <c r="V10" t="b">
        <v>0</v>
      </c>
      <c r="W10" t="s">
        <v>298</v>
      </c>
      <c r="X10" t="s">
        <v>1062</v>
      </c>
      <c r="AM10" s="38">
        <f t="shared" si="0"/>
        <v>4</v>
      </c>
      <c r="AN10" s="38" t="s">
        <v>920</v>
      </c>
      <c r="AO10" t="str">
        <f t="shared" si="1"/>
        <v>ALL_GFX_SHMOO_K_PREHVQK_TITO_SAIS_NOM_LFM_0200_IPU_IS</v>
      </c>
      <c r="AP10" t="str">
        <f t="shared" si="1"/>
        <v>ALL_GFX_SHMOO_K_PREHVQK_TITO_SAIS_NOM_LFM_0200_IPU_IS</v>
      </c>
      <c r="AQ10" t="str">
        <f t="shared" si="1"/>
        <v>ALL_GFX_SHMOO_K_PREHVQK_TITO_SAIS_NOM_LFM_0200_IPU_IS</v>
      </c>
      <c r="AR10" t="str">
        <f t="shared" si="1"/>
        <v>ALL_GFX_SHMOO_K_PREHVQK_TITO_SAIS_NOM_LFM_0200_IPU_IS</v>
      </c>
    </row>
    <row r="11" spans="1:50" x14ac:dyDescent="0.35">
      <c r="A11" s="12" t="s">
        <v>871</v>
      </c>
      <c r="B11" s="33" t="s">
        <v>99</v>
      </c>
      <c r="C11" s="33" t="str">
        <f>VLOOKUP(B11,templateLookup!A:B,2,0)</f>
        <v>PrimeShmooTestMethod</v>
      </c>
      <c r="D11" t="str">
        <f>E11&amp;"_"&amp;F11&amp;"_"&amp;G11&amp;"_"&amp;H11&amp;"_"&amp;A11&amp;"_"&amp;I11&amp;"_"&amp;J11&amp;"_"&amp;K11&amp;"_"&amp;L11&amp;"_"&amp;M11&amp;"_"&amp;N11</f>
        <v>ALL_GFX_SHMOO_K_PREHVQK_TITO_SAIS_NOM_LFM_0200_IPU_IS</v>
      </c>
      <c r="E11" t="s">
        <v>7</v>
      </c>
      <c r="F11" t="s">
        <v>251</v>
      </c>
      <c r="G11" t="s">
        <v>1011</v>
      </c>
      <c r="H11" t="s">
        <v>253</v>
      </c>
      <c r="I11" t="s">
        <v>260</v>
      </c>
      <c r="J11" t="s">
        <v>1142</v>
      </c>
      <c r="K11" t="s">
        <v>284</v>
      </c>
      <c r="L11" t="s">
        <v>285</v>
      </c>
      <c r="M11" t="str">
        <f>TEXT(200,"0000")</f>
        <v>0200</v>
      </c>
      <c r="N11" t="s">
        <v>1143</v>
      </c>
      <c r="O11" t="s">
        <v>1012</v>
      </c>
      <c r="P11" t="s">
        <v>397</v>
      </c>
      <c r="Q11" t="s">
        <v>1144</v>
      </c>
      <c r="R11">
        <v>61</v>
      </c>
      <c r="S11">
        <v>42</v>
      </c>
      <c r="T11">
        <v>924</v>
      </c>
      <c r="U11">
        <v>1</v>
      </c>
      <c r="V11" t="b">
        <v>0</v>
      </c>
      <c r="W11" t="s">
        <v>298</v>
      </c>
      <c r="X11" t="s">
        <v>1062</v>
      </c>
      <c r="AM11" s="38">
        <f t="shared" si="0"/>
        <v>4</v>
      </c>
      <c r="AN11" s="38" t="s">
        <v>920</v>
      </c>
      <c r="AO11" t="str">
        <f t="shared" si="1"/>
        <v>ALL_GFX_SHMOO_K_PREHVQK_TITO_SAME_NOM_LFM_0400_MEDIA</v>
      </c>
      <c r="AP11" t="str">
        <f t="shared" si="1"/>
        <v>ALL_GFX_SHMOO_K_PREHVQK_TITO_SAME_NOM_LFM_0400_MEDIA</v>
      </c>
      <c r="AQ11" t="str">
        <f t="shared" si="1"/>
        <v>ALL_GFX_SHMOO_K_PREHVQK_TITO_SAME_NOM_LFM_0400_MEDIA</v>
      </c>
      <c r="AR11" t="str">
        <f t="shared" si="1"/>
        <v>ALL_GFX_SHMOO_K_PREHVQK_TITO_SAME_NOM_LFM_0400_MEDIA</v>
      </c>
    </row>
    <row r="12" spans="1:50" x14ac:dyDescent="0.35">
      <c r="A12" s="12" t="s">
        <v>871</v>
      </c>
      <c r="B12" s="33" t="s">
        <v>99</v>
      </c>
      <c r="C12" s="33" t="str">
        <f>VLOOKUP(B12,templateLookup!A:B,2,0)</f>
        <v>PrimeShmooTestMethod</v>
      </c>
      <c r="D12" t="str">
        <f>E12&amp;"_"&amp;F12&amp;"_"&amp;G12&amp;"_"&amp;H12&amp;"_"&amp;A12&amp;"_"&amp;I12&amp;"_"&amp;J12&amp;"_"&amp;K12&amp;"_"&amp;L12&amp;"_"&amp;M12&amp;"_"&amp;N12</f>
        <v>ALL_GFX_SHMOO_K_PREHVQK_TITO_SAME_NOM_LFM_0400_MEDIA</v>
      </c>
      <c r="E12" t="s">
        <v>7</v>
      </c>
      <c r="F12" t="s">
        <v>251</v>
      </c>
      <c r="G12" t="s">
        <v>1011</v>
      </c>
      <c r="H12" t="s">
        <v>253</v>
      </c>
      <c r="I12" t="s">
        <v>260</v>
      </c>
      <c r="J12" t="s">
        <v>504</v>
      </c>
      <c r="K12" t="s">
        <v>284</v>
      </c>
      <c r="L12" t="s">
        <v>285</v>
      </c>
      <c r="M12" t="str">
        <f>TEXT(400,"0000")</f>
        <v>0400</v>
      </c>
      <c r="N12" t="s">
        <v>1146</v>
      </c>
      <c r="O12" t="s">
        <v>1012</v>
      </c>
      <c r="P12" t="s">
        <v>397</v>
      </c>
      <c r="Q12" t="s">
        <v>1147</v>
      </c>
      <c r="R12">
        <v>61</v>
      </c>
      <c r="S12">
        <v>42</v>
      </c>
      <c r="T12">
        <v>925</v>
      </c>
      <c r="U12" s="6">
        <v>1</v>
      </c>
      <c r="V12" t="b">
        <v>0</v>
      </c>
      <c r="W12" t="s">
        <v>298</v>
      </c>
      <c r="X12" t="s">
        <v>1062</v>
      </c>
      <c r="AM12" s="38">
        <f t="shared" si="0"/>
        <v>4</v>
      </c>
      <c r="AN12" s="38" t="s">
        <v>920</v>
      </c>
      <c r="AO12">
        <v>1</v>
      </c>
      <c r="AP12">
        <v>1</v>
      </c>
      <c r="AQ12">
        <v>1</v>
      </c>
      <c r="AR12">
        <v>1</v>
      </c>
    </row>
    <row r="13" spans="1:50" x14ac:dyDescent="0.35">
      <c r="A13" s="40" t="s">
        <v>871</v>
      </c>
      <c r="B13" s="32" t="s">
        <v>50</v>
      </c>
      <c r="C13" s="32" t="str">
        <f>VLOOKUP(B13,templateLookup!A:B,2,0)</f>
        <v>COMPOSITE</v>
      </c>
      <c r="D13" s="10"/>
      <c r="U13" s="6"/>
      <c r="V13" s="6"/>
    </row>
    <row r="14" spans="1:50" x14ac:dyDescent="0.35">
      <c r="A14" s="5" t="s">
        <v>871</v>
      </c>
      <c r="B14" s="5" t="s">
        <v>50</v>
      </c>
      <c r="C14" s="5" t="str">
        <f>VLOOKUP(B14,templateLookup!A:B,2,0)</f>
        <v>COMPOSITE</v>
      </c>
      <c r="D14" s="5"/>
      <c r="E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W14" s="6"/>
      <c r="X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39"/>
      <c r="AN14" s="39"/>
      <c r="AO14" s="6"/>
      <c r="AP14" s="6"/>
      <c r="AQ14" s="6"/>
      <c r="AR14" s="6"/>
      <c r="AS14" s="6"/>
      <c r="AT14" s="6"/>
      <c r="AU14" s="6"/>
      <c r="AV14" s="6"/>
      <c r="AW14" s="6"/>
      <c r="AX14" s="6"/>
    </row>
    <row r="15" spans="1:50" x14ac:dyDescent="0.35">
      <c r="A15" s="5" t="s">
        <v>14</v>
      </c>
      <c r="B15" s="5" t="s">
        <v>49</v>
      </c>
      <c r="C15" s="5" t="str">
        <f>VLOOKUP(B15,templateLookup!A:B,2,0)</f>
        <v>COMPOSITE</v>
      </c>
      <c r="D15" s="5" t="s">
        <v>14</v>
      </c>
      <c r="E15" s="6"/>
      <c r="F15" t="s">
        <v>251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W15" s="6"/>
      <c r="X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39"/>
      <c r="AN15" s="39"/>
      <c r="AO15" s="6"/>
      <c r="AP15" s="6"/>
      <c r="AQ15" s="6"/>
      <c r="AR15" s="6"/>
      <c r="AS15" s="6"/>
      <c r="AT15" s="6"/>
      <c r="AU15" s="6"/>
      <c r="AV15" s="6"/>
      <c r="AW15" s="6"/>
      <c r="AX15" s="6"/>
    </row>
    <row r="16" spans="1:50" x14ac:dyDescent="0.35">
      <c r="A16" s="3" t="s">
        <v>14</v>
      </c>
      <c r="B16" s="3" t="s">
        <v>77</v>
      </c>
      <c r="C16" s="3" t="str">
        <f>VLOOKUP(B16,templateLookup!A:B,2,0)</f>
        <v>iCHVQKTest</v>
      </c>
      <c r="D16" t="str">
        <f>E16&amp;"_"&amp;F16&amp;"_"&amp;G16&amp;"_"&amp;H16&amp;"_"&amp;A16&amp;"_"&amp;I16&amp;"_"&amp;J16&amp;"_"&amp;K16&amp;"_"&amp;L16&amp;"_"&amp;M16&amp;"_"&amp;N16</f>
        <v>ALL_GFX_HVQK_K_STRESS_TITO_SACD_MAX_LFM_0320_DE</v>
      </c>
      <c r="E16" t="s">
        <v>7</v>
      </c>
      <c r="F16" t="s">
        <v>251</v>
      </c>
      <c r="G16" t="s">
        <v>1005</v>
      </c>
      <c r="H16" t="s">
        <v>253</v>
      </c>
      <c r="I16" t="s">
        <v>260</v>
      </c>
      <c r="J16" t="s">
        <v>395</v>
      </c>
      <c r="K16" t="s">
        <v>357</v>
      </c>
      <c r="L16" t="s">
        <v>285</v>
      </c>
      <c r="M16" t="str">
        <f>TEXT(320,"0000")</f>
        <v>0320</v>
      </c>
      <c r="N16" t="s">
        <v>1137</v>
      </c>
      <c r="O16" t="s">
        <v>1149</v>
      </c>
      <c r="P16" t="s">
        <v>397</v>
      </c>
      <c r="Q16" t="s">
        <v>1138</v>
      </c>
      <c r="R16">
        <v>17</v>
      </c>
      <c r="S16">
        <v>61</v>
      </c>
      <c r="T16">
        <v>500</v>
      </c>
      <c r="U16" s="6">
        <v>-1</v>
      </c>
      <c r="V16" s="6" t="b">
        <v>0</v>
      </c>
      <c r="W16" t="s">
        <v>298</v>
      </c>
      <c r="AD16" t="s">
        <v>1150</v>
      </c>
      <c r="AM16" s="38">
        <f t="shared" ref="AM16:AM24" si="2">COUNTA(AO16:AX16)</f>
        <v>5</v>
      </c>
      <c r="AN16" s="38" t="s">
        <v>218</v>
      </c>
      <c r="AO16" t="str">
        <f t="shared" ref="AO16:AS18" si="3">$D17</f>
        <v>ALL_GFX_HVQK_K_STRESS_TITO_SAPS_MAX_LFM_0200_IPU_PS</v>
      </c>
      <c r="AP16" t="str">
        <f t="shared" si="3"/>
        <v>ALL_GFX_HVQK_K_STRESS_TITO_SAPS_MAX_LFM_0200_IPU_PS</v>
      </c>
      <c r="AQ16" t="str">
        <f t="shared" si="3"/>
        <v>ALL_GFX_HVQK_K_STRESS_TITO_SAPS_MAX_LFM_0200_IPU_PS</v>
      </c>
      <c r="AR16" t="str">
        <f t="shared" si="3"/>
        <v>ALL_GFX_HVQK_K_STRESS_TITO_SAPS_MAX_LFM_0200_IPU_PS</v>
      </c>
      <c r="AS16" t="str">
        <f t="shared" si="3"/>
        <v>ALL_GFX_HVQK_K_STRESS_TITO_SAPS_MAX_LFM_0200_IPU_PS</v>
      </c>
    </row>
    <row r="17" spans="1:50" x14ac:dyDescent="0.35">
      <c r="A17" s="3" t="s">
        <v>14</v>
      </c>
      <c r="B17" s="3" t="s">
        <v>77</v>
      </c>
      <c r="C17" s="3" t="str">
        <f>VLOOKUP(B17,templateLookup!A:B,2,0)</f>
        <v>iCHVQKTest</v>
      </c>
      <c r="D17" t="str">
        <f>E17&amp;"_"&amp;F17&amp;"_"&amp;G17&amp;"_"&amp;H17&amp;"_"&amp;A17&amp;"_"&amp;I17&amp;"_"&amp;J17&amp;"_"&amp;K17&amp;"_"&amp;L17&amp;"_"&amp;M17&amp;"_"&amp;N17</f>
        <v>ALL_GFX_HVQK_K_STRESS_TITO_SAPS_MAX_LFM_0200_IPU_PS</v>
      </c>
      <c r="E17" t="s">
        <v>7</v>
      </c>
      <c r="F17" t="s">
        <v>251</v>
      </c>
      <c r="G17" t="s">
        <v>1005</v>
      </c>
      <c r="H17" t="s">
        <v>253</v>
      </c>
      <c r="I17" t="s">
        <v>260</v>
      </c>
      <c r="J17" t="s">
        <v>460</v>
      </c>
      <c r="K17" t="s">
        <v>357</v>
      </c>
      <c r="L17" t="s">
        <v>285</v>
      </c>
      <c r="M17" t="str">
        <f>TEXT(200,"0000")</f>
        <v>0200</v>
      </c>
      <c r="N17" t="s">
        <v>1139</v>
      </c>
      <c r="O17" t="s">
        <v>1149</v>
      </c>
      <c r="P17" t="s">
        <v>397</v>
      </c>
      <c r="Q17" t="s">
        <v>1140</v>
      </c>
      <c r="R17">
        <v>17</v>
      </c>
      <c r="S17">
        <v>61</v>
      </c>
      <c r="T17">
        <v>503</v>
      </c>
      <c r="U17" s="6">
        <v>-1</v>
      </c>
      <c r="V17" s="6" t="b">
        <v>0</v>
      </c>
      <c r="W17" t="s">
        <v>298</v>
      </c>
      <c r="AD17" t="s">
        <v>1151</v>
      </c>
      <c r="AM17" s="38">
        <f t="shared" si="2"/>
        <v>5</v>
      </c>
      <c r="AN17" s="38" t="s">
        <v>218</v>
      </c>
      <c r="AO17" t="str">
        <f t="shared" si="3"/>
        <v>ALL_GFX_HVQK_K_STRESS_TITO_SAIS_MAX_LFM_0200_IPU_IS</v>
      </c>
      <c r="AP17" t="str">
        <f t="shared" si="3"/>
        <v>ALL_GFX_HVQK_K_STRESS_TITO_SAIS_MAX_LFM_0200_IPU_IS</v>
      </c>
      <c r="AQ17" t="str">
        <f t="shared" si="3"/>
        <v>ALL_GFX_HVQK_K_STRESS_TITO_SAIS_MAX_LFM_0200_IPU_IS</v>
      </c>
      <c r="AR17" t="str">
        <f t="shared" si="3"/>
        <v>ALL_GFX_HVQK_K_STRESS_TITO_SAIS_MAX_LFM_0200_IPU_IS</v>
      </c>
      <c r="AS17" t="str">
        <f t="shared" si="3"/>
        <v>ALL_GFX_HVQK_K_STRESS_TITO_SAIS_MAX_LFM_0200_IPU_IS</v>
      </c>
    </row>
    <row r="18" spans="1:50" x14ac:dyDescent="0.35">
      <c r="A18" s="3" t="s">
        <v>14</v>
      </c>
      <c r="B18" s="3" t="s">
        <v>77</v>
      </c>
      <c r="C18" s="3" t="str">
        <f>VLOOKUP(B18,templateLookup!A:B,2,0)</f>
        <v>iCHVQKTest</v>
      </c>
      <c r="D18" t="str">
        <f>E18&amp;"_"&amp;F18&amp;"_"&amp;G18&amp;"_"&amp;H18&amp;"_"&amp;A18&amp;"_"&amp;I18&amp;"_"&amp;J18&amp;"_"&amp;K18&amp;"_"&amp;L18&amp;"_"&amp;M18&amp;"_"&amp;N18</f>
        <v>ALL_GFX_HVQK_K_STRESS_TITO_SAIS_MAX_LFM_0200_IPU_IS</v>
      </c>
      <c r="E18" t="s">
        <v>7</v>
      </c>
      <c r="F18" t="s">
        <v>251</v>
      </c>
      <c r="G18" t="s">
        <v>1005</v>
      </c>
      <c r="H18" t="s">
        <v>253</v>
      </c>
      <c r="I18" t="s">
        <v>260</v>
      </c>
      <c r="J18" t="s">
        <v>1142</v>
      </c>
      <c r="K18" t="s">
        <v>357</v>
      </c>
      <c r="L18" t="s">
        <v>285</v>
      </c>
      <c r="M18" t="str">
        <f>TEXT(200,"0000")</f>
        <v>0200</v>
      </c>
      <c r="N18" t="s">
        <v>1143</v>
      </c>
      <c r="O18" t="s">
        <v>1149</v>
      </c>
      <c r="P18" t="s">
        <v>397</v>
      </c>
      <c r="Q18" t="s">
        <v>1144</v>
      </c>
      <c r="R18">
        <v>17</v>
      </c>
      <c r="S18">
        <v>61</v>
      </c>
      <c r="T18">
        <v>504</v>
      </c>
      <c r="U18">
        <v>-1</v>
      </c>
      <c r="V18" t="b">
        <v>0</v>
      </c>
      <c r="W18" t="s">
        <v>298</v>
      </c>
      <c r="AD18" t="s">
        <v>1152</v>
      </c>
      <c r="AM18" s="38">
        <f t="shared" si="2"/>
        <v>5</v>
      </c>
      <c r="AN18" s="38" t="s">
        <v>218</v>
      </c>
      <c r="AO18" t="str">
        <f t="shared" si="3"/>
        <v>ALL_GFX_HVQK_K_STRESS_TITO_SAME_MAX_LFM_0400_MEDIA</v>
      </c>
      <c r="AP18" t="str">
        <f t="shared" si="3"/>
        <v>ALL_GFX_HVQK_K_STRESS_TITO_SAME_MAX_LFM_0400_MEDIA</v>
      </c>
      <c r="AQ18" t="str">
        <f t="shared" si="3"/>
        <v>ALL_GFX_HVQK_K_STRESS_TITO_SAME_MAX_LFM_0400_MEDIA</v>
      </c>
      <c r="AR18" t="str">
        <f t="shared" si="3"/>
        <v>ALL_GFX_HVQK_K_STRESS_TITO_SAME_MAX_LFM_0400_MEDIA</v>
      </c>
      <c r="AS18" t="str">
        <f t="shared" si="3"/>
        <v>ALL_GFX_HVQK_K_STRESS_TITO_SAME_MAX_LFM_0400_MEDIA</v>
      </c>
    </row>
    <row r="19" spans="1:50" x14ac:dyDescent="0.35">
      <c r="A19" s="3" t="s">
        <v>14</v>
      </c>
      <c r="B19" s="3" t="s">
        <v>77</v>
      </c>
      <c r="C19" s="3" t="str">
        <f>VLOOKUP(B19,templateLookup!A:B,2,0)</f>
        <v>iCHVQKTest</v>
      </c>
      <c r="D19" t="str">
        <f>E19&amp;"_"&amp;F19&amp;"_"&amp;G19&amp;"_"&amp;H19&amp;"_"&amp;A19&amp;"_"&amp;I19&amp;"_"&amp;J19&amp;"_"&amp;K19&amp;"_"&amp;L19&amp;"_"&amp;M19&amp;"_"&amp;N19</f>
        <v>ALL_GFX_HVQK_K_STRESS_TITO_SAME_MAX_LFM_0400_MEDIA</v>
      </c>
      <c r="E19" t="s">
        <v>7</v>
      </c>
      <c r="F19" t="s">
        <v>251</v>
      </c>
      <c r="G19" t="s">
        <v>1005</v>
      </c>
      <c r="H19" t="s">
        <v>253</v>
      </c>
      <c r="I19" t="s">
        <v>260</v>
      </c>
      <c r="J19" t="s">
        <v>504</v>
      </c>
      <c r="K19" t="s">
        <v>357</v>
      </c>
      <c r="L19" t="s">
        <v>285</v>
      </c>
      <c r="M19" t="str">
        <f>TEXT(400,"0000")</f>
        <v>0400</v>
      </c>
      <c r="N19" t="s">
        <v>1146</v>
      </c>
      <c r="O19" t="s">
        <v>1149</v>
      </c>
      <c r="P19" t="s">
        <v>397</v>
      </c>
      <c r="Q19" t="s">
        <v>1147</v>
      </c>
      <c r="R19">
        <v>17</v>
      </c>
      <c r="S19">
        <v>61</v>
      </c>
      <c r="T19">
        <v>505</v>
      </c>
      <c r="U19">
        <v>-1</v>
      </c>
      <c r="V19" t="b">
        <v>0</v>
      </c>
      <c r="W19" t="s">
        <v>298</v>
      </c>
      <c r="AD19" t="s">
        <v>1153</v>
      </c>
      <c r="AM19" s="38">
        <f t="shared" si="2"/>
        <v>5</v>
      </c>
      <c r="AN19" s="38" t="s">
        <v>218</v>
      </c>
      <c r="AO19">
        <v>1</v>
      </c>
      <c r="AP19">
        <v>1</v>
      </c>
      <c r="AQ19">
        <v>1</v>
      </c>
      <c r="AR19">
        <v>1</v>
      </c>
      <c r="AS19">
        <v>1</v>
      </c>
    </row>
    <row r="20" spans="1:50" x14ac:dyDescent="0.35">
      <c r="A20" s="24" t="s">
        <v>14</v>
      </c>
      <c r="B20" s="23" t="s">
        <v>49</v>
      </c>
      <c r="C20" s="23" t="str">
        <f>VLOOKUP(B20,templateLookup!A:B,2,0)</f>
        <v>COMPOSITE</v>
      </c>
      <c r="D20" s="23" t="s">
        <v>1010</v>
      </c>
      <c r="F20" t="s">
        <v>251</v>
      </c>
      <c r="AM20" s="38">
        <f t="shared" si="2"/>
        <v>2</v>
      </c>
      <c r="AN20" s="38">
        <v>1</v>
      </c>
      <c r="AO20">
        <v>1</v>
      </c>
      <c r="AP20">
        <v>1</v>
      </c>
    </row>
    <row r="21" spans="1:50" x14ac:dyDescent="0.35">
      <c r="A21" s="24" t="s">
        <v>14</v>
      </c>
      <c r="B21" s="24" t="s">
        <v>102</v>
      </c>
      <c r="C21" s="24" t="str">
        <f>VLOOKUP(B21,templateLookup!A:B,2,0)</f>
        <v>PrimeShmooTestMethod</v>
      </c>
      <c r="D21" t="str">
        <f>E21&amp;"_"&amp;F21&amp;"_"&amp;G21&amp;"_"&amp;H21&amp;"_"&amp;A21&amp;"_"&amp;I21&amp;"_"&amp;J21&amp;"_"&amp;K21&amp;"_"&amp;L21&amp;"_"&amp;M21&amp;"_"&amp;N21</f>
        <v>ALL_GFX_SHMOO_E_STRESS_TITO_SACD_NOM_LFM_0320_DE</v>
      </c>
      <c r="E21" t="s">
        <v>7</v>
      </c>
      <c r="F21" t="s">
        <v>251</v>
      </c>
      <c r="G21" t="s">
        <v>1011</v>
      </c>
      <c r="H21" t="s">
        <v>207</v>
      </c>
      <c r="I21" t="s">
        <v>260</v>
      </c>
      <c r="J21" t="s">
        <v>395</v>
      </c>
      <c r="K21" t="s">
        <v>284</v>
      </c>
      <c r="L21" t="s">
        <v>285</v>
      </c>
      <c r="M21" t="str">
        <f>TEXT(320,"0000")</f>
        <v>0320</v>
      </c>
      <c r="N21" t="s">
        <v>1137</v>
      </c>
      <c r="O21" t="s">
        <v>1012</v>
      </c>
      <c r="P21" t="s">
        <v>397</v>
      </c>
      <c r="Q21" t="s">
        <v>1138</v>
      </c>
      <c r="R21">
        <v>17</v>
      </c>
      <c r="S21">
        <v>61</v>
      </c>
      <c r="T21">
        <v>507</v>
      </c>
      <c r="U21">
        <v>1</v>
      </c>
      <c r="V21" t="b">
        <v>0</v>
      </c>
      <c r="W21" t="s">
        <v>298</v>
      </c>
      <c r="X21" t="s">
        <v>1062</v>
      </c>
      <c r="AM21" s="38">
        <f t="shared" si="2"/>
        <v>4</v>
      </c>
      <c r="AN21" s="38" t="s">
        <v>920</v>
      </c>
      <c r="AO21" t="str">
        <f t="shared" ref="AO21:AR23" si="4">$D22</f>
        <v>ALL_GFX_SHMOO_E_STRESS_TITO_SAPS_NOM_LFM_0200_IPU_PS</v>
      </c>
      <c r="AP21" t="str">
        <f t="shared" si="4"/>
        <v>ALL_GFX_SHMOO_E_STRESS_TITO_SAPS_NOM_LFM_0200_IPU_PS</v>
      </c>
      <c r="AQ21" t="str">
        <f t="shared" si="4"/>
        <v>ALL_GFX_SHMOO_E_STRESS_TITO_SAPS_NOM_LFM_0200_IPU_PS</v>
      </c>
      <c r="AR21" t="str">
        <f t="shared" si="4"/>
        <v>ALL_GFX_SHMOO_E_STRESS_TITO_SAPS_NOM_LFM_0200_IPU_PS</v>
      </c>
    </row>
    <row r="22" spans="1:50" x14ac:dyDescent="0.35">
      <c r="A22" s="24" t="s">
        <v>14</v>
      </c>
      <c r="B22" s="24" t="s">
        <v>102</v>
      </c>
      <c r="C22" s="24" t="str">
        <f>VLOOKUP(B22,templateLookup!A:B,2,0)</f>
        <v>PrimeShmooTestMethod</v>
      </c>
      <c r="D22" t="str">
        <f>E22&amp;"_"&amp;F22&amp;"_"&amp;G22&amp;"_"&amp;H22&amp;"_"&amp;A22&amp;"_"&amp;I22&amp;"_"&amp;J22&amp;"_"&amp;K22&amp;"_"&amp;L22&amp;"_"&amp;M22&amp;"_"&amp;N22</f>
        <v>ALL_GFX_SHMOO_E_STRESS_TITO_SAPS_NOM_LFM_0200_IPU_PS</v>
      </c>
      <c r="E22" t="s">
        <v>7</v>
      </c>
      <c r="F22" t="s">
        <v>251</v>
      </c>
      <c r="G22" t="s">
        <v>1011</v>
      </c>
      <c r="H22" t="s">
        <v>207</v>
      </c>
      <c r="I22" t="s">
        <v>260</v>
      </c>
      <c r="J22" t="s">
        <v>460</v>
      </c>
      <c r="K22" t="s">
        <v>284</v>
      </c>
      <c r="L22" t="s">
        <v>285</v>
      </c>
      <c r="M22" t="str">
        <f>TEXT(200,"0000")</f>
        <v>0200</v>
      </c>
      <c r="N22" t="s">
        <v>1139</v>
      </c>
      <c r="O22" t="s">
        <v>1012</v>
      </c>
      <c r="P22" t="s">
        <v>397</v>
      </c>
      <c r="Q22" t="s">
        <v>1140</v>
      </c>
      <c r="R22">
        <v>17</v>
      </c>
      <c r="S22">
        <v>61</v>
      </c>
      <c r="T22">
        <v>508</v>
      </c>
      <c r="U22">
        <v>1</v>
      </c>
      <c r="V22" t="b">
        <v>0</v>
      </c>
      <c r="W22" t="s">
        <v>298</v>
      </c>
      <c r="X22" t="s">
        <v>1062</v>
      </c>
      <c r="AM22" s="38">
        <f t="shared" si="2"/>
        <v>4</v>
      </c>
      <c r="AN22" s="38" t="s">
        <v>920</v>
      </c>
      <c r="AO22" t="str">
        <f t="shared" si="4"/>
        <v>ALL_GFX_SHMOO_E_STRESS_TITO_SAIS_NOM_LFM_0200_IPU_IS</v>
      </c>
      <c r="AP22" t="str">
        <f t="shared" si="4"/>
        <v>ALL_GFX_SHMOO_E_STRESS_TITO_SAIS_NOM_LFM_0200_IPU_IS</v>
      </c>
      <c r="AQ22" t="str">
        <f t="shared" si="4"/>
        <v>ALL_GFX_SHMOO_E_STRESS_TITO_SAIS_NOM_LFM_0200_IPU_IS</v>
      </c>
      <c r="AR22" t="str">
        <f t="shared" si="4"/>
        <v>ALL_GFX_SHMOO_E_STRESS_TITO_SAIS_NOM_LFM_0200_IPU_IS</v>
      </c>
    </row>
    <row r="23" spans="1:50" x14ac:dyDescent="0.35">
      <c r="A23" s="24" t="s">
        <v>14</v>
      </c>
      <c r="B23" s="24" t="s">
        <v>102</v>
      </c>
      <c r="C23" s="24" t="str">
        <f>VLOOKUP(B23,templateLookup!A:B,2,0)</f>
        <v>PrimeShmooTestMethod</v>
      </c>
      <c r="D23" t="str">
        <f>E23&amp;"_"&amp;F23&amp;"_"&amp;G23&amp;"_"&amp;H23&amp;"_"&amp;A23&amp;"_"&amp;I23&amp;"_"&amp;J23&amp;"_"&amp;K23&amp;"_"&amp;L23&amp;"_"&amp;M23&amp;"_"&amp;N23</f>
        <v>ALL_GFX_SHMOO_E_STRESS_TITO_SAIS_NOM_LFM_0200_IPU_IS</v>
      </c>
      <c r="E23" t="s">
        <v>7</v>
      </c>
      <c r="F23" t="s">
        <v>251</v>
      </c>
      <c r="G23" t="s">
        <v>1011</v>
      </c>
      <c r="H23" t="s">
        <v>207</v>
      </c>
      <c r="I23" t="s">
        <v>260</v>
      </c>
      <c r="J23" t="s">
        <v>1142</v>
      </c>
      <c r="K23" t="s">
        <v>284</v>
      </c>
      <c r="L23" t="s">
        <v>285</v>
      </c>
      <c r="M23" t="str">
        <f>TEXT(200,"0000")</f>
        <v>0200</v>
      </c>
      <c r="N23" t="s">
        <v>1143</v>
      </c>
      <c r="O23" t="s">
        <v>1012</v>
      </c>
      <c r="P23" t="s">
        <v>397</v>
      </c>
      <c r="Q23" t="s">
        <v>1144</v>
      </c>
      <c r="R23">
        <v>17</v>
      </c>
      <c r="S23">
        <v>61</v>
      </c>
      <c r="T23">
        <v>509</v>
      </c>
      <c r="U23">
        <v>1</v>
      </c>
      <c r="V23" t="b">
        <v>0</v>
      </c>
      <c r="W23" t="s">
        <v>298</v>
      </c>
      <c r="X23" t="s">
        <v>1062</v>
      </c>
      <c r="AM23" s="38">
        <f t="shared" si="2"/>
        <v>4</v>
      </c>
      <c r="AN23" s="38" t="s">
        <v>920</v>
      </c>
      <c r="AO23" t="str">
        <f t="shared" si="4"/>
        <v>ALL_GFX_SHMOO_E_STRESS_TITO_SAME_NOM_LFM_0400_MEDIA</v>
      </c>
      <c r="AP23" t="str">
        <f t="shared" si="4"/>
        <v>ALL_GFX_SHMOO_E_STRESS_TITO_SAME_NOM_LFM_0400_MEDIA</v>
      </c>
      <c r="AQ23" t="str">
        <f t="shared" si="4"/>
        <v>ALL_GFX_SHMOO_E_STRESS_TITO_SAME_NOM_LFM_0400_MEDIA</v>
      </c>
      <c r="AR23" t="str">
        <f t="shared" si="4"/>
        <v>ALL_GFX_SHMOO_E_STRESS_TITO_SAME_NOM_LFM_0400_MEDIA</v>
      </c>
    </row>
    <row r="24" spans="1:50" x14ac:dyDescent="0.35">
      <c r="A24" s="24" t="s">
        <v>14</v>
      </c>
      <c r="B24" s="24" t="s">
        <v>102</v>
      </c>
      <c r="C24" s="24" t="str">
        <f>VLOOKUP(B24,templateLookup!A:B,2,0)</f>
        <v>PrimeShmooTestMethod</v>
      </c>
      <c r="D24" t="str">
        <f>E24&amp;"_"&amp;F24&amp;"_"&amp;G24&amp;"_"&amp;H24&amp;"_"&amp;A24&amp;"_"&amp;I24&amp;"_"&amp;J24&amp;"_"&amp;K24&amp;"_"&amp;L24&amp;"_"&amp;M24&amp;"_"&amp;N24</f>
        <v>ALL_GFX_SHMOO_E_STRESS_TITO_SAME_NOM_LFM_0400_MEDIA</v>
      </c>
      <c r="E24" t="s">
        <v>7</v>
      </c>
      <c r="F24" t="s">
        <v>251</v>
      </c>
      <c r="G24" t="s">
        <v>1011</v>
      </c>
      <c r="H24" t="s">
        <v>207</v>
      </c>
      <c r="I24" t="s">
        <v>260</v>
      </c>
      <c r="J24" t="s">
        <v>504</v>
      </c>
      <c r="K24" t="s">
        <v>284</v>
      </c>
      <c r="L24" t="s">
        <v>285</v>
      </c>
      <c r="M24" t="str">
        <f>TEXT(400,"0000")</f>
        <v>0400</v>
      </c>
      <c r="N24" t="s">
        <v>1146</v>
      </c>
      <c r="O24" t="s">
        <v>1012</v>
      </c>
      <c r="P24" t="s">
        <v>397</v>
      </c>
      <c r="Q24" t="s">
        <v>1147</v>
      </c>
      <c r="R24">
        <v>17</v>
      </c>
      <c r="S24">
        <v>61</v>
      </c>
      <c r="T24">
        <v>510</v>
      </c>
      <c r="U24">
        <v>1</v>
      </c>
      <c r="V24" t="b">
        <v>0</v>
      </c>
      <c r="W24" t="s">
        <v>298</v>
      </c>
      <c r="X24" t="s">
        <v>1062</v>
      </c>
      <c r="AM24" s="38">
        <f t="shared" si="2"/>
        <v>4</v>
      </c>
      <c r="AN24" s="38" t="s">
        <v>920</v>
      </c>
      <c r="AO24">
        <v>1</v>
      </c>
      <c r="AP24">
        <v>1</v>
      </c>
      <c r="AQ24">
        <v>1</v>
      </c>
      <c r="AR24">
        <v>1</v>
      </c>
    </row>
    <row r="25" spans="1:50" x14ac:dyDescent="0.35">
      <c r="A25" s="24" t="s">
        <v>14</v>
      </c>
      <c r="B25" s="23" t="s">
        <v>50</v>
      </c>
      <c r="C25" s="23" t="str">
        <f>VLOOKUP(B25,templateLookup!A:B,2,0)</f>
        <v>COMPOSITE</v>
      </c>
      <c r="D25" s="23"/>
    </row>
    <row r="26" spans="1:50" x14ac:dyDescent="0.35">
      <c r="A26" s="5" t="s">
        <v>14</v>
      </c>
      <c r="B26" s="5" t="s">
        <v>50</v>
      </c>
      <c r="C26" s="5" t="str">
        <f>VLOOKUP(B26,templateLookup!A:B,2,0)</f>
        <v>COMPOSITE</v>
      </c>
      <c r="D26" s="5"/>
      <c r="E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W26" s="6"/>
      <c r="X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39"/>
      <c r="AN26" s="39"/>
      <c r="AO26" s="6"/>
      <c r="AP26" s="6"/>
      <c r="AQ26" s="6"/>
      <c r="AR26" s="6"/>
      <c r="AS26" s="6"/>
      <c r="AT26" s="6"/>
      <c r="AU26" s="6"/>
      <c r="AV26" s="6"/>
      <c r="AW26" s="6"/>
      <c r="AX26" s="6"/>
    </row>
    <row r="27" spans="1:50" x14ac:dyDescent="0.35">
      <c r="A27" s="5" t="s">
        <v>1015</v>
      </c>
      <c r="B27" s="5" t="s">
        <v>49</v>
      </c>
      <c r="C27" s="5" t="str">
        <f>VLOOKUP(B27,templateLookup!A:B,2,0)</f>
        <v>COMPOSITE</v>
      </c>
      <c r="D27" s="5" t="s">
        <v>1015</v>
      </c>
      <c r="E27" s="6"/>
      <c r="F27" t="s">
        <v>251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W27" s="6"/>
      <c r="X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39"/>
      <c r="AN27" s="39"/>
      <c r="AO27" s="6"/>
      <c r="AP27" s="6"/>
      <c r="AQ27" s="6"/>
      <c r="AR27" s="6"/>
      <c r="AS27" s="6"/>
      <c r="AT27" s="6"/>
      <c r="AU27" s="6"/>
      <c r="AV27" s="6"/>
      <c r="AW27" s="6"/>
      <c r="AX27" s="6"/>
    </row>
    <row r="28" spans="1:50" x14ac:dyDescent="0.35">
      <c r="A28" s="22" t="s">
        <v>1015</v>
      </c>
      <c r="B28" s="22" t="s">
        <v>65</v>
      </c>
      <c r="C28" s="22" t="str">
        <f>VLOOKUP(B28,templateLookup!A:B,2,0)</f>
        <v>PrimeVminSearchTestMethod</v>
      </c>
      <c r="D28" t="str">
        <f>E28&amp;"_"&amp;F28&amp;"_"&amp;G28&amp;"_"&amp;H28&amp;"_"&amp;A28&amp;"_"&amp;I28&amp;"_"&amp;J28&amp;"_"&amp;K28&amp;"_"&amp;L28&amp;"_"&amp;M28&amp;"_"&amp;N28</f>
        <v>ALL_GFX_VMIN_K_POSTHVQK_TITO_SACD_MIN_LFM_0320_DE</v>
      </c>
      <c r="E28" t="s">
        <v>7</v>
      </c>
      <c r="F28" t="s">
        <v>251</v>
      </c>
      <c r="G28" t="s">
        <v>951</v>
      </c>
      <c r="H28" t="s">
        <v>253</v>
      </c>
      <c r="I28" t="s">
        <v>260</v>
      </c>
      <c r="J28" t="s">
        <v>395</v>
      </c>
      <c r="K28" t="s">
        <v>952</v>
      </c>
      <c r="L28" t="s">
        <v>285</v>
      </c>
      <c r="M28" t="str">
        <f>TEXT(320,"0000")</f>
        <v>0320</v>
      </c>
      <c r="N28" t="s">
        <v>1137</v>
      </c>
      <c r="O28" t="s">
        <v>267</v>
      </c>
      <c r="P28" t="s">
        <v>397</v>
      </c>
      <c r="Q28" t="s">
        <v>1138</v>
      </c>
      <c r="R28">
        <v>26</v>
      </c>
      <c r="S28">
        <v>61</v>
      </c>
      <c r="T28">
        <v>550</v>
      </c>
      <c r="U28">
        <v>-1</v>
      </c>
      <c r="V28" t="b">
        <v>1</v>
      </c>
      <c r="W28" t="s">
        <v>298</v>
      </c>
      <c r="Y28" t="s">
        <v>960</v>
      </c>
      <c r="AB28">
        <v>2445</v>
      </c>
      <c r="AC28" t="s">
        <v>955</v>
      </c>
      <c r="AM28" s="38">
        <f>COUNTA(AO28:AX28)</f>
        <v>2</v>
      </c>
      <c r="AN28" s="38">
        <v>1</v>
      </c>
      <c r="AO28" t="str">
        <f>D29</f>
        <v>ALL_GFX_VMIN_K_POSTHVQK_TITO_SAPS_MIN_LFM_0200_IPU_PS</v>
      </c>
      <c r="AP28" t="str">
        <f>D29</f>
        <v>ALL_GFX_VMIN_K_POSTHVQK_TITO_SAPS_MIN_LFM_0200_IPU_PS</v>
      </c>
    </row>
    <row r="29" spans="1:50" x14ac:dyDescent="0.35">
      <c r="A29" s="22" t="s">
        <v>1015</v>
      </c>
      <c r="B29" s="22" t="s">
        <v>65</v>
      </c>
      <c r="C29" s="22" t="str">
        <f>VLOOKUP(B29,templateLookup!A:B,2,0)</f>
        <v>PrimeVminSearchTestMethod</v>
      </c>
      <c r="D29" t="str">
        <f>E29&amp;"_"&amp;F29&amp;"_"&amp;G29&amp;"_"&amp;H29&amp;"_"&amp;A29&amp;"_"&amp;I29&amp;"_"&amp;J29&amp;"_"&amp;K29&amp;"_"&amp;L29&amp;"_"&amp;M29&amp;"_"&amp;N29</f>
        <v>ALL_GFX_VMIN_K_POSTHVQK_TITO_SAPS_MIN_LFM_0200_IPU_PS</v>
      </c>
      <c r="E29" t="s">
        <v>7</v>
      </c>
      <c r="F29" t="s">
        <v>251</v>
      </c>
      <c r="G29" t="s">
        <v>951</v>
      </c>
      <c r="H29" t="s">
        <v>253</v>
      </c>
      <c r="I29" t="s">
        <v>260</v>
      </c>
      <c r="J29" t="s">
        <v>460</v>
      </c>
      <c r="K29" t="s">
        <v>952</v>
      </c>
      <c r="L29" t="s">
        <v>285</v>
      </c>
      <c r="M29" t="str">
        <f>TEXT(200,"0000")</f>
        <v>0200</v>
      </c>
      <c r="N29" t="s">
        <v>1139</v>
      </c>
      <c r="O29" t="s">
        <v>267</v>
      </c>
      <c r="P29" t="s">
        <v>397</v>
      </c>
      <c r="Q29" t="s">
        <v>1140</v>
      </c>
      <c r="R29">
        <v>26</v>
      </c>
      <c r="S29">
        <v>61</v>
      </c>
      <c r="T29">
        <v>553</v>
      </c>
      <c r="U29">
        <v>-1</v>
      </c>
      <c r="V29" t="b">
        <v>1</v>
      </c>
      <c r="W29" t="s">
        <v>298</v>
      </c>
      <c r="Y29" t="s">
        <v>960</v>
      </c>
      <c r="AB29">
        <v>2446</v>
      </c>
      <c r="AC29" t="s">
        <v>955</v>
      </c>
      <c r="AM29" s="38">
        <f>COUNTA(AO29:AX29)</f>
        <v>2</v>
      </c>
      <c r="AN29" s="38">
        <v>1</v>
      </c>
      <c r="AO29" t="str">
        <f>D30</f>
        <v>ALL_GFX_VMIN_K_POSTHVQK_TITO_SAIS_MIN_LFM_0200_IPU_IS</v>
      </c>
      <c r="AP29" t="str">
        <f>D30</f>
        <v>ALL_GFX_VMIN_K_POSTHVQK_TITO_SAIS_MIN_LFM_0200_IPU_IS</v>
      </c>
    </row>
    <row r="30" spans="1:50" x14ac:dyDescent="0.35">
      <c r="A30" s="22" t="s">
        <v>1015</v>
      </c>
      <c r="B30" s="22" t="s">
        <v>65</v>
      </c>
      <c r="C30" s="22" t="str">
        <f>VLOOKUP(B30,templateLookup!A:B,2,0)</f>
        <v>PrimeVminSearchTestMethod</v>
      </c>
      <c r="D30" t="str">
        <f>E30&amp;"_"&amp;F30&amp;"_"&amp;G30&amp;"_"&amp;H30&amp;"_"&amp;A30&amp;"_"&amp;I30&amp;"_"&amp;J30&amp;"_"&amp;K30&amp;"_"&amp;L30&amp;"_"&amp;M30&amp;"_"&amp;N30</f>
        <v>ALL_GFX_VMIN_K_POSTHVQK_TITO_SAIS_MIN_LFM_0200_IPU_IS</v>
      </c>
      <c r="E30" t="s">
        <v>7</v>
      </c>
      <c r="F30" t="s">
        <v>251</v>
      </c>
      <c r="G30" t="s">
        <v>951</v>
      </c>
      <c r="H30" t="s">
        <v>253</v>
      </c>
      <c r="I30" t="s">
        <v>260</v>
      </c>
      <c r="J30" t="s">
        <v>1142</v>
      </c>
      <c r="K30" t="s">
        <v>952</v>
      </c>
      <c r="L30" t="s">
        <v>285</v>
      </c>
      <c r="M30" t="str">
        <f>TEXT(200,"0000")</f>
        <v>0200</v>
      </c>
      <c r="N30" t="s">
        <v>1143</v>
      </c>
      <c r="O30" t="s">
        <v>267</v>
      </c>
      <c r="P30" t="s">
        <v>397</v>
      </c>
      <c r="Q30" t="s">
        <v>1144</v>
      </c>
      <c r="R30">
        <v>26</v>
      </c>
      <c r="S30">
        <v>61</v>
      </c>
      <c r="T30">
        <v>554</v>
      </c>
      <c r="U30">
        <v>-1</v>
      </c>
      <c r="V30" t="b">
        <v>1</v>
      </c>
      <c r="W30" t="s">
        <v>298</v>
      </c>
      <c r="Y30" t="s">
        <v>960</v>
      </c>
      <c r="AB30">
        <v>2447</v>
      </c>
      <c r="AC30" t="s">
        <v>955</v>
      </c>
      <c r="AM30" s="38">
        <f>COUNTA(AO30:AX30)</f>
        <v>2</v>
      </c>
      <c r="AN30" s="38">
        <v>1</v>
      </c>
      <c r="AO30" t="str">
        <f>D31</f>
        <v>ALL_GFX_VMIN_K_POSTHVQK_TITO_SAME_MIN_LFM_0400_MEDIA</v>
      </c>
      <c r="AP30" t="str">
        <f>D31</f>
        <v>ALL_GFX_VMIN_K_POSTHVQK_TITO_SAME_MIN_LFM_0400_MEDIA</v>
      </c>
    </row>
    <row r="31" spans="1:50" x14ac:dyDescent="0.35">
      <c r="A31" s="22" t="s">
        <v>1015</v>
      </c>
      <c r="B31" s="22" t="s">
        <v>65</v>
      </c>
      <c r="C31" s="22" t="str">
        <f>VLOOKUP(B31,templateLookup!A:B,2,0)</f>
        <v>PrimeVminSearchTestMethod</v>
      </c>
      <c r="D31" t="str">
        <f>E31&amp;"_"&amp;F31&amp;"_"&amp;G31&amp;"_"&amp;H31&amp;"_"&amp;A31&amp;"_"&amp;I31&amp;"_"&amp;J31&amp;"_"&amp;K31&amp;"_"&amp;L31&amp;"_"&amp;M31&amp;"_"&amp;N31</f>
        <v>ALL_GFX_VMIN_K_POSTHVQK_TITO_SAME_MIN_LFM_0400_MEDIA</v>
      </c>
      <c r="E31" t="s">
        <v>7</v>
      </c>
      <c r="F31" t="s">
        <v>251</v>
      </c>
      <c r="G31" t="s">
        <v>951</v>
      </c>
      <c r="H31" t="s">
        <v>253</v>
      </c>
      <c r="I31" t="s">
        <v>260</v>
      </c>
      <c r="J31" t="s">
        <v>504</v>
      </c>
      <c r="K31" t="s">
        <v>952</v>
      </c>
      <c r="L31" t="s">
        <v>285</v>
      </c>
      <c r="M31" t="str">
        <f>TEXT(400,"0000")</f>
        <v>0400</v>
      </c>
      <c r="N31" t="s">
        <v>1146</v>
      </c>
      <c r="O31" t="s">
        <v>267</v>
      </c>
      <c r="P31" t="s">
        <v>397</v>
      </c>
      <c r="Q31" t="s">
        <v>1147</v>
      </c>
      <c r="R31">
        <v>26</v>
      </c>
      <c r="S31">
        <v>61</v>
      </c>
      <c r="T31">
        <v>555</v>
      </c>
      <c r="U31">
        <v>-1</v>
      </c>
      <c r="V31" t="b">
        <v>1</v>
      </c>
      <c r="W31" t="s">
        <v>298</v>
      </c>
      <c r="Y31" t="s">
        <v>960</v>
      </c>
      <c r="AB31">
        <v>2448</v>
      </c>
      <c r="AC31" t="s">
        <v>955</v>
      </c>
      <c r="AM31" s="38">
        <f>COUNTA(AO31:AX31)</f>
        <v>2</v>
      </c>
      <c r="AN31" s="38">
        <v>1</v>
      </c>
      <c r="AO31">
        <v>1</v>
      </c>
      <c r="AP31">
        <v>1</v>
      </c>
    </row>
    <row r="32" spans="1:50" x14ac:dyDescent="0.35">
      <c r="A32" s="5" t="s">
        <v>1015</v>
      </c>
      <c r="B32" s="5" t="s">
        <v>50</v>
      </c>
      <c r="C32" s="5" t="str">
        <f>VLOOKUP(B32,templateLookup!A:B,2,0)</f>
        <v>COMPOSITE</v>
      </c>
      <c r="D32" s="5"/>
      <c r="E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W32" s="6"/>
      <c r="X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39"/>
      <c r="AN32" s="39"/>
      <c r="AO32" s="6"/>
      <c r="AP32" s="6"/>
      <c r="AQ32" s="6"/>
      <c r="AR32" s="6"/>
      <c r="AS32" s="6"/>
      <c r="AT32" s="6"/>
      <c r="AU32" s="6"/>
      <c r="AV32" s="6"/>
      <c r="AW32" s="6"/>
      <c r="AX32" s="6"/>
    </row>
    <row r="33" spans="1:50" x14ac:dyDescent="0.35">
      <c r="A33" s="5" t="s">
        <v>21</v>
      </c>
      <c r="B33" s="5" t="s">
        <v>49</v>
      </c>
      <c r="C33" s="5" t="str">
        <f>VLOOKUP(B33,templateLookup!A:B,2,0)</f>
        <v>COMPOSITE</v>
      </c>
      <c r="D33" s="5" t="s">
        <v>21</v>
      </c>
      <c r="E33" s="6"/>
      <c r="F33" t="s">
        <v>251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W33" s="6"/>
      <c r="X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39"/>
      <c r="AN33" s="39"/>
      <c r="AO33" s="6"/>
      <c r="AP33" s="6"/>
      <c r="AQ33" s="6"/>
      <c r="AR33" s="6"/>
      <c r="AS33" s="6"/>
      <c r="AT33" s="6"/>
      <c r="AU33" s="6"/>
      <c r="AV33" s="6"/>
      <c r="AW33" s="6"/>
      <c r="AX33" s="6"/>
    </row>
    <row r="34" spans="1:50" x14ac:dyDescent="0.35">
      <c r="A34" s="21" t="s">
        <v>21</v>
      </c>
      <c r="B34" s="21" t="s">
        <v>49</v>
      </c>
      <c r="C34" s="21" t="str">
        <f>VLOOKUP(B34,templateLookup!A:B,2,0)</f>
        <v>COMPOSITE</v>
      </c>
      <c r="D34" s="10" t="s">
        <v>1017</v>
      </c>
      <c r="F34" t="s">
        <v>251</v>
      </c>
      <c r="AM34" s="38">
        <f t="shared" ref="AM34:AM43" si="5">COUNTA(AO34:AX34)</f>
        <v>2</v>
      </c>
      <c r="AN34" s="38">
        <v>1</v>
      </c>
      <c r="AO34" t="str">
        <f>D45</f>
        <v>VMAX</v>
      </c>
      <c r="AP34" t="str">
        <f>D45</f>
        <v>VMAX</v>
      </c>
    </row>
    <row r="35" spans="1:50" x14ac:dyDescent="0.35">
      <c r="A35" s="22" t="s">
        <v>21</v>
      </c>
      <c r="B35" s="22" t="s">
        <v>62</v>
      </c>
      <c r="C35" s="22" t="str">
        <f>VLOOKUP(B35,templateLookup!A:B,2,0)</f>
        <v>PrimeVminSearchTestMethod</v>
      </c>
      <c r="D35" t="str">
        <f t="shared" ref="D35:D43" si="6">E35&amp;"_"&amp;F35&amp;"_"&amp;G35&amp;"_"&amp;H35&amp;"_"&amp;A35&amp;"_"&amp;I35&amp;"_"&amp;J35&amp;"_"&amp;K35&amp;"_"&amp;L35&amp;"_"&amp;M35&amp;"_"&amp;N35</f>
        <v>SSA_GFX_VCHK_K_END_TITO_SACD_NOM_LFM_0320_ALL_DE</v>
      </c>
      <c r="E35" t="s">
        <v>4</v>
      </c>
      <c r="F35" t="s">
        <v>251</v>
      </c>
      <c r="G35" t="s">
        <v>1018</v>
      </c>
      <c r="H35" t="s">
        <v>253</v>
      </c>
      <c r="I35" t="s">
        <v>260</v>
      </c>
      <c r="J35" t="s">
        <v>395</v>
      </c>
      <c r="K35" t="s">
        <v>284</v>
      </c>
      <c r="L35" t="s">
        <v>285</v>
      </c>
      <c r="M35" t="str">
        <f>TEXT(320,"0000")</f>
        <v>0320</v>
      </c>
      <c r="N35" t="s">
        <v>1154</v>
      </c>
      <c r="O35" t="s">
        <v>267</v>
      </c>
      <c r="P35" t="s">
        <v>397</v>
      </c>
      <c r="Q35" t="s">
        <v>1155</v>
      </c>
      <c r="R35">
        <v>61</v>
      </c>
      <c r="S35">
        <v>42</v>
      </c>
      <c r="T35">
        <v>600</v>
      </c>
      <c r="U35">
        <v>-1</v>
      </c>
      <c r="V35" t="b">
        <v>1</v>
      </c>
      <c r="W35" t="s">
        <v>298</v>
      </c>
      <c r="Y35" t="s">
        <v>960</v>
      </c>
      <c r="AB35">
        <v>2452</v>
      </c>
      <c r="AC35" t="s">
        <v>1021</v>
      </c>
      <c r="AM35" s="38">
        <f t="shared" si="5"/>
        <v>2</v>
      </c>
      <c r="AN35" s="38">
        <v>1</v>
      </c>
      <c r="AO35" t="str">
        <f>$D36</f>
        <v>LSA_GFX_VCHK_K_END_TITO_SACD_NOM_LFM_0320_ALL_DE</v>
      </c>
      <c r="AP35" t="str">
        <f>$D36</f>
        <v>LSA_GFX_VCHK_K_END_TITO_SACD_NOM_LFM_0320_ALL_DE</v>
      </c>
    </row>
    <row r="36" spans="1:50" x14ac:dyDescent="0.35">
      <c r="A36" s="22" t="s">
        <v>21</v>
      </c>
      <c r="B36" s="22" t="s">
        <v>62</v>
      </c>
      <c r="C36" s="22" t="str">
        <f>VLOOKUP(B36,templateLookup!A:B,2,0)</f>
        <v>PrimeVminSearchTestMethod</v>
      </c>
      <c r="D36" t="str">
        <f t="shared" si="6"/>
        <v>LSA_GFX_VCHK_K_END_TITO_SACD_NOM_LFM_0320_ALL_DE</v>
      </c>
      <c r="E36" t="s">
        <v>5</v>
      </c>
      <c r="F36" t="s">
        <v>251</v>
      </c>
      <c r="G36" t="s">
        <v>1018</v>
      </c>
      <c r="H36" t="s">
        <v>253</v>
      </c>
      <c r="I36" t="s">
        <v>260</v>
      </c>
      <c r="J36" t="s">
        <v>395</v>
      </c>
      <c r="K36" t="s">
        <v>284</v>
      </c>
      <c r="L36" t="s">
        <v>285</v>
      </c>
      <c r="M36" t="str">
        <f>TEXT(320,"0000")</f>
        <v>0320</v>
      </c>
      <c r="N36" t="s">
        <v>1154</v>
      </c>
      <c r="O36" t="s">
        <v>267</v>
      </c>
      <c r="P36" t="s">
        <v>397</v>
      </c>
      <c r="Q36" t="s">
        <v>1156</v>
      </c>
      <c r="R36">
        <v>21</v>
      </c>
      <c r="S36">
        <v>42</v>
      </c>
      <c r="T36">
        <v>605</v>
      </c>
      <c r="U36">
        <v>-1</v>
      </c>
      <c r="V36" t="b">
        <v>1</v>
      </c>
      <c r="W36" t="s">
        <v>298</v>
      </c>
      <c r="Y36" t="s">
        <v>960</v>
      </c>
      <c r="AB36">
        <v>2457</v>
      </c>
      <c r="AC36" t="s">
        <v>1021</v>
      </c>
      <c r="AM36" s="38">
        <f t="shared" si="5"/>
        <v>2</v>
      </c>
      <c r="AN36" s="38">
        <v>1</v>
      </c>
      <c r="AO36" t="str">
        <f>$D37</f>
        <v>SSA_GFX_VCHK_K_END_TITO_SAIS_NOM_LFM_0200_ALL_IPU</v>
      </c>
      <c r="AP36" t="str">
        <f>$D37</f>
        <v>SSA_GFX_VCHK_K_END_TITO_SAIS_NOM_LFM_0200_ALL_IPU</v>
      </c>
    </row>
    <row r="37" spans="1:50" x14ac:dyDescent="0.35">
      <c r="A37" s="22" t="s">
        <v>21</v>
      </c>
      <c r="B37" s="22" t="s">
        <v>62</v>
      </c>
      <c r="C37" s="22" t="str">
        <f>VLOOKUP(B37,templateLookup!A:B,2,0)</f>
        <v>PrimeVminSearchTestMethod</v>
      </c>
      <c r="D37" t="str">
        <f t="shared" si="6"/>
        <v>SSA_GFX_VCHK_K_END_TITO_SAIS_NOM_LFM_0200_ALL_IPU</v>
      </c>
      <c r="E37" t="s">
        <v>4</v>
      </c>
      <c r="F37" t="s">
        <v>251</v>
      </c>
      <c r="G37" t="s">
        <v>1018</v>
      </c>
      <c r="H37" t="s">
        <v>253</v>
      </c>
      <c r="I37" t="s">
        <v>260</v>
      </c>
      <c r="J37" t="s">
        <v>1142</v>
      </c>
      <c r="K37" t="s">
        <v>284</v>
      </c>
      <c r="L37" t="s">
        <v>285</v>
      </c>
      <c r="M37" t="str">
        <f>TEXT(200,"0000")</f>
        <v>0200</v>
      </c>
      <c r="N37" t="s">
        <v>1157</v>
      </c>
      <c r="O37" t="s">
        <v>267</v>
      </c>
      <c r="P37" t="s">
        <v>397</v>
      </c>
      <c r="Q37" t="s">
        <v>1158</v>
      </c>
      <c r="R37">
        <v>61</v>
      </c>
      <c r="S37">
        <v>42</v>
      </c>
      <c r="T37">
        <v>612</v>
      </c>
      <c r="U37">
        <v>-1</v>
      </c>
      <c r="V37" t="b">
        <v>1</v>
      </c>
      <c r="W37" t="s">
        <v>298</v>
      </c>
      <c r="Y37" t="s">
        <v>960</v>
      </c>
      <c r="AB37">
        <v>2464</v>
      </c>
      <c r="AC37" t="s">
        <v>1021</v>
      </c>
      <c r="AM37" s="38">
        <f t="shared" si="5"/>
        <v>2</v>
      </c>
      <c r="AN37" s="38">
        <v>1</v>
      </c>
      <c r="AO37" t="str">
        <f>D38</f>
        <v>LSA_GFX_VCHK_K_END_TITO_SAIS_NOM_LFM_0200_ALL_IPU</v>
      </c>
      <c r="AP37" t="str">
        <f>D38</f>
        <v>LSA_GFX_VCHK_K_END_TITO_SAIS_NOM_LFM_0200_ALL_IPU</v>
      </c>
    </row>
    <row r="38" spans="1:50" x14ac:dyDescent="0.35">
      <c r="A38" s="22" t="s">
        <v>21</v>
      </c>
      <c r="B38" s="22" t="s">
        <v>62</v>
      </c>
      <c r="C38" s="22" t="str">
        <f>VLOOKUP(B38,templateLookup!A:B,2,0)</f>
        <v>PrimeVminSearchTestMethod</v>
      </c>
      <c r="D38" t="str">
        <f t="shared" si="6"/>
        <v>LSA_GFX_VCHK_K_END_TITO_SAIS_NOM_LFM_0200_ALL_IPU</v>
      </c>
      <c r="E38" t="s">
        <v>5</v>
      </c>
      <c r="F38" t="s">
        <v>251</v>
      </c>
      <c r="G38" t="s">
        <v>1018</v>
      </c>
      <c r="H38" t="s">
        <v>253</v>
      </c>
      <c r="I38" t="s">
        <v>260</v>
      </c>
      <c r="J38" t="s">
        <v>1142</v>
      </c>
      <c r="K38" t="s">
        <v>284</v>
      </c>
      <c r="L38" t="s">
        <v>285</v>
      </c>
      <c r="M38" t="str">
        <f>TEXT(200,"0000")</f>
        <v>0200</v>
      </c>
      <c r="N38" t="s">
        <v>1157</v>
      </c>
      <c r="O38" t="s">
        <v>267</v>
      </c>
      <c r="P38" t="s">
        <v>397</v>
      </c>
      <c r="Q38" t="s">
        <v>1159</v>
      </c>
      <c r="R38">
        <v>21</v>
      </c>
      <c r="S38">
        <v>42</v>
      </c>
      <c r="T38">
        <v>613</v>
      </c>
      <c r="U38">
        <v>-1</v>
      </c>
      <c r="V38" t="b">
        <v>1</v>
      </c>
      <c r="W38" t="s">
        <v>298</v>
      </c>
      <c r="Y38" t="s">
        <v>960</v>
      </c>
      <c r="AB38">
        <v>2465</v>
      </c>
      <c r="AC38" t="s">
        <v>1021</v>
      </c>
      <c r="AM38" s="38">
        <f t="shared" si="5"/>
        <v>2</v>
      </c>
      <c r="AN38" s="38">
        <v>1</v>
      </c>
      <c r="AO38" t="str">
        <f>D39</f>
        <v>SSA_GFX_VCHK_K_END_TITO_SAPS_NOM_LFM_0200_ALL_IPU</v>
      </c>
      <c r="AP38" t="str">
        <f>D39</f>
        <v>SSA_GFX_VCHK_K_END_TITO_SAPS_NOM_LFM_0200_ALL_IPU</v>
      </c>
    </row>
    <row r="39" spans="1:50" x14ac:dyDescent="0.35">
      <c r="A39" s="22" t="s">
        <v>21</v>
      </c>
      <c r="B39" s="22" t="s">
        <v>62</v>
      </c>
      <c r="C39" s="22" t="str">
        <f>VLOOKUP(B39,templateLookup!A:B,2,0)</f>
        <v>PrimeVminSearchTestMethod</v>
      </c>
      <c r="D39" t="str">
        <f t="shared" si="6"/>
        <v>SSA_GFX_VCHK_K_END_TITO_SAPS_NOM_LFM_0200_ALL_IPU</v>
      </c>
      <c r="E39" t="s">
        <v>4</v>
      </c>
      <c r="F39" t="s">
        <v>251</v>
      </c>
      <c r="G39" t="s">
        <v>1018</v>
      </c>
      <c r="H39" t="s">
        <v>253</v>
      </c>
      <c r="I39" t="s">
        <v>260</v>
      </c>
      <c r="J39" t="s">
        <v>460</v>
      </c>
      <c r="K39" t="s">
        <v>284</v>
      </c>
      <c r="L39" t="s">
        <v>285</v>
      </c>
      <c r="M39" t="str">
        <f>TEXT(200,"0000")</f>
        <v>0200</v>
      </c>
      <c r="N39" t="s">
        <v>1157</v>
      </c>
      <c r="O39" t="s">
        <v>267</v>
      </c>
      <c r="P39" t="s">
        <v>397</v>
      </c>
      <c r="Q39" t="s">
        <v>1160</v>
      </c>
      <c r="R39">
        <v>61</v>
      </c>
      <c r="S39">
        <v>42</v>
      </c>
      <c r="T39">
        <v>614</v>
      </c>
      <c r="U39">
        <v>-1</v>
      </c>
      <c r="V39" t="b">
        <v>1</v>
      </c>
      <c r="W39" t="s">
        <v>298</v>
      </c>
      <c r="Y39" t="s">
        <v>960</v>
      </c>
      <c r="AB39">
        <v>2466</v>
      </c>
      <c r="AC39" t="s">
        <v>1021</v>
      </c>
      <c r="AM39" s="38">
        <f t="shared" si="5"/>
        <v>2</v>
      </c>
      <c r="AN39" s="38">
        <v>1</v>
      </c>
      <c r="AO39" t="str">
        <f>D40</f>
        <v>LSA_GFX_VCHK_K_END_TITO_SAPS_NOM_LFM_0200_ALL_IPU</v>
      </c>
      <c r="AP39" t="str">
        <f>D40</f>
        <v>LSA_GFX_VCHK_K_END_TITO_SAPS_NOM_LFM_0200_ALL_IPU</v>
      </c>
    </row>
    <row r="40" spans="1:50" x14ac:dyDescent="0.35">
      <c r="A40" s="22" t="s">
        <v>21</v>
      </c>
      <c r="B40" s="22" t="s">
        <v>62</v>
      </c>
      <c r="C40" s="22" t="str">
        <f>VLOOKUP(B40,templateLookup!A:B,2,0)</f>
        <v>PrimeVminSearchTestMethod</v>
      </c>
      <c r="D40" t="str">
        <f t="shared" si="6"/>
        <v>LSA_GFX_VCHK_K_END_TITO_SAPS_NOM_LFM_0200_ALL_IPU</v>
      </c>
      <c r="E40" t="s">
        <v>5</v>
      </c>
      <c r="F40" t="s">
        <v>251</v>
      </c>
      <c r="G40" t="s">
        <v>1018</v>
      </c>
      <c r="H40" t="s">
        <v>253</v>
      </c>
      <c r="I40" t="s">
        <v>260</v>
      </c>
      <c r="J40" t="s">
        <v>460</v>
      </c>
      <c r="K40" t="s">
        <v>284</v>
      </c>
      <c r="L40" t="s">
        <v>285</v>
      </c>
      <c r="M40" t="str">
        <f>TEXT(200,"0000")</f>
        <v>0200</v>
      </c>
      <c r="N40" t="s">
        <v>1157</v>
      </c>
      <c r="O40" t="s">
        <v>267</v>
      </c>
      <c r="P40" t="s">
        <v>397</v>
      </c>
      <c r="Q40" t="s">
        <v>1161</v>
      </c>
      <c r="R40">
        <v>21</v>
      </c>
      <c r="S40">
        <v>42</v>
      </c>
      <c r="T40">
        <v>615</v>
      </c>
      <c r="U40">
        <v>-1</v>
      </c>
      <c r="V40" t="b">
        <v>1</v>
      </c>
      <c r="W40" t="s">
        <v>298</v>
      </c>
      <c r="Y40" t="s">
        <v>960</v>
      </c>
      <c r="AB40">
        <v>2467</v>
      </c>
      <c r="AC40" t="s">
        <v>1021</v>
      </c>
      <c r="AM40" s="38">
        <f t="shared" si="5"/>
        <v>2</v>
      </c>
      <c r="AN40" s="38">
        <v>1</v>
      </c>
      <c r="AO40" t="str">
        <f>D41</f>
        <v>SSA_GFX_VCHK_K_END_TITO_SAME_NOM_LFM_0400_ALL_MEDIA</v>
      </c>
      <c r="AP40" t="str">
        <f>D41</f>
        <v>SSA_GFX_VCHK_K_END_TITO_SAME_NOM_LFM_0400_ALL_MEDIA</v>
      </c>
    </row>
    <row r="41" spans="1:50" x14ac:dyDescent="0.35">
      <c r="A41" s="22" t="s">
        <v>21</v>
      </c>
      <c r="B41" s="22" t="s">
        <v>62</v>
      </c>
      <c r="C41" s="22" t="str">
        <f>VLOOKUP(B41,templateLookup!A:B,2,0)</f>
        <v>PrimeVminSearchTestMethod</v>
      </c>
      <c r="D41" t="str">
        <f t="shared" si="6"/>
        <v>SSA_GFX_VCHK_K_END_TITO_SAME_NOM_LFM_0400_ALL_MEDIA</v>
      </c>
      <c r="E41" t="s">
        <v>4</v>
      </c>
      <c r="F41" t="s">
        <v>251</v>
      </c>
      <c r="G41" t="s">
        <v>1018</v>
      </c>
      <c r="H41" t="s">
        <v>253</v>
      </c>
      <c r="I41" t="s">
        <v>260</v>
      </c>
      <c r="J41" t="s">
        <v>504</v>
      </c>
      <c r="K41" t="s">
        <v>284</v>
      </c>
      <c r="L41" t="s">
        <v>285</v>
      </c>
      <c r="M41" t="str">
        <f>TEXT(400,"0000")</f>
        <v>0400</v>
      </c>
      <c r="N41" t="s">
        <v>1162</v>
      </c>
      <c r="O41" t="s">
        <v>267</v>
      </c>
      <c r="P41" t="s">
        <v>397</v>
      </c>
      <c r="Q41" t="s">
        <v>1163</v>
      </c>
      <c r="R41">
        <v>61</v>
      </c>
      <c r="S41">
        <v>42</v>
      </c>
      <c r="T41">
        <v>616</v>
      </c>
      <c r="U41">
        <v>-1</v>
      </c>
      <c r="V41" t="b">
        <v>1</v>
      </c>
      <c r="W41" t="s">
        <v>298</v>
      </c>
      <c r="Y41" t="s">
        <v>960</v>
      </c>
      <c r="AB41">
        <v>2468</v>
      </c>
      <c r="AC41" t="s">
        <v>1021</v>
      </c>
      <c r="AM41" s="38">
        <f t="shared" si="5"/>
        <v>2</v>
      </c>
      <c r="AN41" s="38">
        <v>1</v>
      </c>
      <c r="AO41" t="str">
        <f>D42</f>
        <v>LSA_GFX_VCHK_K_END_TITO_SAME_NOM_LFM_0400_ALL_MEDIA</v>
      </c>
      <c r="AP41" t="str">
        <f>D42</f>
        <v>LSA_GFX_VCHK_K_END_TITO_SAME_NOM_LFM_0400_ALL_MEDIA</v>
      </c>
    </row>
    <row r="42" spans="1:50" x14ac:dyDescent="0.35">
      <c r="A42" s="22" t="s">
        <v>21</v>
      </c>
      <c r="B42" s="22" t="s">
        <v>62</v>
      </c>
      <c r="C42" s="22" t="str">
        <f>VLOOKUP(B42,templateLookup!A:B,2,0)</f>
        <v>PrimeVminSearchTestMethod</v>
      </c>
      <c r="D42" t="str">
        <f t="shared" si="6"/>
        <v>LSA_GFX_VCHK_K_END_TITO_SAME_NOM_LFM_0400_ALL_MEDIA</v>
      </c>
      <c r="E42" t="s">
        <v>5</v>
      </c>
      <c r="F42" t="s">
        <v>251</v>
      </c>
      <c r="G42" t="s">
        <v>1018</v>
      </c>
      <c r="H42" t="s">
        <v>253</v>
      </c>
      <c r="I42" t="s">
        <v>260</v>
      </c>
      <c r="J42" t="s">
        <v>504</v>
      </c>
      <c r="K42" t="s">
        <v>284</v>
      </c>
      <c r="L42" t="s">
        <v>285</v>
      </c>
      <c r="M42" t="str">
        <f>TEXT(400,"0000")</f>
        <v>0400</v>
      </c>
      <c r="N42" t="s">
        <v>1162</v>
      </c>
      <c r="O42" t="s">
        <v>267</v>
      </c>
      <c r="P42" t="s">
        <v>397</v>
      </c>
      <c r="Q42" t="s">
        <v>1164</v>
      </c>
      <c r="R42">
        <v>21</v>
      </c>
      <c r="S42">
        <v>42</v>
      </c>
      <c r="T42">
        <v>617</v>
      </c>
      <c r="U42">
        <v>-1</v>
      </c>
      <c r="V42" t="b">
        <v>1</v>
      </c>
      <c r="W42" t="s">
        <v>298</v>
      </c>
      <c r="Y42" t="s">
        <v>960</v>
      </c>
      <c r="AB42">
        <v>2469</v>
      </c>
      <c r="AC42" t="s">
        <v>1021</v>
      </c>
      <c r="AM42" s="38">
        <f t="shared" si="5"/>
        <v>2</v>
      </c>
      <c r="AN42" s="38">
        <v>1</v>
      </c>
      <c r="AO42" t="str">
        <f>$D43</f>
        <v>ROM_GFX_VCHK_K_END_TITO_SAME_NOM_LFM_0400_ROM</v>
      </c>
      <c r="AP42" t="str">
        <f>$D43</f>
        <v>ROM_GFX_VCHK_K_END_TITO_SAME_NOM_LFM_0400_ROM</v>
      </c>
    </row>
    <row r="43" spans="1:50" x14ac:dyDescent="0.35">
      <c r="A43" s="22" t="s">
        <v>21</v>
      </c>
      <c r="B43" s="22" t="s">
        <v>62</v>
      </c>
      <c r="C43" s="22" t="str">
        <f>VLOOKUP(B43,templateLookup!A:B,2,0)</f>
        <v>PrimeVminSearchTestMethod</v>
      </c>
      <c r="D43" t="str">
        <f t="shared" si="6"/>
        <v>ROM_GFX_VCHK_K_END_TITO_SAME_NOM_LFM_0400_ROM</v>
      </c>
      <c r="E43" t="s">
        <v>6</v>
      </c>
      <c r="F43" t="s">
        <v>251</v>
      </c>
      <c r="G43" t="s">
        <v>1018</v>
      </c>
      <c r="H43" t="s">
        <v>253</v>
      </c>
      <c r="I43" t="s">
        <v>260</v>
      </c>
      <c r="J43" t="s">
        <v>504</v>
      </c>
      <c r="K43" t="s">
        <v>284</v>
      </c>
      <c r="L43" t="s">
        <v>285</v>
      </c>
      <c r="M43" t="str">
        <f>TEXT(400,"0000")</f>
        <v>0400</v>
      </c>
      <c r="N43" t="s">
        <v>6</v>
      </c>
      <c r="O43" t="s">
        <v>267</v>
      </c>
      <c r="P43" t="s">
        <v>397</v>
      </c>
      <c r="Q43" t="s">
        <v>1165</v>
      </c>
      <c r="R43">
        <v>21</v>
      </c>
      <c r="S43">
        <v>42</v>
      </c>
      <c r="T43">
        <v>630</v>
      </c>
      <c r="U43">
        <v>-1</v>
      </c>
      <c r="V43" t="b">
        <v>1</v>
      </c>
      <c r="W43" t="s">
        <v>298</v>
      </c>
      <c r="Y43" t="s">
        <v>960</v>
      </c>
      <c r="AB43">
        <v>2482</v>
      </c>
      <c r="AC43" t="s">
        <v>1021</v>
      </c>
      <c r="AM43" s="38">
        <f t="shared" si="5"/>
        <v>2</v>
      </c>
      <c r="AN43" s="38">
        <v>1</v>
      </c>
      <c r="AO43">
        <v>1</v>
      </c>
      <c r="AP43">
        <v>1</v>
      </c>
    </row>
    <row r="44" spans="1:50" x14ac:dyDescent="0.35">
      <c r="A44" s="21" t="s">
        <v>21</v>
      </c>
      <c r="B44" s="21" t="s">
        <v>50</v>
      </c>
      <c r="C44" s="21" t="str">
        <f>VLOOKUP(B44,templateLookup!A:B,2,0)</f>
        <v>COMPOSITE</v>
      </c>
      <c r="D44" s="10"/>
    </row>
    <row r="45" spans="1:50" x14ac:dyDescent="0.35">
      <c r="A45" s="20" t="s">
        <v>21</v>
      </c>
      <c r="B45" s="20" t="s">
        <v>49</v>
      </c>
      <c r="C45" s="20" t="str">
        <f>VLOOKUP(B45,templateLookup!A:B,2,0)</f>
        <v>COMPOSITE</v>
      </c>
      <c r="D45" s="10" t="s">
        <v>1036</v>
      </c>
      <c r="F45" t="s">
        <v>251</v>
      </c>
      <c r="AM45" s="38">
        <f>COUNTA(AO45:AX45)</f>
        <v>2</v>
      </c>
      <c r="AN45" s="38">
        <v>1</v>
      </c>
      <c r="AO45" t="str">
        <f>D51</f>
        <v>PMOVI</v>
      </c>
      <c r="AP45" t="str">
        <f>D51</f>
        <v>PMOVI</v>
      </c>
    </row>
    <row r="46" spans="1:50" x14ac:dyDescent="0.35">
      <c r="A46" s="16" t="s">
        <v>21</v>
      </c>
      <c r="B46" s="16" t="s">
        <v>62</v>
      </c>
      <c r="C46" s="16" t="str">
        <f>VLOOKUP(B46,templateLookup!A:B,2,0)</f>
        <v>PrimeVminSearchTestMethod</v>
      </c>
      <c r="D46" t="str">
        <f>E46&amp;"_"&amp;F46&amp;"_"&amp;G46&amp;"_"&amp;H46&amp;"_"&amp;A46&amp;"_"&amp;I46&amp;"_"&amp;J46&amp;"_"&amp;K46&amp;"_"&amp;L46&amp;"_"&amp;M46&amp;"_"&amp;N46</f>
        <v>ALL_GFX_VCHK_K_END_TITO_SACD_MAX_LFM_0320_DE</v>
      </c>
      <c r="E46" t="s">
        <v>7</v>
      </c>
      <c r="F46" t="s">
        <v>251</v>
      </c>
      <c r="G46" t="s">
        <v>1018</v>
      </c>
      <c r="H46" t="s">
        <v>253</v>
      </c>
      <c r="I46" t="s">
        <v>260</v>
      </c>
      <c r="J46" t="s">
        <v>395</v>
      </c>
      <c r="K46" t="s">
        <v>357</v>
      </c>
      <c r="L46" t="s">
        <v>285</v>
      </c>
      <c r="M46" t="str">
        <f>TEXT(320,"0000")</f>
        <v>0320</v>
      </c>
      <c r="N46" t="s">
        <v>1137</v>
      </c>
      <c r="O46" t="s">
        <v>267</v>
      </c>
      <c r="P46" t="s">
        <v>397</v>
      </c>
      <c r="Q46" t="s">
        <v>1138</v>
      </c>
      <c r="R46">
        <v>17</v>
      </c>
      <c r="S46">
        <v>61</v>
      </c>
      <c r="T46">
        <v>520</v>
      </c>
      <c r="U46">
        <v>1</v>
      </c>
      <c r="V46" t="b">
        <v>0</v>
      </c>
      <c r="W46" t="s">
        <v>298</v>
      </c>
      <c r="Y46" t="s">
        <v>960</v>
      </c>
      <c r="AB46">
        <v>2485</v>
      </c>
      <c r="AC46" t="s">
        <v>1021</v>
      </c>
      <c r="AM46" s="38">
        <f>COUNTA(AO46:AX46)</f>
        <v>2</v>
      </c>
      <c r="AN46" s="38">
        <v>1</v>
      </c>
      <c r="AO46" t="str">
        <f>D47</f>
        <v>ALL_GFX_VCHK_K_END_TITO_SAPS_MAX_LFM_0200_IPU_PS</v>
      </c>
      <c r="AP46" t="str">
        <f>D47</f>
        <v>ALL_GFX_VCHK_K_END_TITO_SAPS_MAX_LFM_0200_IPU_PS</v>
      </c>
    </row>
    <row r="47" spans="1:50" x14ac:dyDescent="0.35">
      <c r="A47" s="16" t="s">
        <v>21</v>
      </c>
      <c r="B47" s="16" t="s">
        <v>62</v>
      </c>
      <c r="C47" s="16" t="str">
        <f>VLOOKUP(B47,templateLookup!A:B,2,0)</f>
        <v>PrimeVminSearchTestMethod</v>
      </c>
      <c r="D47" t="str">
        <f>E47&amp;"_"&amp;F47&amp;"_"&amp;G47&amp;"_"&amp;H47&amp;"_"&amp;A47&amp;"_"&amp;I47&amp;"_"&amp;J47&amp;"_"&amp;K47&amp;"_"&amp;L47&amp;"_"&amp;M47&amp;"_"&amp;N47</f>
        <v>ALL_GFX_VCHK_K_END_TITO_SAPS_MAX_LFM_0200_IPU_PS</v>
      </c>
      <c r="E47" t="s">
        <v>7</v>
      </c>
      <c r="F47" t="s">
        <v>251</v>
      </c>
      <c r="G47" t="s">
        <v>1018</v>
      </c>
      <c r="H47" t="s">
        <v>253</v>
      </c>
      <c r="I47" t="s">
        <v>260</v>
      </c>
      <c r="J47" t="s">
        <v>460</v>
      </c>
      <c r="K47" t="s">
        <v>357</v>
      </c>
      <c r="L47" t="s">
        <v>285</v>
      </c>
      <c r="M47" t="str">
        <f>TEXT(200,"0000")</f>
        <v>0200</v>
      </c>
      <c r="N47" t="s">
        <v>1139</v>
      </c>
      <c r="O47" t="s">
        <v>267</v>
      </c>
      <c r="P47" t="s">
        <v>397</v>
      </c>
      <c r="Q47" t="s">
        <v>1140</v>
      </c>
      <c r="R47">
        <v>17</v>
      </c>
      <c r="S47">
        <v>61</v>
      </c>
      <c r="T47">
        <v>521</v>
      </c>
      <c r="U47">
        <v>1</v>
      </c>
      <c r="V47" t="b">
        <v>0</v>
      </c>
      <c r="W47" t="s">
        <v>298</v>
      </c>
      <c r="Y47" t="s">
        <v>960</v>
      </c>
      <c r="AB47">
        <v>2486</v>
      </c>
      <c r="AC47" t="s">
        <v>1021</v>
      </c>
      <c r="AM47" s="38">
        <f>COUNTA(AO47:AX47)</f>
        <v>2</v>
      </c>
      <c r="AN47" s="38">
        <v>1</v>
      </c>
      <c r="AO47" t="str">
        <f>D48</f>
        <v>ALL_GFX_VCHK_K_END_TITO_SAIS_MAX_LFM_0200_IPU_IS</v>
      </c>
      <c r="AP47" t="str">
        <f>D48</f>
        <v>ALL_GFX_VCHK_K_END_TITO_SAIS_MAX_LFM_0200_IPU_IS</v>
      </c>
    </row>
    <row r="48" spans="1:50" x14ac:dyDescent="0.35">
      <c r="A48" s="16" t="s">
        <v>21</v>
      </c>
      <c r="B48" s="16" t="s">
        <v>62</v>
      </c>
      <c r="C48" s="16" t="str">
        <f>VLOOKUP(B48,templateLookup!A:B,2,0)</f>
        <v>PrimeVminSearchTestMethod</v>
      </c>
      <c r="D48" t="str">
        <f>E48&amp;"_"&amp;F48&amp;"_"&amp;G48&amp;"_"&amp;H48&amp;"_"&amp;A48&amp;"_"&amp;I48&amp;"_"&amp;J48&amp;"_"&amp;K48&amp;"_"&amp;L48&amp;"_"&amp;M48&amp;"_"&amp;N48</f>
        <v>ALL_GFX_VCHK_K_END_TITO_SAIS_MAX_LFM_0200_IPU_IS</v>
      </c>
      <c r="E48" t="s">
        <v>7</v>
      </c>
      <c r="F48" t="s">
        <v>251</v>
      </c>
      <c r="G48" t="s">
        <v>1018</v>
      </c>
      <c r="H48" t="s">
        <v>253</v>
      </c>
      <c r="I48" t="s">
        <v>260</v>
      </c>
      <c r="J48" t="s">
        <v>1142</v>
      </c>
      <c r="K48" t="s">
        <v>357</v>
      </c>
      <c r="L48" t="s">
        <v>285</v>
      </c>
      <c r="M48" t="str">
        <f>TEXT(200,"0000")</f>
        <v>0200</v>
      </c>
      <c r="N48" t="s">
        <v>1143</v>
      </c>
      <c r="O48" t="s">
        <v>267</v>
      </c>
      <c r="P48" t="s">
        <v>397</v>
      </c>
      <c r="Q48" t="s">
        <v>1144</v>
      </c>
      <c r="R48">
        <v>17</v>
      </c>
      <c r="S48">
        <v>61</v>
      </c>
      <c r="T48">
        <v>522</v>
      </c>
      <c r="U48">
        <v>1</v>
      </c>
      <c r="V48" t="b">
        <v>0</v>
      </c>
      <c r="W48" t="s">
        <v>298</v>
      </c>
      <c r="Y48" t="s">
        <v>960</v>
      </c>
      <c r="AB48">
        <v>2487</v>
      </c>
      <c r="AC48" t="s">
        <v>1021</v>
      </c>
      <c r="AM48" s="38">
        <f>COUNTA(AO48:AX48)</f>
        <v>2</v>
      </c>
      <c r="AN48" s="38">
        <v>1</v>
      </c>
      <c r="AO48" t="str">
        <f>D49</f>
        <v>ALL_GFX_VCHK_K_END_TITO_SAME_MAX_LFM_0400_MEDIA</v>
      </c>
      <c r="AP48" t="str">
        <f>D49</f>
        <v>ALL_GFX_VCHK_K_END_TITO_SAME_MAX_LFM_0400_MEDIA</v>
      </c>
    </row>
    <row r="49" spans="1:50" x14ac:dyDescent="0.35">
      <c r="A49" s="16" t="s">
        <v>21</v>
      </c>
      <c r="B49" s="16" t="s">
        <v>62</v>
      </c>
      <c r="C49" s="16" t="str">
        <f>VLOOKUP(B49,templateLookup!A:B,2,0)</f>
        <v>PrimeVminSearchTestMethod</v>
      </c>
      <c r="D49" t="str">
        <f>E49&amp;"_"&amp;F49&amp;"_"&amp;G49&amp;"_"&amp;H49&amp;"_"&amp;A49&amp;"_"&amp;I49&amp;"_"&amp;J49&amp;"_"&amp;K49&amp;"_"&amp;L49&amp;"_"&amp;M49&amp;"_"&amp;N49</f>
        <v>ALL_GFX_VCHK_K_END_TITO_SAME_MAX_LFM_0400_MEDIA</v>
      </c>
      <c r="E49" t="s">
        <v>7</v>
      </c>
      <c r="F49" t="s">
        <v>251</v>
      </c>
      <c r="G49" t="s">
        <v>1018</v>
      </c>
      <c r="H49" t="s">
        <v>253</v>
      </c>
      <c r="I49" t="s">
        <v>260</v>
      </c>
      <c r="J49" t="s">
        <v>504</v>
      </c>
      <c r="K49" t="s">
        <v>357</v>
      </c>
      <c r="L49" t="s">
        <v>285</v>
      </c>
      <c r="M49" t="str">
        <f>TEXT(400,"0000")</f>
        <v>0400</v>
      </c>
      <c r="N49" t="s">
        <v>1146</v>
      </c>
      <c r="O49" t="s">
        <v>267</v>
      </c>
      <c r="P49" t="s">
        <v>397</v>
      </c>
      <c r="Q49" t="s">
        <v>1147</v>
      </c>
      <c r="R49">
        <v>17</v>
      </c>
      <c r="S49">
        <v>61</v>
      </c>
      <c r="T49">
        <v>523</v>
      </c>
      <c r="U49">
        <v>1</v>
      </c>
      <c r="V49" t="b">
        <v>0</v>
      </c>
      <c r="W49" t="s">
        <v>298</v>
      </c>
      <c r="Y49" t="s">
        <v>960</v>
      </c>
      <c r="AB49">
        <v>2488</v>
      </c>
      <c r="AC49" t="s">
        <v>1021</v>
      </c>
      <c r="AM49" s="38">
        <f>COUNTA(AO49:AX49)</f>
        <v>2</v>
      </c>
      <c r="AN49" s="38">
        <v>1</v>
      </c>
      <c r="AO49">
        <v>1</v>
      </c>
      <c r="AP49">
        <v>1</v>
      </c>
    </row>
    <row r="50" spans="1:50" x14ac:dyDescent="0.35">
      <c r="A50" s="20" t="s">
        <v>21</v>
      </c>
      <c r="B50" s="20" t="s">
        <v>50</v>
      </c>
      <c r="C50" s="20" t="str">
        <f>VLOOKUP(B50,templateLookup!A:B,2,0)</f>
        <v>COMPOSITE</v>
      </c>
      <c r="D50" s="10"/>
    </row>
    <row r="51" spans="1:50" x14ac:dyDescent="0.35">
      <c r="A51" s="21" t="s">
        <v>21</v>
      </c>
      <c r="B51" s="21" t="s">
        <v>49</v>
      </c>
      <c r="C51" s="21" t="str">
        <f>VLOOKUP(B51,templateLookup!A:B,2,0)</f>
        <v>COMPOSITE</v>
      </c>
      <c r="D51" s="10" t="s">
        <v>1029</v>
      </c>
      <c r="F51" t="s">
        <v>251</v>
      </c>
      <c r="AM51" s="38">
        <f>COUNTA(AO51:AX51)</f>
        <v>2</v>
      </c>
      <c r="AN51" s="38">
        <v>1</v>
      </c>
      <c r="AO51">
        <v>1</v>
      </c>
      <c r="AP51">
        <v>1</v>
      </c>
      <c r="AS51" s="6"/>
      <c r="AT51" s="6"/>
      <c r="AU51" s="6"/>
      <c r="AV51" s="6"/>
      <c r="AW51" s="6"/>
      <c r="AX51" s="6"/>
    </row>
    <row r="52" spans="1:50" x14ac:dyDescent="0.35">
      <c r="A52" s="21" t="s">
        <v>21</v>
      </c>
      <c r="B52" s="21" t="s">
        <v>49</v>
      </c>
      <c r="C52" s="21" t="str">
        <f>VLOOKUP(B52,templateLookup!A:B,2,0)</f>
        <v>COMPOSITE</v>
      </c>
      <c r="D52" s="10" t="s">
        <v>1166</v>
      </c>
      <c r="F52" t="s">
        <v>251</v>
      </c>
      <c r="AM52" s="38">
        <f>COUNTA(AO52:AX52)</f>
        <v>2</v>
      </c>
      <c r="AN52" s="38">
        <v>1</v>
      </c>
      <c r="AO52" t="str">
        <f>D55</f>
        <v>PMOVI_IPU</v>
      </c>
      <c r="AP52" t="str">
        <f>D55</f>
        <v>PMOVI_IPU</v>
      </c>
      <c r="AS52" s="6"/>
      <c r="AT52" s="6"/>
      <c r="AU52" s="6"/>
      <c r="AV52" s="6"/>
      <c r="AW52" s="6"/>
      <c r="AX52" s="6"/>
    </row>
    <row r="53" spans="1:50" x14ac:dyDescent="0.35">
      <c r="A53" s="22" t="s">
        <v>21</v>
      </c>
      <c r="B53" s="22" t="s">
        <v>62</v>
      </c>
      <c r="C53" s="22" t="str">
        <f>VLOOKUP(B53,templateLookup!A:B,2,0)</f>
        <v>PrimeVminSearchTestMethod</v>
      </c>
      <c r="D53" t="str">
        <f>E53&amp;"_"&amp;F53&amp;"_"&amp;G53&amp;"_"&amp;H53&amp;"_"&amp;A53&amp;"_"&amp;I53&amp;"_"&amp;J53&amp;"_"&amp;K53&amp;"_"&amp;L53&amp;"_"&amp;M53&amp;"_"&amp;N53</f>
        <v>ALL_GFX_VCHK_K_END_TITO_SACD_NOM_LFM_0320_PMOVI_DE</v>
      </c>
      <c r="E53" t="s">
        <v>7</v>
      </c>
      <c r="F53" t="s">
        <v>251</v>
      </c>
      <c r="G53" t="s">
        <v>1018</v>
      </c>
      <c r="H53" t="s">
        <v>253</v>
      </c>
      <c r="I53" t="s">
        <v>260</v>
      </c>
      <c r="J53" t="s">
        <v>395</v>
      </c>
      <c r="K53" t="s">
        <v>284</v>
      </c>
      <c r="L53" t="s">
        <v>285</v>
      </c>
      <c r="M53" t="str">
        <f>TEXT(320,"0000")</f>
        <v>0320</v>
      </c>
      <c r="N53" t="s">
        <v>1166</v>
      </c>
      <c r="O53" t="s">
        <v>1012</v>
      </c>
      <c r="P53" t="s">
        <v>397</v>
      </c>
      <c r="Q53" t="s">
        <v>1167</v>
      </c>
      <c r="R53">
        <v>21</v>
      </c>
      <c r="S53">
        <v>42</v>
      </c>
      <c r="T53">
        <v>670</v>
      </c>
      <c r="U53">
        <v>1</v>
      </c>
      <c r="V53" t="b">
        <v>0</v>
      </c>
      <c r="W53" t="s">
        <v>298</v>
      </c>
      <c r="Y53" t="s">
        <v>960</v>
      </c>
      <c r="AB53">
        <v>8000</v>
      </c>
      <c r="AC53" t="s">
        <v>1021</v>
      </c>
      <c r="AM53" s="38">
        <f>COUNTA(AO53:AX53)</f>
        <v>2</v>
      </c>
      <c r="AN53" s="38">
        <v>1</v>
      </c>
      <c r="AO53">
        <v>1</v>
      </c>
      <c r="AP53">
        <v>1</v>
      </c>
    </row>
    <row r="54" spans="1:50" x14ac:dyDescent="0.35">
      <c r="A54" s="21" t="s">
        <v>21</v>
      </c>
      <c r="B54" s="21" t="s">
        <v>50</v>
      </c>
      <c r="C54" s="21" t="str">
        <f>VLOOKUP(B54,templateLookup!A:B,2,0)</f>
        <v>COMPOSITE</v>
      </c>
      <c r="D54" s="14"/>
    </row>
    <row r="55" spans="1:50" x14ac:dyDescent="0.35">
      <c r="A55" s="21" t="s">
        <v>21</v>
      </c>
      <c r="B55" s="21" t="s">
        <v>49</v>
      </c>
      <c r="C55" s="21" t="str">
        <f>VLOOKUP(B55,templateLookup!A:B,2,0)</f>
        <v>COMPOSITE</v>
      </c>
      <c r="D55" s="10" t="s">
        <v>1168</v>
      </c>
      <c r="F55" t="s">
        <v>251</v>
      </c>
      <c r="AM55" s="38">
        <f>COUNTA(AO55:AX55)</f>
        <v>2</v>
      </c>
      <c r="AN55" s="38">
        <v>1</v>
      </c>
      <c r="AO55" t="str">
        <f>D59</f>
        <v>PMOVI_MEDIA</v>
      </c>
      <c r="AP55" t="str">
        <f>D59</f>
        <v>PMOVI_MEDIA</v>
      </c>
      <c r="AS55" s="6"/>
      <c r="AT55" s="6"/>
      <c r="AU55" s="6"/>
      <c r="AV55" s="6"/>
      <c r="AW55" s="6"/>
      <c r="AX55" s="6"/>
    </row>
    <row r="56" spans="1:50" x14ac:dyDescent="0.35">
      <c r="A56" s="22" t="s">
        <v>21</v>
      </c>
      <c r="B56" s="22" t="s">
        <v>62</v>
      </c>
      <c r="C56" s="22" t="str">
        <f>VLOOKUP(B56,templateLookup!A:B,2,0)</f>
        <v>PrimeVminSearchTestMethod</v>
      </c>
      <c r="D56" t="str">
        <f>E56&amp;"_"&amp;F56&amp;"_"&amp;G56&amp;"_"&amp;H56&amp;"_"&amp;A56&amp;"_"&amp;I56&amp;"_"&amp;J56&amp;"_"&amp;K56&amp;"_"&amp;L56&amp;"_"&amp;M56&amp;"_"&amp;N56</f>
        <v>ALL_GFX_VCHK_K_END_TITO_SAPS_NOM_LFM_0200_PMOVI_IPU_PS</v>
      </c>
      <c r="E56" t="s">
        <v>7</v>
      </c>
      <c r="F56" t="s">
        <v>251</v>
      </c>
      <c r="G56" t="s">
        <v>1018</v>
      </c>
      <c r="H56" t="s">
        <v>253</v>
      </c>
      <c r="I56" t="s">
        <v>260</v>
      </c>
      <c r="J56" t="s">
        <v>460</v>
      </c>
      <c r="K56" t="s">
        <v>284</v>
      </c>
      <c r="L56" t="s">
        <v>285</v>
      </c>
      <c r="M56" t="str">
        <f>TEXT(200,"0000")</f>
        <v>0200</v>
      </c>
      <c r="N56" t="s">
        <v>1169</v>
      </c>
      <c r="O56" t="s">
        <v>1012</v>
      </c>
      <c r="P56" t="s">
        <v>397</v>
      </c>
      <c r="Q56" t="s">
        <v>1170</v>
      </c>
      <c r="R56">
        <v>21</v>
      </c>
      <c r="S56">
        <v>42</v>
      </c>
      <c r="T56">
        <v>681</v>
      </c>
      <c r="U56">
        <v>1</v>
      </c>
      <c r="V56" t="b">
        <v>0</v>
      </c>
      <c r="W56" t="s">
        <v>298</v>
      </c>
      <c r="Y56" t="s">
        <v>960</v>
      </c>
      <c r="AB56">
        <v>8013</v>
      </c>
      <c r="AC56" t="s">
        <v>1021</v>
      </c>
      <c r="AM56" s="38">
        <f>COUNTA(AO56:AX56)</f>
        <v>2</v>
      </c>
      <c r="AN56" s="38">
        <v>1</v>
      </c>
      <c r="AO56" t="str">
        <f>$D57</f>
        <v>ALL_GFX_VCHK_K_END_TITO_SAIS_NOM_LFM_0200_PMOVI_IPU_IS</v>
      </c>
      <c r="AP56" t="str">
        <f>$D57</f>
        <v>ALL_GFX_VCHK_K_END_TITO_SAIS_NOM_LFM_0200_PMOVI_IPU_IS</v>
      </c>
    </row>
    <row r="57" spans="1:50" x14ac:dyDescent="0.35">
      <c r="A57" s="22" t="s">
        <v>21</v>
      </c>
      <c r="B57" s="22" t="s">
        <v>62</v>
      </c>
      <c r="C57" s="22" t="str">
        <f>VLOOKUP(B57,templateLookup!A:B,2,0)</f>
        <v>PrimeVminSearchTestMethod</v>
      </c>
      <c r="D57" t="str">
        <f>E57&amp;"_"&amp;F57&amp;"_"&amp;G57&amp;"_"&amp;H57&amp;"_"&amp;A57&amp;"_"&amp;I57&amp;"_"&amp;J57&amp;"_"&amp;K57&amp;"_"&amp;L57&amp;"_"&amp;M57&amp;"_"&amp;N57</f>
        <v>ALL_GFX_VCHK_K_END_TITO_SAIS_NOM_LFM_0200_PMOVI_IPU_IS</v>
      </c>
      <c r="E57" t="s">
        <v>7</v>
      </c>
      <c r="F57" t="s">
        <v>251</v>
      </c>
      <c r="G57" t="s">
        <v>1018</v>
      </c>
      <c r="H57" t="s">
        <v>253</v>
      </c>
      <c r="I57" t="s">
        <v>260</v>
      </c>
      <c r="J57" t="s">
        <v>1142</v>
      </c>
      <c r="K57" t="s">
        <v>284</v>
      </c>
      <c r="L57" t="s">
        <v>285</v>
      </c>
      <c r="M57" t="str">
        <f>TEXT(200,"0000")</f>
        <v>0200</v>
      </c>
      <c r="N57" t="s">
        <v>1171</v>
      </c>
      <c r="O57" t="s">
        <v>1012</v>
      </c>
      <c r="P57" t="s">
        <v>397</v>
      </c>
      <c r="Q57" t="s">
        <v>1172</v>
      </c>
      <c r="R57">
        <v>21</v>
      </c>
      <c r="S57">
        <v>42</v>
      </c>
      <c r="T57">
        <v>691</v>
      </c>
      <c r="U57">
        <v>1</v>
      </c>
      <c r="V57" t="b">
        <v>0</v>
      </c>
      <c r="W57" t="s">
        <v>298</v>
      </c>
      <c r="Y57" t="s">
        <v>960</v>
      </c>
      <c r="AB57">
        <v>8023</v>
      </c>
      <c r="AC57" t="s">
        <v>1021</v>
      </c>
      <c r="AM57" s="38">
        <f>COUNTA(AO57:AX57)</f>
        <v>2</v>
      </c>
      <c r="AN57" s="38">
        <v>1</v>
      </c>
      <c r="AO57">
        <v>1</v>
      </c>
      <c r="AP57">
        <v>1</v>
      </c>
    </row>
    <row r="58" spans="1:50" x14ac:dyDescent="0.35">
      <c r="A58" s="21" t="s">
        <v>21</v>
      </c>
      <c r="B58" s="21" t="s">
        <v>50</v>
      </c>
      <c r="C58" s="21" t="str">
        <f>VLOOKUP(B58,templateLookup!A:B,2,0)</f>
        <v>COMPOSITE</v>
      </c>
      <c r="D58" s="18"/>
    </row>
    <row r="59" spans="1:50" x14ac:dyDescent="0.35">
      <c r="A59" s="21" t="s">
        <v>21</v>
      </c>
      <c r="B59" s="21" t="s">
        <v>49</v>
      </c>
      <c r="C59" s="21" t="str">
        <f>VLOOKUP(B59,templateLookup!A:B,2,0)</f>
        <v>COMPOSITE</v>
      </c>
      <c r="D59" s="10" t="s">
        <v>1173</v>
      </c>
      <c r="F59" t="s">
        <v>251</v>
      </c>
      <c r="AM59" s="38">
        <f>COUNTA(AO59:AX59)</f>
        <v>2</v>
      </c>
      <c r="AN59" s="38">
        <v>1</v>
      </c>
      <c r="AO59">
        <v>1</v>
      </c>
      <c r="AP59">
        <v>1</v>
      </c>
      <c r="AS59" s="6"/>
      <c r="AT59" s="6"/>
      <c r="AU59" s="6"/>
      <c r="AV59" s="6"/>
      <c r="AW59" s="6"/>
      <c r="AX59" s="6"/>
    </row>
    <row r="60" spans="1:50" x14ac:dyDescent="0.35">
      <c r="A60" s="22" t="s">
        <v>21</v>
      </c>
      <c r="B60" s="22" t="s">
        <v>62</v>
      </c>
      <c r="C60" s="22" t="str">
        <f>VLOOKUP(B60,templateLookup!A:B,2,0)</f>
        <v>PrimeVminSearchTestMethod</v>
      </c>
      <c r="D60" t="str">
        <f>E60&amp;"_"&amp;F60&amp;"_"&amp;G60&amp;"_"&amp;H60&amp;"_"&amp;A60&amp;"_"&amp;I60&amp;"_"&amp;J60&amp;"_"&amp;K60&amp;"_"&amp;L60&amp;"_"&amp;M60&amp;"_"&amp;N60</f>
        <v>ALL_GFX_VCHK_K_END_TITO_SAME_NOM_LFM_0400_PMOVI_MEDIA</v>
      </c>
      <c r="E60" t="s">
        <v>7</v>
      </c>
      <c r="F60" t="s">
        <v>251</v>
      </c>
      <c r="G60" t="s">
        <v>1018</v>
      </c>
      <c r="H60" t="s">
        <v>253</v>
      </c>
      <c r="I60" t="s">
        <v>260</v>
      </c>
      <c r="J60" t="s">
        <v>504</v>
      </c>
      <c r="K60" t="s">
        <v>284</v>
      </c>
      <c r="L60" t="s">
        <v>285</v>
      </c>
      <c r="M60" t="str">
        <f>TEXT(400,"0000")</f>
        <v>0400</v>
      </c>
      <c r="N60" t="s">
        <v>1173</v>
      </c>
      <c r="O60" t="s">
        <v>1012</v>
      </c>
      <c r="P60" t="s">
        <v>397</v>
      </c>
      <c r="Q60" t="s">
        <v>1174</v>
      </c>
      <c r="R60">
        <v>21</v>
      </c>
      <c r="S60">
        <v>42</v>
      </c>
      <c r="T60">
        <v>692</v>
      </c>
      <c r="U60">
        <v>1</v>
      </c>
      <c r="V60" t="b">
        <v>0</v>
      </c>
      <c r="W60" t="s">
        <v>298</v>
      </c>
      <c r="Y60" t="s">
        <v>960</v>
      </c>
      <c r="AB60">
        <v>8026</v>
      </c>
      <c r="AC60" t="s">
        <v>1021</v>
      </c>
      <c r="AM60" s="38">
        <f>COUNTA(AO60:AX60)</f>
        <v>2</v>
      </c>
      <c r="AN60" s="38">
        <v>1</v>
      </c>
      <c r="AO60" t="str">
        <f>$D61</f>
        <v>ROM_GFX_VCHK_K_END_TITO_SAME_NOM_LFM_0400_PMOVI_MEDIA_ROM</v>
      </c>
      <c r="AP60" t="str">
        <f>$D61</f>
        <v>ROM_GFX_VCHK_K_END_TITO_SAME_NOM_LFM_0400_PMOVI_MEDIA_ROM</v>
      </c>
    </row>
    <row r="61" spans="1:50" x14ac:dyDescent="0.35">
      <c r="A61" s="22" t="s">
        <v>21</v>
      </c>
      <c r="B61" s="22" t="s">
        <v>62</v>
      </c>
      <c r="C61" s="22" t="str">
        <f>VLOOKUP(B61,templateLookup!A:B,2,0)</f>
        <v>PrimeVminSearchTestMethod</v>
      </c>
      <c r="D61" t="str">
        <f>E61&amp;"_"&amp;F61&amp;"_"&amp;G61&amp;"_"&amp;H61&amp;"_"&amp;A61&amp;"_"&amp;I61&amp;"_"&amp;J61&amp;"_"&amp;K61&amp;"_"&amp;L61&amp;"_"&amp;M61&amp;"_"&amp;N61</f>
        <v>ROM_GFX_VCHK_K_END_TITO_SAME_NOM_LFM_0400_PMOVI_MEDIA_ROM</v>
      </c>
      <c r="E61" t="s">
        <v>6</v>
      </c>
      <c r="F61" t="s">
        <v>251</v>
      </c>
      <c r="G61" t="s">
        <v>1018</v>
      </c>
      <c r="H61" t="s">
        <v>253</v>
      </c>
      <c r="I61" t="s">
        <v>260</v>
      </c>
      <c r="J61" t="s">
        <v>504</v>
      </c>
      <c r="K61" t="s">
        <v>284</v>
      </c>
      <c r="L61" t="s">
        <v>285</v>
      </c>
      <c r="M61" t="str">
        <f>TEXT(400,"0000")</f>
        <v>0400</v>
      </c>
      <c r="N61" t="s">
        <v>1175</v>
      </c>
      <c r="O61" t="s">
        <v>1012</v>
      </c>
      <c r="P61" t="s">
        <v>397</v>
      </c>
      <c r="Q61" t="s">
        <v>1176</v>
      </c>
      <c r="R61">
        <v>21</v>
      </c>
      <c r="S61">
        <v>42</v>
      </c>
      <c r="T61">
        <v>706</v>
      </c>
      <c r="U61">
        <v>1</v>
      </c>
      <c r="V61" t="b">
        <v>0</v>
      </c>
      <c r="W61" t="s">
        <v>298</v>
      </c>
      <c r="Y61" t="s">
        <v>960</v>
      </c>
      <c r="AB61">
        <v>8040</v>
      </c>
      <c r="AC61" t="s">
        <v>1021</v>
      </c>
      <c r="AM61" s="38">
        <f>COUNTA(AO61:AX61)</f>
        <v>2</v>
      </c>
      <c r="AN61" s="38">
        <v>1</v>
      </c>
      <c r="AO61">
        <v>1</v>
      </c>
      <c r="AP61">
        <v>1</v>
      </c>
    </row>
    <row r="62" spans="1:50" x14ac:dyDescent="0.35">
      <c r="A62" s="21" t="s">
        <v>21</v>
      </c>
      <c r="B62" s="21" t="s">
        <v>50</v>
      </c>
      <c r="C62" s="21" t="str">
        <f>VLOOKUP(B62,templateLookup!A:B,2,0)</f>
        <v>COMPOSITE</v>
      </c>
      <c r="D62" s="10"/>
    </row>
    <row r="63" spans="1:50" x14ac:dyDescent="0.35">
      <c r="A63" s="21" t="s">
        <v>21</v>
      </c>
      <c r="B63" s="21" t="s">
        <v>50</v>
      </c>
      <c r="C63" s="21" t="str">
        <f>VLOOKUP(B63,templateLookup!A:B,2,0)</f>
        <v>COMPOSITE</v>
      </c>
      <c r="D63" s="10"/>
    </row>
    <row r="64" spans="1:50" x14ac:dyDescent="0.35">
      <c r="A64" s="32" t="s">
        <v>21</v>
      </c>
      <c r="B64" s="32" t="s">
        <v>49</v>
      </c>
      <c r="C64" s="32" t="str">
        <f>VLOOKUP(B64,templateLookup!A:B,2,0)</f>
        <v>COMPOSITE</v>
      </c>
      <c r="D64" s="10" t="s">
        <v>1011</v>
      </c>
      <c r="F64" t="s">
        <v>251</v>
      </c>
      <c r="AM64" s="38">
        <f t="shared" ref="AM64:AM73" si="7">COUNTA(AO64:AX64)</f>
        <v>2</v>
      </c>
      <c r="AN64" s="38">
        <v>1</v>
      </c>
      <c r="AO64">
        <v>1</v>
      </c>
      <c r="AP64">
        <v>1</v>
      </c>
    </row>
    <row r="65" spans="1:50" x14ac:dyDescent="0.35">
      <c r="A65" s="33" t="s">
        <v>21</v>
      </c>
      <c r="B65" s="33" t="s">
        <v>99</v>
      </c>
      <c r="C65" s="33" t="str">
        <f>VLOOKUP(B65,templateLookup!A:B,2,0)</f>
        <v>PrimeShmooTestMethod</v>
      </c>
      <c r="D65" t="str">
        <f t="shared" ref="D65:D73" si="8">E65&amp;"_"&amp;F65&amp;"_"&amp;G65&amp;"_"&amp;H65&amp;"_"&amp;A65&amp;"_"&amp;I65&amp;"_"&amp;J65&amp;"_"&amp;K65&amp;"_"&amp;L65&amp;"_"&amp;M65&amp;"_"&amp;N65</f>
        <v>SSA_GFX_SHMOO_E_END_TITO_SACD_NOM_LFM_0320_ALL_DE</v>
      </c>
      <c r="E65" t="s">
        <v>4</v>
      </c>
      <c r="F65" t="s">
        <v>251</v>
      </c>
      <c r="G65" t="s">
        <v>1011</v>
      </c>
      <c r="H65" t="s">
        <v>207</v>
      </c>
      <c r="I65" t="s">
        <v>260</v>
      </c>
      <c r="J65" t="s">
        <v>395</v>
      </c>
      <c r="K65" t="s">
        <v>284</v>
      </c>
      <c r="L65" t="s">
        <v>285</v>
      </c>
      <c r="M65" t="str">
        <f>TEXT(320,"0000")</f>
        <v>0320</v>
      </c>
      <c r="N65" t="s">
        <v>1154</v>
      </c>
      <c r="O65" t="s">
        <v>1012</v>
      </c>
      <c r="P65" t="s">
        <v>397</v>
      </c>
      <c r="Q65" t="s">
        <v>1155</v>
      </c>
      <c r="R65">
        <v>61</v>
      </c>
      <c r="S65">
        <v>42</v>
      </c>
      <c r="T65">
        <v>800</v>
      </c>
      <c r="U65">
        <v>1</v>
      </c>
      <c r="V65" t="b">
        <v>0</v>
      </c>
      <c r="W65" t="s">
        <v>298</v>
      </c>
      <c r="X65" t="s">
        <v>1062</v>
      </c>
      <c r="AM65" s="38">
        <f t="shared" si="7"/>
        <v>4</v>
      </c>
      <c r="AN65" s="38" t="s">
        <v>920</v>
      </c>
      <c r="AO65" t="str">
        <f t="shared" ref="AO65:AR72" si="9">$D66</f>
        <v>LSA_GFX_SHMOO_E_END_TITO_SACD_NOM_LFM_0320_ALL_DE</v>
      </c>
      <c r="AP65" t="str">
        <f t="shared" si="9"/>
        <v>LSA_GFX_SHMOO_E_END_TITO_SACD_NOM_LFM_0320_ALL_DE</v>
      </c>
      <c r="AQ65" t="str">
        <f t="shared" si="9"/>
        <v>LSA_GFX_SHMOO_E_END_TITO_SACD_NOM_LFM_0320_ALL_DE</v>
      </c>
      <c r="AR65" t="str">
        <f t="shared" si="9"/>
        <v>LSA_GFX_SHMOO_E_END_TITO_SACD_NOM_LFM_0320_ALL_DE</v>
      </c>
    </row>
    <row r="66" spans="1:50" x14ac:dyDescent="0.35">
      <c r="A66" s="33" t="s">
        <v>21</v>
      </c>
      <c r="B66" s="33" t="s">
        <v>99</v>
      </c>
      <c r="C66" s="33" t="str">
        <f>VLOOKUP(B66,templateLookup!A:B,2,0)</f>
        <v>PrimeShmooTestMethod</v>
      </c>
      <c r="D66" t="str">
        <f t="shared" si="8"/>
        <v>LSA_GFX_SHMOO_E_END_TITO_SACD_NOM_LFM_0320_ALL_DE</v>
      </c>
      <c r="E66" t="s">
        <v>5</v>
      </c>
      <c r="F66" t="s">
        <v>251</v>
      </c>
      <c r="G66" t="s">
        <v>1011</v>
      </c>
      <c r="H66" t="s">
        <v>207</v>
      </c>
      <c r="I66" t="s">
        <v>260</v>
      </c>
      <c r="J66" t="s">
        <v>395</v>
      </c>
      <c r="K66" t="s">
        <v>284</v>
      </c>
      <c r="L66" t="s">
        <v>285</v>
      </c>
      <c r="M66" t="str">
        <f>TEXT(320,"0000")</f>
        <v>0320</v>
      </c>
      <c r="N66" t="s">
        <v>1154</v>
      </c>
      <c r="O66" t="s">
        <v>1012</v>
      </c>
      <c r="P66" t="s">
        <v>397</v>
      </c>
      <c r="Q66" t="s">
        <v>1156</v>
      </c>
      <c r="R66">
        <v>21</v>
      </c>
      <c r="S66">
        <v>42</v>
      </c>
      <c r="T66">
        <v>805</v>
      </c>
      <c r="U66">
        <v>1</v>
      </c>
      <c r="V66" t="b">
        <v>0</v>
      </c>
      <c r="W66" t="s">
        <v>298</v>
      </c>
      <c r="X66" t="s">
        <v>1062</v>
      </c>
      <c r="AM66" s="38">
        <f t="shared" si="7"/>
        <v>4</v>
      </c>
      <c r="AN66" s="38" t="s">
        <v>920</v>
      </c>
      <c r="AO66" t="str">
        <f t="shared" si="9"/>
        <v>SSA_GFX_SHMOO_E_END_TITO_SAIS_NOM_LFM_0200_ALL_IPU</v>
      </c>
      <c r="AP66" t="str">
        <f t="shared" si="9"/>
        <v>SSA_GFX_SHMOO_E_END_TITO_SAIS_NOM_LFM_0200_ALL_IPU</v>
      </c>
      <c r="AQ66" t="str">
        <f t="shared" si="9"/>
        <v>SSA_GFX_SHMOO_E_END_TITO_SAIS_NOM_LFM_0200_ALL_IPU</v>
      </c>
      <c r="AR66" t="str">
        <f t="shared" si="9"/>
        <v>SSA_GFX_SHMOO_E_END_TITO_SAIS_NOM_LFM_0200_ALL_IPU</v>
      </c>
    </row>
    <row r="67" spans="1:50" x14ac:dyDescent="0.35">
      <c r="A67" s="33" t="s">
        <v>21</v>
      </c>
      <c r="B67" s="33" t="s">
        <v>99</v>
      </c>
      <c r="C67" s="33" t="str">
        <f>VLOOKUP(B67,templateLookup!A:B,2,0)</f>
        <v>PrimeShmooTestMethod</v>
      </c>
      <c r="D67" t="str">
        <f t="shared" si="8"/>
        <v>SSA_GFX_SHMOO_E_END_TITO_SAIS_NOM_LFM_0200_ALL_IPU</v>
      </c>
      <c r="E67" t="s">
        <v>4</v>
      </c>
      <c r="F67" t="s">
        <v>251</v>
      </c>
      <c r="G67" t="s">
        <v>1011</v>
      </c>
      <c r="H67" t="s">
        <v>207</v>
      </c>
      <c r="I67" t="s">
        <v>260</v>
      </c>
      <c r="J67" t="s">
        <v>1142</v>
      </c>
      <c r="K67" t="s">
        <v>284</v>
      </c>
      <c r="L67" t="s">
        <v>285</v>
      </c>
      <c r="M67" t="str">
        <f>TEXT(200,"0000")</f>
        <v>0200</v>
      </c>
      <c r="N67" t="s">
        <v>1157</v>
      </c>
      <c r="O67" t="s">
        <v>1012</v>
      </c>
      <c r="P67" t="s">
        <v>397</v>
      </c>
      <c r="Q67" t="s">
        <v>1158</v>
      </c>
      <c r="R67">
        <v>61</v>
      </c>
      <c r="S67">
        <v>42</v>
      </c>
      <c r="T67">
        <v>812</v>
      </c>
      <c r="U67">
        <v>1</v>
      </c>
      <c r="V67" t="b">
        <v>0</v>
      </c>
      <c r="W67" t="s">
        <v>298</v>
      </c>
      <c r="X67" t="s">
        <v>1062</v>
      </c>
      <c r="AM67" s="38">
        <f t="shared" si="7"/>
        <v>4</v>
      </c>
      <c r="AN67" s="38" t="s">
        <v>920</v>
      </c>
      <c r="AO67" t="str">
        <f t="shared" si="9"/>
        <v>LSA_GFX_SHMOO_E_END_TITO_SAIS_NOM_LFM_0200_ALL_IPU</v>
      </c>
      <c r="AP67" t="str">
        <f t="shared" si="9"/>
        <v>LSA_GFX_SHMOO_E_END_TITO_SAIS_NOM_LFM_0200_ALL_IPU</v>
      </c>
      <c r="AQ67" t="str">
        <f t="shared" si="9"/>
        <v>LSA_GFX_SHMOO_E_END_TITO_SAIS_NOM_LFM_0200_ALL_IPU</v>
      </c>
      <c r="AR67" t="str">
        <f t="shared" si="9"/>
        <v>LSA_GFX_SHMOO_E_END_TITO_SAIS_NOM_LFM_0200_ALL_IPU</v>
      </c>
    </row>
    <row r="68" spans="1:50" x14ac:dyDescent="0.35">
      <c r="A68" s="33" t="s">
        <v>21</v>
      </c>
      <c r="B68" s="33" t="s">
        <v>99</v>
      </c>
      <c r="C68" s="33" t="str">
        <f>VLOOKUP(B68,templateLookup!A:B,2,0)</f>
        <v>PrimeShmooTestMethod</v>
      </c>
      <c r="D68" t="str">
        <f t="shared" si="8"/>
        <v>LSA_GFX_SHMOO_E_END_TITO_SAIS_NOM_LFM_0200_ALL_IPU</v>
      </c>
      <c r="E68" t="s">
        <v>5</v>
      </c>
      <c r="F68" t="s">
        <v>251</v>
      </c>
      <c r="G68" t="s">
        <v>1011</v>
      </c>
      <c r="H68" t="s">
        <v>207</v>
      </c>
      <c r="I68" t="s">
        <v>260</v>
      </c>
      <c r="J68" t="s">
        <v>1142</v>
      </c>
      <c r="K68" t="s">
        <v>284</v>
      </c>
      <c r="L68" t="s">
        <v>285</v>
      </c>
      <c r="M68" t="str">
        <f>TEXT(200,"0000")</f>
        <v>0200</v>
      </c>
      <c r="N68" t="s">
        <v>1157</v>
      </c>
      <c r="O68" t="s">
        <v>1012</v>
      </c>
      <c r="P68" t="s">
        <v>397</v>
      </c>
      <c r="Q68" t="s">
        <v>1159</v>
      </c>
      <c r="R68">
        <v>21</v>
      </c>
      <c r="S68">
        <v>42</v>
      </c>
      <c r="T68">
        <v>813</v>
      </c>
      <c r="U68">
        <v>1</v>
      </c>
      <c r="V68" t="b">
        <v>0</v>
      </c>
      <c r="W68" t="s">
        <v>298</v>
      </c>
      <c r="X68" t="s">
        <v>1062</v>
      </c>
      <c r="AM68" s="38">
        <f t="shared" si="7"/>
        <v>4</v>
      </c>
      <c r="AN68" s="38" t="s">
        <v>920</v>
      </c>
      <c r="AO68" t="str">
        <f t="shared" si="9"/>
        <v>SSA_GFX_SHMOO_E_END_TITO_SAPS_NOM_LFM_0200_ALL_IPU</v>
      </c>
      <c r="AP68" t="str">
        <f t="shared" si="9"/>
        <v>SSA_GFX_SHMOO_E_END_TITO_SAPS_NOM_LFM_0200_ALL_IPU</v>
      </c>
      <c r="AQ68" t="str">
        <f t="shared" si="9"/>
        <v>SSA_GFX_SHMOO_E_END_TITO_SAPS_NOM_LFM_0200_ALL_IPU</v>
      </c>
      <c r="AR68" t="str">
        <f t="shared" si="9"/>
        <v>SSA_GFX_SHMOO_E_END_TITO_SAPS_NOM_LFM_0200_ALL_IPU</v>
      </c>
    </row>
    <row r="69" spans="1:50" x14ac:dyDescent="0.35">
      <c r="A69" s="33" t="s">
        <v>21</v>
      </c>
      <c r="B69" s="33" t="s">
        <v>99</v>
      </c>
      <c r="C69" s="33" t="str">
        <f>VLOOKUP(B69,templateLookup!A:B,2,0)</f>
        <v>PrimeShmooTestMethod</v>
      </c>
      <c r="D69" t="str">
        <f t="shared" si="8"/>
        <v>SSA_GFX_SHMOO_E_END_TITO_SAPS_NOM_LFM_0200_ALL_IPU</v>
      </c>
      <c r="E69" t="s">
        <v>4</v>
      </c>
      <c r="F69" t="s">
        <v>251</v>
      </c>
      <c r="G69" t="s">
        <v>1011</v>
      </c>
      <c r="H69" t="s">
        <v>207</v>
      </c>
      <c r="I69" t="s">
        <v>260</v>
      </c>
      <c r="J69" t="s">
        <v>460</v>
      </c>
      <c r="K69" t="s">
        <v>284</v>
      </c>
      <c r="L69" t="s">
        <v>285</v>
      </c>
      <c r="M69" t="str">
        <f>TEXT(200,"0000")</f>
        <v>0200</v>
      </c>
      <c r="N69" t="s">
        <v>1157</v>
      </c>
      <c r="O69" t="s">
        <v>1012</v>
      </c>
      <c r="P69" t="s">
        <v>397</v>
      </c>
      <c r="Q69" t="s">
        <v>1160</v>
      </c>
      <c r="R69">
        <v>61</v>
      </c>
      <c r="S69">
        <v>42</v>
      </c>
      <c r="T69">
        <v>814</v>
      </c>
      <c r="U69">
        <v>1</v>
      </c>
      <c r="V69" s="6" t="b">
        <v>0</v>
      </c>
      <c r="W69" t="s">
        <v>298</v>
      </c>
      <c r="X69" t="s">
        <v>1062</v>
      </c>
      <c r="AM69" s="38">
        <f t="shared" si="7"/>
        <v>4</v>
      </c>
      <c r="AN69" s="38" t="s">
        <v>920</v>
      </c>
      <c r="AO69" t="str">
        <f t="shared" si="9"/>
        <v>LSA_GFX_SHMOO_E_END_TITO_SAPS_NOM_LFM_0200_ALL_IPU</v>
      </c>
      <c r="AP69" t="str">
        <f t="shared" si="9"/>
        <v>LSA_GFX_SHMOO_E_END_TITO_SAPS_NOM_LFM_0200_ALL_IPU</v>
      </c>
      <c r="AQ69" t="str">
        <f t="shared" si="9"/>
        <v>LSA_GFX_SHMOO_E_END_TITO_SAPS_NOM_LFM_0200_ALL_IPU</v>
      </c>
      <c r="AR69" t="str">
        <f t="shared" si="9"/>
        <v>LSA_GFX_SHMOO_E_END_TITO_SAPS_NOM_LFM_0200_ALL_IPU</v>
      </c>
    </row>
    <row r="70" spans="1:50" x14ac:dyDescent="0.35">
      <c r="A70" s="33" t="s">
        <v>21</v>
      </c>
      <c r="B70" s="33" t="s">
        <v>99</v>
      </c>
      <c r="C70" s="33" t="str">
        <f>VLOOKUP(B70,templateLookup!A:B,2,0)</f>
        <v>PrimeShmooTestMethod</v>
      </c>
      <c r="D70" t="str">
        <f t="shared" si="8"/>
        <v>LSA_GFX_SHMOO_E_END_TITO_SAPS_NOM_LFM_0200_ALL_IPU</v>
      </c>
      <c r="E70" t="s">
        <v>5</v>
      </c>
      <c r="F70" t="s">
        <v>251</v>
      </c>
      <c r="G70" t="s">
        <v>1011</v>
      </c>
      <c r="H70" t="s">
        <v>207</v>
      </c>
      <c r="I70" t="s">
        <v>260</v>
      </c>
      <c r="J70" t="s">
        <v>460</v>
      </c>
      <c r="K70" t="s">
        <v>284</v>
      </c>
      <c r="L70" t="s">
        <v>285</v>
      </c>
      <c r="M70" t="str">
        <f>TEXT(200,"0000")</f>
        <v>0200</v>
      </c>
      <c r="N70" t="s">
        <v>1157</v>
      </c>
      <c r="O70" t="s">
        <v>1012</v>
      </c>
      <c r="P70" t="s">
        <v>397</v>
      </c>
      <c r="Q70" t="s">
        <v>1161</v>
      </c>
      <c r="R70">
        <v>21</v>
      </c>
      <c r="S70">
        <v>42</v>
      </c>
      <c r="T70">
        <v>815</v>
      </c>
      <c r="U70">
        <v>1</v>
      </c>
      <c r="V70" t="b">
        <v>0</v>
      </c>
      <c r="W70" t="s">
        <v>298</v>
      </c>
      <c r="X70" t="s">
        <v>1062</v>
      </c>
      <c r="AM70" s="38">
        <f t="shared" si="7"/>
        <v>4</v>
      </c>
      <c r="AN70" s="38" t="s">
        <v>920</v>
      </c>
      <c r="AO70" t="str">
        <f t="shared" si="9"/>
        <v>SSA_GFX_SHMOO_E_END_TITO_SAME_NOM_LFM_0400_ALL_MEDIA</v>
      </c>
      <c r="AP70" t="str">
        <f t="shared" si="9"/>
        <v>SSA_GFX_SHMOO_E_END_TITO_SAME_NOM_LFM_0400_ALL_MEDIA</v>
      </c>
      <c r="AQ70" t="str">
        <f t="shared" si="9"/>
        <v>SSA_GFX_SHMOO_E_END_TITO_SAME_NOM_LFM_0400_ALL_MEDIA</v>
      </c>
      <c r="AR70" t="str">
        <f t="shared" si="9"/>
        <v>SSA_GFX_SHMOO_E_END_TITO_SAME_NOM_LFM_0400_ALL_MEDIA</v>
      </c>
    </row>
    <row r="71" spans="1:50" x14ac:dyDescent="0.35">
      <c r="A71" s="33" t="s">
        <v>21</v>
      </c>
      <c r="B71" s="33" t="s">
        <v>99</v>
      </c>
      <c r="C71" s="33" t="str">
        <f>VLOOKUP(B71,templateLookup!A:B,2,0)</f>
        <v>PrimeShmooTestMethod</v>
      </c>
      <c r="D71" t="str">
        <f t="shared" si="8"/>
        <v>SSA_GFX_SHMOO_E_END_TITO_SAME_NOM_LFM_0400_ALL_MEDIA</v>
      </c>
      <c r="E71" t="s">
        <v>4</v>
      </c>
      <c r="F71" t="s">
        <v>251</v>
      </c>
      <c r="G71" t="s">
        <v>1011</v>
      </c>
      <c r="H71" t="s">
        <v>207</v>
      </c>
      <c r="I71" t="s">
        <v>260</v>
      </c>
      <c r="J71" t="s">
        <v>504</v>
      </c>
      <c r="K71" t="s">
        <v>284</v>
      </c>
      <c r="L71" t="s">
        <v>285</v>
      </c>
      <c r="M71" t="str">
        <f>TEXT(400,"0000")</f>
        <v>0400</v>
      </c>
      <c r="N71" t="s">
        <v>1162</v>
      </c>
      <c r="O71" t="s">
        <v>1012</v>
      </c>
      <c r="P71" t="s">
        <v>397</v>
      </c>
      <c r="Q71" t="s">
        <v>1163</v>
      </c>
      <c r="R71">
        <v>61</v>
      </c>
      <c r="S71">
        <v>42</v>
      </c>
      <c r="T71">
        <v>816</v>
      </c>
      <c r="U71">
        <v>1</v>
      </c>
      <c r="V71" t="b">
        <v>0</v>
      </c>
      <c r="W71" t="s">
        <v>298</v>
      </c>
      <c r="X71" t="s">
        <v>1062</v>
      </c>
      <c r="AM71" s="38">
        <f t="shared" si="7"/>
        <v>4</v>
      </c>
      <c r="AN71" s="38" t="s">
        <v>920</v>
      </c>
      <c r="AO71" t="str">
        <f t="shared" si="9"/>
        <v>LSA_GFX_SHMOO_E_END_TITO_SAME_NOM_LFM_0400_ALL_MEDIA</v>
      </c>
      <c r="AP71" t="str">
        <f t="shared" si="9"/>
        <v>LSA_GFX_SHMOO_E_END_TITO_SAME_NOM_LFM_0400_ALL_MEDIA</v>
      </c>
      <c r="AQ71" t="str">
        <f t="shared" si="9"/>
        <v>LSA_GFX_SHMOO_E_END_TITO_SAME_NOM_LFM_0400_ALL_MEDIA</v>
      </c>
      <c r="AR71" t="str">
        <f t="shared" si="9"/>
        <v>LSA_GFX_SHMOO_E_END_TITO_SAME_NOM_LFM_0400_ALL_MEDIA</v>
      </c>
    </row>
    <row r="72" spans="1:50" x14ac:dyDescent="0.35">
      <c r="A72" s="33" t="s">
        <v>21</v>
      </c>
      <c r="B72" s="33" t="s">
        <v>99</v>
      </c>
      <c r="C72" s="33" t="str">
        <f>VLOOKUP(B72,templateLookup!A:B,2,0)</f>
        <v>PrimeShmooTestMethod</v>
      </c>
      <c r="D72" t="str">
        <f t="shared" si="8"/>
        <v>LSA_GFX_SHMOO_E_END_TITO_SAME_NOM_LFM_0400_ALL_MEDIA</v>
      </c>
      <c r="E72" t="s">
        <v>5</v>
      </c>
      <c r="F72" t="s">
        <v>251</v>
      </c>
      <c r="G72" t="s">
        <v>1011</v>
      </c>
      <c r="H72" t="s">
        <v>207</v>
      </c>
      <c r="I72" t="s">
        <v>260</v>
      </c>
      <c r="J72" t="s">
        <v>504</v>
      </c>
      <c r="K72" t="s">
        <v>284</v>
      </c>
      <c r="L72" t="s">
        <v>285</v>
      </c>
      <c r="M72" t="str">
        <f>TEXT(400,"0000")</f>
        <v>0400</v>
      </c>
      <c r="N72" t="s">
        <v>1162</v>
      </c>
      <c r="O72" t="s">
        <v>1012</v>
      </c>
      <c r="P72" t="s">
        <v>397</v>
      </c>
      <c r="Q72" t="s">
        <v>1164</v>
      </c>
      <c r="R72">
        <v>21</v>
      </c>
      <c r="S72">
        <v>42</v>
      </c>
      <c r="T72">
        <v>817</v>
      </c>
      <c r="U72">
        <v>1</v>
      </c>
      <c r="V72" t="b">
        <v>0</v>
      </c>
      <c r="W72" t="s">
        <v>298</v>
      </c>
      <c r="X72" t="s">
        <v>1062</v>
      </c>
      <c r="AM72" s="38">
        <f t="shared" si="7"/>
        <v>4</v>
      </c>
      <c r="AN72" s="38" t="s">
        <v>920</v>
      </c>
      <c r="AO72" t="str">
        <f t="shared" si="9"/>
        <v>ROM_GFX_SHMOO_E_END_TITO_SAME_NOM_LFM_0400_ROM</v>
      </c>
      <c r="AP72" t="str">
        <f t="shared" si="9"/>
        <v>ROM_GFX_SHMOO_E_END_TITO_SAME_NOM_LFM_0400_ROM</v>
      </c>
      <c r="AQ72" t="str">
        <f t="shared" si="9"/>
        <v>ROM_GFX_SHMOO_E_END_TITO_SAME_NOM_LFM_0400_ROM</v>
      </c>
      <c r="AR72" t="str">
        <f t="shared" si="9"/>
        <v>ROM_GFX_SHMOO_E_END_TITO_SAME_NOM_LFM_0400_ROM</v>
      </c>
    </row>
    <row r="73" spans="1:50" x14ac:dyDescent="0.35">
      <c r="A73" s="33" t="s">
        <v>21</v>
      </c>
      <c r="B73" s="33" t="s">
        <v>99</v>
      </c>
      <c r="C73" s="33" t="str">
        <f>VLOOKUP(B73,templateLookup!A:B,2,0)</f>
        <v>PrimeShmooTestMethod</v>
      </c>
      <c r="D73" t="str">
        <f t="shared" si="8"/>
        <v>ROM_GFX_SHMOO_E_END_TITO_SAME_NOM_LFM_0400_ROM</v>
      </c>
      <c r="E73" t="s">
        <v>6</v>
      </c>
      <c r="F73" t="s">
        <v>251</v>
      </c>
      <c r="G73" t="s">
        <v>1011</v>
      </c>
      <c r="H73" t="s">
        <v>207</v>
      </c>
      <c r="I73" t="s">
        <v>260</v>
      </c>
      <c r="J73" t="s">
        <v>504</v>
      </c>
      <c r="K73" t="s">
        <v>284</v>
      </c>
      <c r="L73" t="s">
        <v>285</v>
      </c>
      <c r="M73" t="str">
        <f>TEXT(400,"0000")</f>
        <v>0400</v>
      </c>
      <c r="N73" t="s">
        <v>6</v>
      </c>
      <c r="O73" t="s">
        <v>1012</v>
      </c>
      <c r="P73" t="s">
        <v>397</v>
      </c>
      <c r="Q73" t="s">
        <v>1165</v>
      </c>
      <c r="R73">
        <v>21</v>
      </c>
      <c r="S73">
        <v>42</v>
      </c>
      <c r="T73">
        <v>830</v>
      </c>
      <c r="U73">
        <v>1</v>
      </c>
      <c r="V73" t="b">
        <v>0</v>
      </c>
      <c r="W73" t="s">
        <v>298</v>
      </c>
      <c r="X73" t="s">
        <v>1062</v>
      </c>
      <c r="AM73" s="38">
        <f t="shared" si="7"/>
        <v>4</v>
      </c>
      <c r="AN73" s="38">
        <v>1</v>
      </c>
      <c r="AO73">
        <v>1</v>
      </c>
      <c r="AP73">
        <v>1</v>
      </c>
      <c r="AQ73">
        <v>1</v>
      </c>
      <c r="AR73">
        <v>1</v>
      </c>
    </row>
    <row r="74" spans="1:50" x14ac:dyDescent="0.35">
      <c r="A74" s="32" t="s">
        <v>21</v>
      </c>
      <c r="B74" s="32" t="s">
        <v>50</v>
      </c>
      <c r="C74" s="32" t="str">
        <f>VLOOKUP(B74,templateLookup!A:B,2,0)</f>
        <v>COMPOSITE</v>
      </c>
      <c r="D74" s="10"/>
    </row>
    <row r="75" spans="1:50" x14ac:dyDescent="0.35">
      <c r="A75" s="5" t="s">
        <v>21</v>
      </c>
      <c r="B75" s="5" t="s">
        <v>50</v>
      </c>
      <c r="C75" s="5" t="str">
        <f>VLOOKUP(B75,templateLookup!A:B,2,0)</f>
        <v>COMPOSITE</v>
      </c>
      <c r="D75" s="5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W75" s="6"/>
      <c r="X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39"/>
      <c r="AN75" s="39"/>
      <c r="AO75" s="6"/>
      <c r="AP75" s="6"/>
      <c r="AQ75" s="6"/>
      <c r="AR75" s="6"/>
      <c r="AS75" s="6"/>
      <c r="AT75" s="6"/>
      <c r="AU75" s="6"/>
      <c r="AV75" s="6"/>
      <c r="AW75" s="6"/>
      <c r="AX75" s="6"/>
    </row>
    <row r="76" spans="1:50" s="3" customFormat="1" x14ac:dyDescent="0.35">
      <c r="A76" s="17" t="s">
        <v>1039</v>
      </c>
      <c r="B76" s="17" t="s">
        <v>49</v>
      </c>
      <c r="C76" s="17" t="str">
        <f>VLOOKUP(B76,templateLookup!A:B,2,0)</f>
        <v>COMPOSITE</v>
      </c>
      <c r="D76" s="17" t="s">
        <v>1039</v>
      </c>
      <c r="F76" t="s">
        <v>251</v>
      </c>
      <c r="AM76" s="41"/>
      <c r="AN76" s="41"/>
    </row>
    <row r="77" spans="1:50" x14ac:dyDescent="0.35">
      <c r="A77" s="3" t="s">
        <v>1039</v>
      </c>
      <c r="B77" s="3" t="s">
        <v>67</v>
      </c>
      <c r="C77" s="3" t="str">
        <f>VLOOKUP(B77,templateLookup!A:B,2,0)</f>
        <v>PrimeVminSearchTestMethod</v>
      </c>
      <c r="D77" t="str">
        <f>E77&amp;"_"&amp;F77&amp;"_"&amp;G77&amp;"_"&amp;H77&amp;"_"&amp;A77&amp;"_"&amp;I77&amp;"_"&amp;J77&amp;"_"&amp;K77&amp;"_"&amp;L77&amp;"_"&amp;M77&amp;"_"&amp;N77</f>
        <v>ALL_GFX_VMIN_K_ENDXFM_TITO_SACD_MIN_HFM_0480_DE</v>
      </c>
      <c r="E77" t="s">
        <v>7</v>
      </c>
      <c r="F77" t="s">
        <v>251</v>
      </c>
      <c r="G77" t="s">
        <v>951</v>
      </c>
      <c r="H77" t="s">
        <v>253</v>
      </c>
      <c r="I77" t="s">
        <v>260</v>
      </c>
      <c r="J77" t="s">
        <v>395</v>
      </c>
      <c r="K77" t="s">
        <v>952</v>
      </c>
      <c r="L77" t="s">
        <v>1038</v>
      </c>
      <c r="M77" t="str">
        <f>TEXT(480,"0000")</f>
        <v>0480</v>
      </c>
      <c r="N77" t="s">
        <v>1137</v>
      </c>
      <c r="O77" t="s">
        <v>267</v>
      </c>
      <c r="P77" t="s">
        <v>397</v>
      </c>
      <c r="Q77" t="s">
        <v>1138</v>
      </c>
      <c r="R77">
        <v>61</v>
      </c>
      <c r="S77">
        <v>43</v>
      </c>
      <c r="T77">
        <v>840</v>
      </c>
      <c r="U77">
        <v>-1</v>
      </c>
      <c r="V77" t="b">
        <v>0</v>
      </c>
      <c r="W77" t="s">
        <v>298</v>
      </c>
      <c r="Y77" t="s">
        <v>960</v>
      </c>
      <c r="Z77" t="s">
        <v>1177</v>
      </c>
      <c r="AA77" t="s">
        <v>1178</v>
      </c>
      <c r="AB77">
        <v>2490</v>
      </c>
      <c r="AC77" t="s">
        <v>955</v>
      </c>
      <c r="AM77" s="38">
        <f>COUNTA(AO77:AX77)</f>
        <v>2</v>
      </c>
      <c r="AN77" s="38">
        <v>1</v>
      </c>
      <c r="AO77" t="str">
        <f t="shared" ref="AO77:AP79" si="10">$D78</f>
        <v>ALL_GFX_VMIN_K_ENDXFM_TITO_SAPS_MIN_HFM_0425_IPU_PS</v>
      </c>
      <c r="AP77" t="str">
        <f t="shared" si="10"/>
        <v>ALL_GFX_VMIN_K_ENDXFM_TITO_SAPS_MIN_HFM_0425_IPU_PS</v>
      </c>
    </row>
    <row r="78" spans="1:50" x14ac:dyDescent="0.35">
      <c r="A78" s="3" t="s">
        <v>1039</v>
      </c>
      <c r="B78" s="3" t="s">
        <v>67</v>
      </c>
      <c r="C78" s="3" t="str">
        <f>VLOOKUP(B78,templateLookup!A:B,2,0)</f>
        <v>PrimeVminSearchTestMethod</v>
      </c>
      <c r="D78" t="str">
        <f>E78&amp;"_"&amp;F78&amp;"_"&amp;G78&amp;"_"&amp;H78&amp;"_"&amp;A78&amp;"_"&amp;I78&amp;"_"&amp;J78&amp;"_"&amp;K78&amp;"_"&amp;L78&amp;"_"&amp;M78&amp;"_"&amp;N78</f>
        <v>ALL_GFX_VMIN_K_ENDXFM_TITO_SAPS_MIN_HFM_0425_IPU_PS</v>
      </c>
      <c r="E78" t="s">
        <v>7</v>
      </c>
      <c r="F78" t="s">
        <v>251</v>
      </c>
      <c r="G78" t="s">
        <v>951</v>
      </c>
      <c r="H78" t="s">
        <v>253</v>
      </c>
      <c r="I78" t="s">
        <v>260</v>
      </c>
      <c r="J78" t="s">
        <v>460</v>
      </c>
      <c r="K78" t="s">
        <v>952</v>
      </c>
      <c r="L78" t="s">
        <v>1038</v>
      </c>
      <c r="M78" t="str">
        <f>TEXT(425,"0000")</f>
        <v>0425</v>
      </c>
      <c r="N78" t="s">
        <v>1139</v>
      </c>
      <c r="O78" t="s">
        <v>267</v>
      </c>
      <c r="P78" t="s">
        <v>397</v>
      </c>
      <c r="Q78" t="s">
        <v>1140</v>
      </c>
      <c r="R78">
        <v>61</v>
      </c>
      <c r="S78">
        <v>43</v>
      </c>
      <c r="T78">
        <v>841</v>
      </c>
      <c r="U78">
        <v>-1</v>
      </c>
      <c r="V78" t="b">
        <v>0</v>
      </c>
      <c r="W78" t="s">
        <v>298</v>
      </c>
      <c r="Y78" t="s">
        <v>960</v>
      </c>
      <c r="Z78" t="s">
        <v>1179</v>
      </c>
      <c r="AA78" t="s">
        <v>1180</v>
      </c>
      <c r="AB78">
        <v>2491</v>
      </c>
      <c r="AC78" t="s">
        <v>955</v>
      </c>
      <c r="AM78" s="38">
        <f>COUNTA(AO78:AX78)</f>
        <v>2</v>
      </c>
      <c r="AN78" s="38">
        <v>1</v>
      </c>
      <c r="AO78" t="str">
        <f t="shared" si="10"/>
        <v>ALL_GFX_VMIN_K_ENDXFM_TITO_SAIS_MIN_HFM_0400_IPU_IS</v>
      </c>
      <c r="AP78" t="str">
        <f t="shared" si="10"/>
        <v>ALL_GFX_VMIN_K_ENDXFM_TITO_SAIS_MIN_HFM_0400_IPU_IS</v>
      </c>
    </row>
    <row r="79" spans="1:50" x14ac:dyDescent="0.35">
      <c r="A79" s="3" t="s">
        <v>1039</v>
      </c>
      <c r="B79" s="3" t="s">
        <v>67</v>
      </c>
      <c r="C79" s="3" t="str">
        <f>VLOOKUP(B79,templateLookup!A:B,2,0)</f>
        <v>PrimeVminSearchTestMethod</v>
      </c>
      <c r="D79" t="str">
        <f>E79&amp;"_"&amp;F79&amp;"_"&amp;G79&amp;"_"&amp;H79&amp;"_"&amp;A79&amp;"_"&amp;I79&amp;"_"&amp;J79&amp;"_"&amp;K79&amp;"_"&amp;L79&amp;"_"&amp;M79&amp;"_"&amp;N79</f>
        <v>ALL_GFX_VMIN_K_ENDXFM_TITO_SAIS_MIN_HFM_0400_IPU_IS</v>
      </c>
      <c r="E79" t="s">
        <v>7</v>
      </c>
      <c r="F79" t="s">
        <v>251</v>
      </c>
      <c r="G79" t="s">
        <v>951</v>
      </c>
      <c r="H79" t="s">
        <v>253</v>
      </c>
      <c r="I79" t="s">
        <v>260</v>
      </c>
      <c r="J79" t="s">
        <v>1142</v>
      </c>
      <c r="K79" t="s">
        <v>952</v>
      </c>
      <c r="L79" t="s">
        <v>1038</v>
      </c>
      <c r="M79" t="str">
        <f>TEXT(400,"0000")</f>
        <v>0400</v>
      </c>
      <c r="N79" t="s">
        <v>1143</v>
      </c>
      <c r="O79" t="s">
        <v>267</v>
      </c>
      <c r="P79" t="s">
        <v>397</v>
      </c>
      <c r="Q79" t="s">
        <v>1144</v>
      </c>
      <c r="R79">
        <v>61</v>
      </c>
      <c r="S79">
        <v>43</v>
      </c>
      <c r="T79">
        <v>842</v>
      </c>
      <c r="U79">
        <v>-1</v>
      </c>
      <c r="V79" t="b">
        <v>0</v>
      </c>
      <c r="W79" t="s">
        <v>298</v>
      </c>
      <c r="Y79" t="s">
        <v>960</v>
      </c>
      <c r="Z79" t="s">
        <v>1181</v>
      </c>
      <c r="AA79" t="s">
        <v>1182</v>
      </c>
      <c r="AB79">
        <v>2492</v>
      </c>
      <c r="AC79" t="s">
        <v>955</v>
      </c>
      <c r="AM79" s="38">
        <f>COUNTA(AO79:AX79)</f>
        <v>2</v>
      </c>
      <c r="AN79" s="38">
        <v>1</v>
      </c>
      <c r="AO79" t="str">
        <f t="shared" si="10"/>
        <v>ALL_GFX_VMIN_K_ENDXFM_TITO_SAME_MIN_HFM_1000_MEDIA</v>
      </c>
      <c r="AP79" t="str">
        <f t="shared" si="10"/>
        <v>ALL_GFX_VMIN_K_ENDXFM_TITO_SAME_MIN_HFM_1000_MEDIA</v>
      </c>
    </row>
    <row r="80" spans="1:50" x14ac:dyDescent="0.35">
      <c r="A80" s="3" t="s">
        <v>1039</v>
      </c>
      <c r="B80" s="3" t="s">
        <v>67</v>
      </c>
      <c r="C80" s="3" t="str">
        <f>VLOOKUP(B80,templateLookup!A:B,2,0)</f>
        <v>PrimeVminSearchTestMethod</v>
      </c>
      <c r="D80" t="str">
        <f>E80&amp;"_"&amp;F80&amp;"_"&amp;G80&amp;"_"&amp;H80&amp;"_"&amp;A80&amp;"_"&amp;I80&amp;"_"&amp;J80&amp;"_"&amp;K80&amp;"_"&amp;L80&amp;"_"&amp;M80&amp;"_"&amp;N80</f>
        <v>ALL_GFX_VMIN_K_ENDXFM_TITO_SAME_MIN_HFM_1000_MEDIA</v>
      </c>
      <c r="E80" t="s">
        <v>7</v>
      </c>
      <c r="F80" t="s">
        <v>251</v>
      </c>
      <c r="G80" t="s">
        <v>951</v>
      </c>
      <c r="H80" t="s">
        <v>253</v>
      </c>
      <c r="I80" t="s">
        <v>260</v>
      </c>
      <c r="J80" t="s">
        <v>504</v>
      </c>
      <c r="K80" t="s">
        <v>952</v>
      </c>
      <c r="L80" t="s">
        <v>1038</v>
      </c>
      <c r="M80" t="str">
        <f>TEXT(1000,"0000")</f>
        <v>1000</v>
      </c>
      <c r="N80" t="s">
        <v>1146</v>
      </c>
      <c r="O80" t="s">
        <v>267</v>
      </c>
      <c r="P80" t="s">
        <v>397</v>
      </c>
      <c r="Q80" t="s">
        <v>1147</v>
      </c>
      <c r="R80">
        <v>61</v>
      </c>
      <c r="S80">
        <v>43</v>
      </c>
      <c r="T80">
        <v>843</v>
      </c>
      <c r="U80">
        <v>-1</v>
      </c>
      <c r="V80" t="b">
        <v>0</v>
      </c>
      <c r="W80" t="s">
        <v>298</v>
      </c>
      <c r="Y80" t="s">
        <v>960</v>
      </c>
      <c r="Z80" t="s">
        <v>1183</v>
      </c>
      <c r="AA80" t="s">
        <v>1184</v>
      </c>
      <c r="AB80">
        <v>2493</v>
      </c>
      <c r="AC80" t="s">
        <v>955</v>
      </c>
      <c r="AM80" s="38">
        <f>COUNTA(AO80:AX80)</f>
        <v>2</v>
      </c>
      <c r="AN80" s="38">
        <v>1</v>
      </c>
      <c r="AO80">
        <v>1</v>
      </c>
      <c r="AP80">
        <v>1</v>
      </c>
    </row>
    <row r="81" spans="1:45" s="3" customFormat="1" x14ac:dyDescent="0.35">
      <c r="A81" s="17" t="s">
        <v>1039</v>
      </c>
      <c r="B81" s="17" t="s">
        <v>50</v>
      </c>
      <c r="C81" s="17" t="str">
        <f>VLOOKUP(B81,templateLookup!A:B,2,0)</f>
        <v>COMPOSITE</v>
      </c>
      <c r="D81" s="17"/>
      <c r="AM81" s="41"/>
      <c r="AN81" s="41"/>
    </row>
    <row r="82" spans="1:45" s="26" customFormat="1" x14ac:dyDescent="0.35">
      <c r="A82" s="25" t="s">
        <v>1041</v>
      </c>
      <c r="B82" s="25" t="s">
        <v>49</v>
      </c>
      <c r="C82" s="25" t="str">
        <f>VLOOKUP(B82,templateLookup!A:B,2,0)</f>
        <v>COMPOSITE</v>
      </c>
      <c r="D82" s="25" t="s">
        <v>1041</v>
      </c>
      <c r="F82" t="s">
        <v>251</v>
      </c>
      <c r="AM82" s="42"/>
      <c r="AN82" s="42"/>
    </row>
    <row r="83" spans="1:45" x14ac:dyDescent="0.35">
      <c r="A83" s="26" t="s">
        <v>1041</v>
      </c>
      <c r="B83" s="26" t="s">
        <v>67</v>
      </c>
      <c r="C83" s="26" t="str">
        <f>VLOOKUP(B83,templateLookup!A:B,2,0)</f>
        <v>PrimeVminSearchTestMethod</v>
      </c>
      <c r="D83" t="str">
        <f>E83&amp;"_"&amp;F83&amp;"_"&amp;G83&amp;"_"&amp;H83&amp;"_"&amp;A83&amp;"_"&amp;I83&amp;"_"&amp;J83&amp;"_"&amp;K83&amp;"_"&amp;L83&amp;"_"&amp;M83&amp;"_"&amp;N83</f>
        <v>ALL_GFX_VMIN_K_ENDTFM_TITO_SACD_MIN_TFM_0660_DE</v>
      </c>
      <c r="E83" t="s">
        <v>7</v>
      </c>
      <c r="F83" t="s">
        <v>251</v>
      </c>
      <c r="G83" t="s">
        <v>951</v>
      </c>
      <c r="H83" t="s">
        <v>253</v>
      </c>
      <c r="I83" t="s">
        <v>260</v>
      </c>
      <c r="J83" t="s">
        <v>395</v>
      </c>
      <c r="K83" t="s">
        <v>952</v>
      </c>
      <c r="L83" t="s">
        <v>1042</v>
      </c>
      <c r="M83" t="str">
        <f>TEXT(660,"0000")</f>
        <v>0660</v>
      </c>
      <c r="N83" t="s">
        <v>1137</v>
      </c>
      <c r="O83" t="s">
        <v>267</v>
      </c>
      <c r="P83" t="s">
        <v>397</v>
      </c>
      <c r="Q83" t="s">
        <v>1138</v>
      </c>
      <c r="R83">
        <v>61</v>
      </c>
      <c r="S83">
        <v>44</v>
      </c>
      <c r="T83">
        <v>844</v>
      </c>
      <c r="U83">
        <v>-1</v>
      </c>
      <c r="V83" t="b">
        <v>1</v>
      </c>
      <c r="W83" t="s">
        <v>298</v>
      </c>
      <c r="Y83" t="s">
        <v>960</v>
      </c>
      <c r="Z83" t="s">
        <v>1185</v>
      </c>
      <c r="AA83" t="s">
        <v>1178</v>
      </c>
      <c r="AB83">
        <v>2494</v>
      </c>
      <c r="AC83" t="s">
        <v>955</v>
      </c>
      <c r="AM83" s="38">
        <f>COUNTA(AO83:AX83)</f>
        <v>2</v>
      </c>
      <c r="AN83" s="38">
        <v>1</v>
      </c>
      <c r="AO83" t="str">
        <f t="shared" ref="AO83:AP85" si="11">$D84</f>
        <v>ALL_GFX_VMIN_K_ENDTFM_TITO_SAPS_MIN_TFM_0700_IPU_PS</v>
      </c>
      <c r="AP83" t="str">
        <f t="shared" si="11"/>
        <v>ALL_GFX_VMIN_K_ENDTFM_TITO_SAPS_MIN_TFM_0700_IPU_PS</v>
      </c>
    </row>
    <row r="84" spans="1:45" x14ac:dyDescent="0.35">
      <c r="A84" s="26" t="s">
        <v>1041</v>
      </c>
      <c r="B84" s="26" t="s">
        <v>67</v>
      </c>
      <c r="C84" s="26" t="str">
        <f>VLOOKUP(B84,templateLookup!A:B,2,0)</f>
        <v>PrimeVminSearchTestMethod</v>
      </c>
      <c r="D84" t="str">
        <f>E84&amp;"_"&amp;F84&amp;"_"&amp;G84&amp;"_"&amp;H84&amp;"_"&amp;A84&amp;"_"&amp;I84&amp;"_"&amp;J84&amp;"_"&amp;K84&amp;"_"&amp;L84&amp;"_"&amp;M84&amp;"_"&amp;N84</f>
        <v>ALL_GFX_VMIN_K_ENDTFM_TITO_SAPS_MIN_TFM_0700_IPU_PS</v>
      </c>
      <c r="E84" t="s">
        <v>7</v>
      </c>
      <c r="F84" t="s">
        <v>251</v>
      </c>
      <c r="G84" t="s">
        <v>951</v>
      </c>
      <c r="H84" t="s">
        <v>253</v>
      </c>
      <c r="I84" t="s">
        <v>260</v>
      </c>
      <c r="J84" t="s">
        <v>460</v>
      </c>
      <c r="K84" t="s">
        <v>952</v>
      </c>
      <c r="L84" t="s">
        <v>1042</v>
      </c>
      <c r="M84" t="str">
        <f>TEXT(700,"0000")</f>
        <v>0700</v>
      </c>
      <c r="N84" t="s">
        <v>1139</v>
      </c>
      <c r="O84" t="s">
        <v>267</v>
      </c>
      <c r="P84" t="s">
        <v>397</v>
      </c>
      <c r="Q84" t="s">
        <v>1140</v>
      </c>
      <c r="R84">
        <v>61</v>
      </c>
      <c r="S84">
        <v>44</v>
      </c>
      <c r="T84">
        <v>845</v>
      </c>
      <c r="U84">
        <v>-1</v>
      </c>
      <c r="V84" t="b">
        <v>1</v>
      </c>
      <c r="W84" t="s">
        <v>298</v>
      </c>
      <c r="Y84" t="s">
        <v>960</v>
      </c>
      <c r="Z84" t="s">
        <v>1186</v>
      </c>
      <c r="AA84" t="s">
        <v>1180</v>
      </c>
      <c r="AB84">
        <v>2495</v>
      </c>
      <c r="AC84" t="s">
        <v>955</v>
      </c>
      <c r="AM84" s="38">
        <f>COUNTA(AO84:AX84)</f>
        <v>2</v>
      </c>
      <c r="AN84" s="38">
        <v>1</v>
      </c>
      <c r="AO84" t="str">
        <f t="shared" si="11"/>
        <v>ALL_GFX_VMIN_K_ENDTFM_TITO_SAIS_MIN_TFM_0475_IPU_IS</v>
      </c>
      <c r="AP84" t="str">
        <f t="shared" si="11"/>
        <v>ALL_GFX_VMIN_K_ENDTFM_TITO_SAIS_MIN_TFM_0475_IPU_IS</v>
      </c>
    </row>
    <row r="85" spans="1:45" x14ac:dyDescent="0.35">
      <c r="A85" s="26" t="s">
        <v>1041</v>
      </c>
      <c r="B85" s="26" t="s">
        <v>67</v>
      </c>
      <c r="C85" s="26" t="str">
        <f>VLOOKUP(B85,templateLookup!A:B,2,0)</f>
        <v>PrimeVminSearchTestMethod</v>
      </c>
      <c r="D85" t="str">
        <f>E85&amp;"_"&amp;F85&amp;"_"&amp;G85&amp;"_"&amp;H85&amp;"_"&amp;A85&amp;"_"&amp;I85&amp;"_"&amp;J85&amp;"_"&amp;K85&amp;"_"&amp;L85&amp;"_"&amp;M85&amp;"_"&amp;N85</f>
        <v>ALL_GFX_VMIN_K_ENDTFM_TITO_SAIS_MIN_TFM_0475_IPU_IS</v>
      </c>
      <c r="E85" t="s">
        <v>7</v>
      </c>
      <c r="F85" t="s">
        <v>251</v>
      </c>
      <c r="G85" t="s">
        <v>951</v>
      </c>
      <c r="H85" t="s">
        <v>253</v>
      </c>
      <c r="I85" t="s">
        <v>260</v>
      </c>
      <c r="J85" t="s">
        <v>1142</v>
      </c>
      <c r="K85" t="s">
        <v>952</v>
      </c>
      <c r="L85" t="s">
        <v>1042</v>
      </c>
      <c r="M85" t="str">
        <f>TEXT(475,"0000")</f>
        <v>0475</v>
      </c>
      <c r="N85" t="s">
        <v>1143</v>
      </c>
      <c r="O85" t="s">
        <v>267</v>
      </c>
      <c r="P85" t="s">
        <v>397</v>
      </c>
      <c r="Q85" t="s">
        <v>1144</v>
      </c>
      <c r="R85">
        <v>61</v>
      </c>
      <c r="S85">
        <v>44</v>
      </c>
      <c r="T85">
        <v>846</v>
      </c>
      <c r="U85">
        <v>-1</v>
      </c>
      <c r="V85" t="b">
        <v>0</v>
      </c>
      <c r="W85" t="s">
        <v>298</v>
      </c>
      <c r="Y85" t="s">
        <v>960</v>
      </c>
      <c r="Z85" t="s">
        <v>1187</v>
      </c>
      <c r="AA85" t="s">
        <v>1182</v>
      </c>
      <c r="AB85">
        <v>2496</v>
      </c>
      <c r="AC85" t="s">
        <v>955</v>
      </c>
      <c r="AM85" s="38">
        <f>COUNTA(AO85:AX85)</f>
        <v>2</v>
      </c>
      <c r="AN85" s="38">
        <v>1</v>
      </c>
      <c r="AO85" t="str">
        <f t="shared" si="11"/>
        <v>ALL_GFX_VMIN_K_ENDTFM_TITO_SAME_MIN_TFM_1200_MEDIA</v>
      </c>
      <c r="AP85" t="str">
        <f t="shared" si="11"/>
        <v>ALL_GFX_VMIN_K_ENDTFM_TITO_SAME_MIN_TFM_1200_MEDIA</v>
      </c>
    </row>
    <row r="86" spans="1:45" x14ac:dyDescent="0.35">
      <c r="A86" s="26" t="s">
        <v>1041</v>
      </c>
      <c r="B86" s="26" t="s">
        <v>67</v>
      </c>
      <c r="C86" s="26" t="str">
        <f>VLOOKUP(B86,templateLookup!A:B,2,0)</f>
        <v>PrimeVminSearchTestMethod</v>
      </c>
      <c r="D86" t="str">
        <f>E86&amp;"_"&amp;F86&amp;"_"&amp;G86&amp;"_"&amp;H86&amp;"_"&amp;A86&amp;"_"&amp;I86&amp;"_"&amp;J86&amp;"_"&amp;K86&amp;"_"&amp;L86&amp;"_"&amp;M86&amp;"_"&amp;N86</f>
        <v>ALL_GFX_VMIN_K_ENDTFM_TITO_SAME_MIN_TFM_1200_MEDIA</v>
      </c>
      <c r="E86" t="s">
        <v>7</v>
      </c>
      <c r="F86" t="s">
        <v>251</v>
      </c>
      <c r="G86" t="s">
        <v>951</v>
      </c>
      <c r="H86" t="s">
        <v>253</v>
      </c>
      <c r="I86" t="s">
        <v>260</v>
      </c>
      <c r="J86" t="s">
        <v>504</v>
      </c>
      <c r="K86" t="s">
        <v>952</v>
      </c>
      <c r="L86" t="s">
        <v>1042</v>
      </c>
      <c r="M86" t="str">
        <f>TEXT(1200,"0000")</f>
        <v>1200</v>
      </c>
      <c r="N86" t="s">
        <v>1146</v>
      </c>
      <c r="O86" t="s">
        <v>267</v>
      </c>
      <c r="P86" t="s">
        <v>397</v>
      </c>
      <c r="Q86" t="s">
        <v>1147</v>
      </c>
      <c r="R86">
        <v>61</v>
      </c>
      <c r="S86">
        <v>44</v>
      </c>
      <c r="T86">
        <v>847</v>
      </c>
      <c r="U86">
        <v>-1</v>
      </c>
      <c r="V86" t="b">
        <v>1</v>
      </c>
      <c r="W86" t="s">
        <v>298</v>
      </c>
      <c r="Y86" t="s">
        <v>960</v>
      </c>
      <c r="Z86" t="s">
        <v>1188</v>
      </c>
      <c r="AA86" t="s">
        <v>1184</v>
      </c>
      <c r="AB86">
        <v>2497</v>
      </c>
      <c r="AC86" t="s">
        <v>955</v>
      </c>
      <c r="AM86" s="38">
        <f>COUNTA(AO86:AX86)</f>
        <v>2</v>
      </c>
      <c r="AN86" s="38">
        <v>1</v>
      </c>
      <c r="AO86">
        <v>1</v>
      </c>
      <c r="AP86">
        <v>1</v>
      </c>
    </row>
    <row r="87" spans="1:45" s="26" customFormat="1" x14ac:dyDescent="0.35">
      <c r="A87" s="25" t="s">
        <v>1041</v>
      </c>
      <c r="B87" s="25" t="s">
        <v>50</v>
      </c>
      <c r="C87" s="25" t="str">
        <f>VLOOKUP(B87,templateLookup!A:B,2,0)</f>
        <v>COMPOSITE</v>
      </c>
      <c r="D87" s="25"/>
      <c r="AM87" s="42"/>
      <c r="AN87" s="42"/>
    </row>
    <row r="88" spans="1:45" s="28" customFormat="1" x14ac:dyDescent="0.35">
      <c r="A88" s="27" t="s">
        <v>1044</v>
      </c>
      <c r="B88" s="27" t="s">
        <v>49</v>
      </c>
      <c r="C88" s="27" t="str">
        <f>VLOOKUP(B88,templateLookup!A:B,2,0)</f>
        <v>COMPOSITE</v>
      </c>
      <c r="D88" s="27" t="s">
        <v>1044</v>
      </c>
      <c r="F88" s="28" t="s">
        <v>251</v>
      </c>
      <c r="AM88" s="43"/>
      <c r="AN88" s="43"/>
    </row>
    <row r="89" spans="1:45" s="28" customFormat="1" x14ac:dyDescent="0.35">
      <c r="A89" s="28" t="s">
        <v>1044</v>
      </c>
      <c r="B89" s="28" t="s">
        <v>79</v>
      </c>
      <c r="C89" s="28" t="str">
        <f>VLOOKUP(B89,templateLookup!A:B,2,0)</f>
        <v>iCHVQKTest</v>
      </c>
      <c r="D89" s="28" t="str">
        <f>E89&amp;"_"&amp;F89&amp;"_"&amp;G89&amp;"_"&amp;H89&amp;"_"&amp;A89&amp;"_"&amp;I89&amp;"_"&amp;J89&amp;"_"&amp;K89&amp;"_"&amp;L89&amp;"_"&amp;M89&amp;"_"&amp;N89</f>
        <v>ALL_GFX_HVQK_K_HOTSTRESS_TITO_SACD_MAX_LFM_0320_DE</v>
      </c>
      <c r="E89" s="28" t="s">
        <v>7</v>
      </c>
      <c r="F89" s="28" t="s">
        <v>251</v>
      </c>
      <c r="G89" s="28" t="s">
        <v>1005</v>
      </c>
      <c r="H89" s="28" t="s">
        <v>253</v>
      </c>
      <c r="I89" s="28" t="s">
        <v>260</v>
      </c>
      <c r="J89" s="28" t="s">
        <v>395</v>
      </c>
      <c r="K89" s="28" t="s">
        <v>357</v>
      </c>
      <c r="L89" s="28" t="s">
        <v>285</v>
      </c>
      <c r="M89" s="28" t="str">
        <f>TEXT(320,"0000")</f>
        <v>0320</v>
      </c>
      <c r="N89" s="28" t="s">
        <v>1137</v>
      </c>
      <c r="O89" s="28" t="s">
        <v>1189</v>
      </c>
      <c r="P89" s="28" t="s">
        <v>397</v>
      </c>
      <c r="Q89" s="28" t="s">
        <v>1138</v>
      </c>
      <c r="R89" s="28">
        <v>17</v>
      </c>
      <c r="S89" s="28">
        <v>61</v>
      </c>
      <c r="T89" s="28">
        <v>901</v>
      </c>
      <c r="U89" s="28">
        <v>-1</v>
      </c>
      <c r="V89" s="28" t="b">
        <v>0</v>
      </c>
      <c r="W89" s="28" t="s">
        <v>298</v>
      </c>
      <c r="AD89" s="28" t="s">
        <v>1190</v>
      </c>
      <c r="AF89" s="28" t="s">
        <v>1191</v>
      </c>
      <c r="AM89" s="43">
        <f>COUNTA(AO89:AX89)</f>
        <v>5</v>
      </c>
      <c r="AN89" s="43" t="s">
        <v>218</v>
      </c>
      <c r="AO89" s="28" t="str">
        <f t="shared" ref="AO89:AS91" si="12">$D90</f>
        <v>ALL_GFX_HVQK_K_HOTSTRESS_TITO_SAPS_MAX_LFM_0200_IPU_PS</v>
      </c>
      <c r="AP89" s="28" t="str">
        <f t="shared" si="12"/>
        <v>ALL_GFX_HVQK_K_HOTSTRESS_TITO_SAPS_MAX_LFM_0200_IPU_PS</v>
      </c>
      <c r="AQ89" s="28" t="str">
        <f t="shared" si="12"/>
        <v>ALL_GFX_HVQK_K_HOTSTRESS_TITO_SAPS_MAX_LFM_0200_IPU_PS</v>
      </c>
      <c r="AR89" s="28" t="str">
        <f t="shared" si="12"/>
        <v>ALL_GFX_HVQK_K_HOTSTRESS_TITO_SAPS_MAX_LFM_0200_IPU_PS</v>
      </c>
      <c r="AS89" s="28" t="str">
        <f t="shared" si="12"/>
        <v>ALL_GFX_HVQK_K_HOTSTRESS_TITO_SAPS_MAX_LFM_0200_IPU_PS</v>
      </c>
    </row>
    <row r="90" spans="1:45" s="28" customFormat="1" x14ac:dyDescent="0.35">
      <c r="A90" s="28" t="s">
        <v>1044</v>
      </c>
      <c r="B90" s="28" t="s">
        <v>79</v>
      </c>
      <c r="C90" s="28" t="str">
        <f>VLOOKUP(B90,templateLookup!A:B,2,0)</f>
        <v>iCHVQKTest</v>
      </c>
      <c r="D90" s="28" t="str">
        <f>E90&amp;"_"&amp;F90&amp;"_"&amp;G90&amp;"_"&amp;H90&amp;"_"&amp;A90&amp;"_"&amp;I90&amp;"_"&amp;J90&amp;"_"&amp;K90&amp;"_"&amp;L90&amp;"_"&amp;M90&amp;"_"&amp;N90</f>
        <v>ALL_GFX_HVQK_K_HOTSTRESS_TITO_SAPS_MAX_LFM_0200_IPU_PS</v>
      </c>
      <c r="E90" s="28" t="s">
        <v>7</v>
      </c>
      <c r="F90" s="28" t="s">
        <v>251</v>
      </c>
      <c r="G90" s="28" t="s">
        <v>1005</v>
      </c>
      <c r="H90" s="28" t="s">
        <v>253</v>
      </c>
      <c r="I90" s="28" t="s">
        <v>260</v>
      </c>
      <c r="J90" s="28" t="s">
        <v>460</v>
      </c>
      <c r="K90" s="28" t="s">
        <v>357</v>
      </c>
      <c r="L90" s="28" t="s">
        <v>285</v>
      </c>
      <c r="M90" s="28" t="str">
        <f>TEXT(200,"0000")</f>
        <v>0200</v>
      </c>
      <c r="N90" s="28" t="s">
        <v>1139</v>
      </c>
      <c r="O90" s="28" t="s">
        <v>1189</v>
      </c>
      <c r="P90" s="28" t="s">
        <v>397</v>
      </c>
      <c r="Q90" s="28" t="s">
        <v>1140</v>
      </c>
      <c r="R90" s="28">
        <v>17</v>
      </c>
      <c r="S90" s="28">
        <v>61</v>
      </c>
      <c r="T90" s="28">
        <v>902</v>
      </c>
      <c r="U90" s="28">
        <v>-1</v>
      </c>
      <c r="V90" s="28" t="b">
        <v>0</v>
      </c>
      <c r="W90" s="28" t="s">
        <v>298</v>
      </c>
      <c r="AD90" s="28" t="s">
        <v>1192</v>
      </c>
      <c r="AF90" s="28" t="s">
        <v>1193</v>
      </c>
      <c r="AM90" s="43">
        <f>COUNTA(AO90:AX90)</f>
        <v>5</v>
      </c>
      <c r="AN90" s="43" t="s">
        <v>218</v>
      </c>
      <c r="AO90" s="28" t="str">
        <f t="shared" si="12"/>
        <v>ALL_GFX_HVQK_K_HOTSTRESS_TITO_SAIS_MAX_LFM_0200_IPU_IS</v>
      </c>
      <c r="AP90" s="28" t="str">
        <f t="shared" si="12"/>
        <v>ALL_GFX_HVQK_K_HOTSTRESS_TITO_SAIS_MAX_LFM_0200_IPU_IS</v>
      </c>
      <c r="AQ90" s="28" t="str">
        <f t="shared" si="12"/>
        <v>ALL_GFX_HVQK_K_HOTSTRESS_TITO_SAIS_MAX_LFM_0200_IPU_IS</v>
      </c>
      <c r="AR90" s="28" t="str">
        <f t="shared" si="12"/>
        <v>ALL_GFX_HVQK_K_HOTSTRESS_TITO_SAIS_MAX_LFM_0200_IPU_IS</v>
      </c>
      <c r="AS90" s="28" t="str">
        <f t="shared" si="12"/>
        <v>ALL_GFX_HVQK_K_HOTSTRESS_TITO_SAIS_MAX_LFM_0200_IPU_IS</v>
      </c>
    </row>
    <row r="91" spans="1:45" s="28" customFormat="1" x14ac:dyDescent="0.35">
      <c r="A91" s="28" t="s">
        <v>1044</v>
      </c>
      <c r="B91" s="28" t="s">
        <v>79</v>
      </c>
      <c r="C91" s="28" t="str">
        <f>VLOOKUP(B91,templateLookup!A:B,2,0)</f>
        <v>iCHVQKTest</v>
      </c>
      <c r="D91" s="28" t="str">
        <f>E91&amp;"_"&amp;F91&amp;"_"&amp;G91&amp;"_"&amp;H91&amp;"_"&amp;A91&amp;"_"&amp;I91&amp;"_"&amp;J91&amp;"_"&amp;K91&amp;"_"&amp;L91&amp;"_"&amp;M91&amp;"_"&amp;N91</f>
        <v>ALL_GFX_HVQK_K_HOTSTRESS_TITO_SAIS_MAX_LFM_0200_IPU_IS</v>
      </c>
      <c r="E91" s="28" t="s">
        <v>7</v>
      </c>
      <c r="F91" s="28" t="s">
        <v>251</v>
      </c>
      <c r="G91" s="28" t="s">
        <v>1005</v>
      </c>
      <c r="H91" s="28" t="s">
        <v>253</v>
      </c>
      <c r="I91" s="28" t="s">
        <v>260</v>
      </c>
      <c r="J91" s="28" t="s">
        <v>1142</v>
      </c>
      <c r="K91" s="28" t="s">
        <v>357</v>
      </c>
      <c r="L91" s="28" t="s">
        <v>285</v>
      </c>
      <c r="M91" s="28" t="str">
        <f>TEXT(200,"0000")</f>
        <v>0200</v>
      </c>
      <c r="N91" s="28" t="s">
        <v>1143</v>
      </c>
      <c r="O91" s="28" t="s">
        <v>1189</v>
      </c>
      <c r="P91" s="28" t="s">
        <v>397</v>
      </c>
      <c r="Q91" s="28" t="s">
        <v>1144</v>
      </c>
      <c r="R91" s="28">
        <v>17</v>
      </c>
      <c r="S91" s="28">
        <v>61</v>
      </c>
      <c r="T91" s="28">
        <v>903</v>
      </c>
      <c r="U91" s="28">
        <v>-1</v>
      </c>
      <c r="V91" s="28" t="b">
        <v>0</v>
      </c>
      <c r="W91" s="28" t="s">
        <v>298</v>
      </c>
      <c r="AD91" s="28" t="s">
        <v>1194</v>
      </c>
      <c r="AF91" s="28" t="s">
        <v>1195</v>
      </c>
      <c r="AM91" s="43">
        <f>COUNTA(AO91:AX91)</f>
        <v>5</v>
      </c>
      <c r="AN91" s="43" t="s">
        <v>218</v>
      </c>
      <c r="AO91" s="28" t="str">
        <f t="shared" si="12"/>
        <v>ALL_GFX_HVQK_K_HOTSTRESS_TITO_SAME_MAX_LFM_0400_MEDIA</v>
      </c>
      <c r="AP91" s="28" t="str">
        <f t="shared" si="12"/>
        <v>ALL_GFX_HVQK_K_HOTSTRESS_TITO_SAME_MAX_LFM_0400_MEDIA</v>
      </c>
      <c r="AQ91" s="28" t="str">
        <f t="shared" si="12"/>
        <v>ALL_GFX_HVQK_K_HOTSTRESS_TITO_SAME_MAX_LFM_0400_MEDIA</v>
      </c>
      <c r="AR91" s="28" t="str">
        <f t="shared" si="12"/>
        <v>ALL_GFX_HVQK_K_HOTSTRESS_TITO_SAME_MAX_LFM_0400_MEDIA</v>
      </c>
      <c r="AS91" s="28" t="str">
        <f t="shared" si="12"/>
        <v>ALL_GFX_HVQK_K_HOTSTRESS_TITO_SAME_MAX_LFM_0400_MEDIA</v>
      </c>
    </row>
    <row r="92" spans="1:45" s="28" customFormat="1" x14ac:dyDescent="0.35">
      <c r="A92" s="28" t="s">
        <v>1044</v>
      </c>
      <c r="B92" s="28" t="s">
        <v>79</v>
      </c>
      <c r="C92" s="28" t="str">
        <f>VLOOKUP(B92,templateLookup!A:B,2,0)</f>
        <v>iCHVQKTest</v>
      </c>
      <c r="D92" s="28" t="str">
        <f>E92&amp;"_"&amp;F92&amp;"_"&amp;G92&amp;"_"&amp;H92&amp;"_"&amp;A92&amp;"_"&amp;I92&amp;"_"&amp;J92&amp;"_"&amp;K92&amp;"_"&amp;L92&amp;"_"&amp;M92&amp;"_"&amp;N92</f>
        <v>ALL_GFX_HVQK_K_HOTSTRESS_TITO_SAME_MAX_LFM_0400_MEDIA</v>
      </c>
      <c r="E92" s="28" t="s">
        <v>7</v>
      </c>
      <c r="F92" s="28" t="s">
        <v>251</v>
      </c>
      <c r="G92" s="28" t="s">
        <v>1005</v>
      </c>
      <c r="H92" s="28" t="s">
        <v>253</v>
      </c>
      <c r="I92" s="28" t="s">
        <v>260</v>
      </c>
      <c r="J92" s="28" t="s">
        <v>504</v>
      </c>
      <c r="K92" s="28" t="s">
        <v>357</v>
      </c>
      <c r="L92" s="28" t="s">
        <v>285</v>
      </c>
      <c r="M92" s="28" t="str">
        <f>TEXT(400,"0000")</f>
        <v>0400</v>
      </c>
      <c r="N92" s="28" t="s">
        <v>1146</v>
      </c>
      <c r="O92" s="28" t="s">
        <v>1189</v>
      </c>
      <c r="P92" s="28" t="s">
        <v>397</v>
      </c>
      <c r="Q92" s="28" t="s">
        <v>1147</v>
      </c>
      <c r="R92" s="28">
        <v>17</v>
      </c>
      <c r="S92" s="28">
        <v>61</v>
      </c>
      <c r="T92" s="28">
        <v>904</v>
      </c>
      <c r="U92" s="28">
        <v>-1</v>
      </c>
      <c r="V92" s="28" t="b">
        <v>0</v>
      </c>
      <c r="W92" s="28" t="s">
        <v>298</v>
      </c>
      <c r="AD92" s="28" t="s">
        <v>1196</v>
      </c>
      <c r="AF92" s="28" t="s">
        <v>1197</v>
      </c>
      <c r="AM92" s="43">
        <f>COUNTA(AO92:AX92)</f>
        <v>5</v>
      </c>
      <c r="AN92" s="43" t="s">
        <v>218</v>
      </c>
      <c r="AO92" s="28">
        <v>1</v>
      </c>
      <c r="AP92" s="28">
        <v>1</v>
      </c>
      <c r="AQ92" s="28">
        <v>1</v>
      </c>
      <c r="AR92" s="28">
        <v>1</v>
      </c>
      <c r="AS92" s="28">
        <v>1</v>
      </c>
    </row>
    <row r="93" spans="1:45" s="28" customFormat="1" x14ac:dyDescent="0.35">
      <c r="A93" s="28" t="s">
        <v>1044</v>
      </c>
      <c r="B93" s="27" t="s">
        <v>50</v>
      </c>
      <c r="C93" s="27" t="str">
        <f>VLOOKUP(B93,templateLookup!A:B,2,0)</f>
        <v>COMPOSITE</v>
      </c>
      <c r="D93" s="27" t="s">
        <v>1044</v>
      </c>
      <c r="AM93" s="43"/>
      <c r="AN93" s="43"/>
    </row>
    <row r="94" spans="1:45" s="1" customFormat="1" x14ac:dyDescent="0.35">
      <c r="A94" s="29" t="s">
        <v>1049</v>
      </c>
      <c r="B94" s="29" t="s">
        <v>49</v>
      </c>
      <c r="C94" s="29" t="str">
        <f>VLOOKUP(B94,templateLookup!A:B,2,0)</f>
        <v>COMPOSITE</v>
      </c>
      <c r="D94" s="29" t="s">
        <v>1049</v>
      </c>
      <c r="F94" t="s">
        <v>251</v>
      </c>
      <c r="AM94" s="44"/>
      <c r="AN94" s="44"/>
    </row>
    <row r="95" spans="1:45" x14ac:dyDescent="0.35">
      <c r="A95" s="1" t="s">
        <v>1049</v>
      </c>
      <c r="B95" s="1" t="s">
        <v>68</v>
      </c>
      <c r="C95" s="1" t="str">
        <f>VLOOKUP(B95,templateLookup!A:B,2,0)</f>
        <v>LNLVminSearch</v>
      </c>
      <c r="D95" t="str">
        <f>E95&amp;"_"&amp;F95&amp;"_"&amp;G95&amp;"_"&amp;H95&amp;"_"&amp;A95&amp;"_"&amp;I95&amp;"_"&amp;J95&amp;"_"&amp;K95&amp;"_"&amp;L95&amp;"_"&amp;M95&amp;"_"&amp;N95</f>
        <v>ALL_GFX_VMIN_K_SDTEND_TITO_SACD_MIN_LFM_0320_DE</v>
      </c>
      <c r="E95" t="s">
        <v>7</v>
      </c>
      <c r="F95" t="s">
        <v>251</v>
      </c>
      <c r="G95" t="s">
        <v>951</v>
      </c>
      <c r="H95" t="s">
        <v>253</v>
      </c>
      <c r="I95" t="s">
        <v>260</v>
      </c>
      <c r="J95" t="s">
        <v>395</v>
      </c>
      <c r="K95" t="s">
        <v>952</v>
      </c>
      <c r="L95" t="s">
        <v>285</v>
      </c>
      <c r="M95" t="str">
        <f>TEXT(320,"0000")</f>
        <v>0320</v>
      </c>
      <c r="N95" t="s">
        <v>1137</v>
      </c>
      <c r="O95" t="s">
        <v>267</v>
      </c>
      <c r="P95" t="s">
        <v>397</v>
      </c>
      <c r="Q95" t="s">
        <v>1138</v>
      </c>
      <c r="R95">
        <v>61</v>
      </c>
      <c r="S95">
        <v>47</v>
      </c>
      <c r="T95">
        <v>848</v>
      </c>
      <c r="U95">
        <v>-1</v>
      </c>
      <c r="V95" t="b">
        <v>1</v>
      </c>
      <c r="W95" t="s">
        <v>298</v>
      </c>
      <c r="Y95" t="s">
        <v>960</v>
      </c>
      <c r="Z95" t="s">
        <v>1178</v>
      </c>
      <c r="AB95">
        <v>2498</v>
      </c>
      <c r="AC95" t="s">
        <v>955</v>
      </c>
      <c r="AG95" t="s">
        <v>7</v>
      </c>
      <c r="AH95">
        <v>56724</v>
      </c>
      <c r="AM95" s="38">
        <f>COUNTA(AO95:AX95)</f>
        <v>2</v>
      </c>
      <c r="AN95" s="38">
        <v>1</v>
      </c>
      <c r="AO95" t="str">
        <f t="shared" ref="AO95:AP97" si="13">$D96</f>
        <v>ALL_GFX_VMIN_K_SDTEND_TITO_SAPS_MIN_LFM_0200_IPU_PS</v>
      </c>
      <c r="AP95" t="str">
        <f t="shared" si="13"/>
        <v>ALL_GFX_VMIN_K_SDTEND_TITO_SAPS_MIN_LFM_0200_IPU_PS</v>
      </c>
    </row>
    <row r="96" spans="1:45" x14ac:dyDescent="0.35">
      <c r="A96" s="1" t="s">
        <v>1049</v>
      </c>
      <c r="B96" s="1" t="s">
        <v>68</v>
      </c>
      <c r="C96" s="1" t="str">
        <f>VLOOKUP(B96,templateLookup!A:B,2,0)</f>
        <v>LNLVminSearch</v>
      </c>
      <c r="D96" t="str">
        <f>E96&amp;"_"&amp;F96&amp;"_"&amp;G96&amp;"_"&amp;H96&amp;"_"&amp;A96&amp;"_"&amp;I96&amp;"_"&amp;J96&amp;"_"&amp;K96&amp;"_"&amp;L96&amp;"_"&amp;M96&amp;"_"&amp;N96</f>
        <v>ALL_GFX_VMIN_K_SDTEND_TITO_SAPS_MIN_LFM_0200_IPU_PS</v>
      </c>
      <c r="E96" t="s">
        <v>7</v>
      </c>
      <c r="F96" t="s">
        <v>251</v>
      </c>
      <c r="G96" t="s">
        <v>951</v>
      </c>
      <c r="H96" t="s">
        <v>253</v>
      </c>
      <c r="I96" t="s">
        <v>260</v>
      </c>
      <c r="J96" t="s">
        <v>460</v>
      </c>
      <c r="K96" t="s">
        <v>952</v>
      </c>
      <c r="L96" t="s">
        <v>285</v>
      </c>
      <c r="M96" t="str">
        <f>TEXT(200,"0000")</f>
        <v>0200</v>
      </c>
      <c r="N96" t="s">
        <v>1139</v>
      </c>
      <c r="O96" t="s">
        <v>267</v>
      </c>
      <c r="P96" t="s">
        <v>397</v>
      </c>
      <c r="Q96" t="s">
        <v>1140</v>
      </c>
      <c r="R96">
        <v>61</v>
      </c>
      <c r="S96">
        <v>47</v>
      </c>
      <c r="T96">
        <v>849</v>
      </c>
      <c r="U96">
        <v>-1</v>
      </c>
      <c r="V96" t="b">
        <v>1</v>
      </c>
      <c r="W96" t="s">
        <v>298</v>
      </c>
      <c r="Y96" t="s">
        <v>960</v>
      </c>
      <c r="Z96" t="s">
        <v>1141</v>
      </c>
      <c r="AB96">
        <v>2499</v>
      </c>
      <c r="AC96" t="s">
        <v>955</v>
      </c>
      <c r="AG96" t="s">
        <v>7</v>
      </c>
      <c r="AH96">
        <v>30561</v>
      </c>
      <c r="AM96" s="38">
        <f>COUNTA(AO96:AX96)</f>
        <v>2</v>
      </c>
      <c r="AN96" s="38">
        <v>1</v>
      </c>
      <c r="AO96" t="str">
        <f t="shared" si="13"/>
        <v>ALL_GFX_VMIN_K_SDTEND_TITO_SAIS_MIN_LFM_0200_IPU_IS</v>
      </c>
      <c r="AP96" t="str">
        <f t="shared" si="13"/>
        <v>ALL_GFX_VMIN_K_SDTEND_TITO_SAIS_MIN_LFM_0200_IPU_IS</v>
      </c>
    </row>
    <row r="97" spans="1:44" x14ac:dyDescent="0.35">
      <c r="A97" s="1" t="s">
        <v>1049</v>
      </c>
      <c r="B97" s="1" t="s">
        <v>68</v>
      </c>
      <c r="C97" s="1" t="str">
        <f>VLOOKUP(B97,templateLookup!A:B,2,0)</f>
        <v>LNLVminSearch</v>
      </c>
      <c r="D97" t="str">
        <f>E97&amp;"_"&amp;F97&amp;"_"&amp;G97&amp;"_"&amp;H97&amp;"_"&amp;A97&amp;"_"&amp;I97&amp;"_"&amp;J97&amp;"_"&amp;K97&amp;"_"&amp;L97&amp;"_"&amp;M97&amp;"_"&amp;N97</f>
        <v>ALL_GFX_VMIN_K_SDTEND_TITO_SAIS_MIN_LFM_0200_IPU_IS</v>
      </c>
      <c r="E97" t="s">
        <v>7</v>
      </c>
      <c r="F97" t="s">
        <v>251</v>
      </c>
      <c r="G97" t="s">
        <v>951</v>
      </c>
      <c r="H97" t="s">
        <v>253</v>
      </c>
      <c r="I97" t="s">
        <v>260</v>
      </c>
      <c r="J97" t="s">
        <v>1142</v>
      </c>
      <c r="K97" t="s">
        <v>952</v>
      </c>
      <c r="L97" t="s">
        <v>285</v>
      </c>
      <c r="M97" t="str">
        <f>TEXT(200,"0000")</f>
        <v>0200</v>
      </c>
      <c r="N97" t="s">
        <v>1143</v>
      </c>
      <c r="O97" t="s">
        <v>267</v>
      </c>
      <c r="P97" t="s">
        <v>397</v>
      </c>
      <c r="Q97" t="s">
        <v>1144</v>
      </c>
      <c r="R97">
        <v>61</v>
      </c>
      <c r="S97">
        <v>47</v>
      </c>
      <c r="T97">
        <v>850</v>
      </c>
      <c r="U97">
        <v>-1</v>
      </c>
      <c r="V97" t="b">
        <v>1</v>
      </c>
      <c r="W97" t="s">
        <v>298</v>
      </c>
      <c r="Y97" t="s">
        <v>960</v>
      </c>
      <c r="Z97" t="s">
        <v>1145</v>
      </c>
      <c r="AB97">
        <v>2500</v>
      </c>
      <c r="AC97" t="s">
        <v>955</v>
      </c>
      <c r="AG97" t="s">
        <v>7</v>
      </c>
      <c r="AH97">
        <v>3492</v>
      </c>
      <c r="AM97" s="38">
        <f>COUNTA(AO97:AX97)</f>
        <v>2</v>
      </c>
      <c r="AN97" s="38">
        <v>1</v>
      </c>
      <c r="AO97" t="str">
        <f t="shared" si="13"/>
        <v>ALL_GFX_VMIN_K_SDTEND_TITO_SAME_MIN_LFM_0400_MEDIA</v>
      </c>
      <c r="AP97" t="str">
        <f t="shared" si="13"/>
        <v>ALL_GFX_VMIN_K_SDTEND_TITO_SAME_MIN_LFM_0400_MEDIA</v>
      </c>
    </row>
    <row r="98" spans="1:44" x14ac:dyDescent="0.35">
      <c r="A98" s="1" t="s">
        <v>1049</v>
      </c>
      <c r="B98" s="1" t="s">
        <v>68</v>
      </c>
      <c r="C98" s="1" t="str">
        <f>VLOOKUP(B98,templateLookup!A:B,2,0)</f>
        <v>LNLVminSearch</v>
      </c>
      <c r="D98" t="str">
        <f>E98&amp;"_"&amp;F98&amp;"_"&amp;G98&amp;"_"&amp;H98&amp;"_"&amp;A98&amp;"_"&amp;I98&amp;"_"&amp;J98&amp;"_"&amp;K98&amp;"_"&amp;L98&amp;"_"&amp;M98&amp;"_"&amp;N98</f>
        <v>ALL_GFX_VMIN_K_SDTEND_TITO_SAME_MIN_LFM_0400_MEDIA</v>
      </c>
      <c r="E98" t="s">
        <v>7</v>
      </c>
      <c r="F98" t="s">
        <v>251</v>
      </c>
      <c r="G98" t="s">
        <v>951</v>
      </c>
      <c r="H98" t="s">
        <v>253</v>
      </c>
      <c r="I98" t="s">
        <v>260</v>
      </c>
      <c r="J98" t="s">
        <v>504</v>
      </c>
      <c r="K98" t="s">
        <v>952</v>
      </c>
      <c r="L98" t="s">
        <v>285</v>
      </c>
      <c r="M98" t="str">
        <f>TEXT(400,"0000")</f>
        <v>0400</v>
      </c>
      <c r="N98" t="s">
        <v>1146</v>
      </c>
      <c r="O98" t="s">
        <v>267</v>
      </c>
      <c r="P98" t="s">
        <v>397</v>
      </c>
      <c r="Q98" t="s">
        <v>1147</v>
      </c>
      <c r="R98">
        <v>61</v>
      </c>
      <c r="S98">
        <v>47</v>
      </c>
      <c r="T98">
        <v>851</v>
      </c>
      <c r="U98">
        <v>-1</v>
      </c>
      <c r="V98" t="b">
        <v>1</v>
      </c>
      <c r="W98" t="s">
        <v>298</v>
      </c>
      <c r="Y98" t="s">
        <v>960</v>
      </c>
      <c r="Z98" t="s">
        <v>1184</v>
      </c>
      <c r="AB98">
        <v>2501</v>
      </c>
      <c r="AC98" t="s">
        <v>955</v>
      </c>
      <c r="AG98" t="s">
        <v>7</v>
      </c>
      <c r="AH98">
        <v>89442</v>
      </c>
      <c r="AM98" s="38">
        <f>COUNTA(AO98:AX98)</f>
        <v>2</v>
      </c>
      <c r="AN98" s="38">
        <v>1</v>
      </c>
      <c r="AO98">
        <v>1</v>
      </c>
      <c r="AP98">
        <v>1</v>
      </c>
    </row>
    <row r="99" spans="1:44" x14ac:dyDescent="0.35">
      <c r="A99" s="29" t="s">
        <v>1049</v>
      </c>
      <c r="B99" s="29" t="s">
        <v>49</v>
      </c>
      <c r="C99" s="29" t="str">
        <f>VLOOKUP(B99,templateLookup!A:B,2,0)</f>
        <v>COMPOSITE</v>
      </c>
      <c r="D99" s="10" t="s">
        <v>1050</v>
      </c>
      <c r="F99" t="s">
        <v>251</v>
      </c>
      <c r="AM99" s="38">
        <v>2</v>
      </c>
      <c r="AN99" s="38">
        <v>1</v>
      </c>
      <c r="AO99">
        <v>1</v>
      </c>
      <c r="AP99">
        <v>1</v>
      </c>
    </row>
    <row r="100" spans="1:44" x14ac:dyDescent="0.35">
      <c r="A100" s="1" t="s">
        <v>1049</v>
      </c>
      <c r="B100" s="1" t="s">
        <v>102</v>
      </c>
      <c r="C100" s="1" t="str">
        <f>VLOOKUP(B100,templateLookup!A:B,2,0)</f>
        <v>PrimeShmooTestMethod</v>
      </c>
      <c r="D100" t="str">
        <f>E100&amp;"_"&amp;F100&amp;"_"&amp;G100&amp;"_"&amp;H100&amp;"_"&amp;A100&amp;"_"&amp;I100&amp;"_"&amp;J100&amp;"_"&amp;K100&amp;"_"&amp;L100&amp;"_"&amp;M100&amp;"_"&amp;N100</f>
        <v>ALL_GFX_SHMOO_E_SDTEND_TITO_SACD_NOM_LFM_0320_DE</v>
      </c>
      <c r="E100" t="s">
        <v>7</v>
      </c>
      <c r="F100" t="s">
        <v>251</v>
      </c>
      <c r="G100" t="s">
        <v>1011</v>
      </c>
      <c r="H100" t="s">
        <v>207</v>
      </c>
      <c r="I100" t="s">
        <v>260</v>
      </c>
      <c r="J100" t="s">
        <v>395</v>
      </c>
      <c r="K100" t="s">
        <v>284</v>
      </c>
      <c r="L100" t="s">
        <v>285</v>
      </c>
      <c r="M100" t="str">
        <f>TEXT(320,"0000")</f>
        <v>0320</v>
      </c>
      <c r="N100" t="s">
        <v>1137</v>
      </c>
      <c r="O100" t="s">
        <v>1012</v>
      </c>
      <c r="P100" t="s">
        <v>397</v>
      </c>
      <c r="Q100" t="s">
        <v>1138</v>
      </c>
      <c r="R100">
        <v>17</v>
      </c>
      <c r="S100">
        <v>61</v>
      </c>
      <c r="T100">
        <v>856</v>
      </c>
      <c r="U100">
        <v>1</v>
      </c>
      <c r="V100" t="b">
        <v>0</v>
      </c>
      <c r="W100" t="s">
        <v>298</v>
      </c>
      <c r="X100" t="s">
        <v>1062</v>
      </c>
      <c r="AM100" s="38">
        <f>COUNTA(AO100:AX100)</f>
        <v>4</v>
      </c>
      <c r="AN100" s="38" t="s">
        <v>920</v>
      </c>
      <c r="AO100" t="str">
        <f t="shared" ref="AO100:AR102" si="14">$D101</f>
        <v>ALL_GFX_SHMOO_E_SDTEND_TITO_SAPS_NOM_LFM_0200_IPU_PS</v>
      </c>
      <c r="AP100" t="str">
        <f t="shared" si="14"/>
        <v>ALL_GFX_SHMOO_E_SDTEND_TITO_SAPS_NOM_LFM_0200_IPU_PS</v>
      </c>
      <c r="AQ100" t="str">
        <f t="shared" si="14"/>
        <v>ALL_GFX_SHMOO_E_SDTEND_TITO_SAPS_NOM_LFM_0200_IPU_PS</v>
      </c>
      <c r="AR100" t="str">
        <f t="shared" si="14"/>
        <v>ALL_GFX_SHMOO_E_SDTEND_TITO_SAPS_NOM_LFM_0200_IPU_PS</v>
      </c>
    </row>
    <row r="101" spans="1:44" x14ac:dyDescent="0.35">
      <c r="A101" s="1" t="s">
        <v>1049</v>
      </c>
      <c r="B101" s="1" t="s">
        <v>102</v>
      </c>
      <c r="C101" s="1" t="str">
        <f>VLOOKUP(B101,templateLookup!A:B,2,0)</f>
        <v>PrimeShmooTestMethod</v>
      </c>
      <c r="D101" t="str">
        <f>E101&amp;"_"&amp;F101&amp;"_"&amp;G101&amp;"_"&amp;H101&amp;"_"&amp;A101&amp;"_"&amp;I101&amp;"_"&amp;J101&amp;"_"&amp;K101&amp;"_"&amp;L101&amp;"_"&amp;M101&amp;"_"&amp;N101</f>
        <v>ALL_GFX_SHMOO_E_SDTEND_TITO_SAPS_NOM_LFM_0200_IPU_PS</v>
      </c>
      <c r="E101" t="s">
        <v>7</v>
      </c>
      <c r="F101" t="s">
        <v>251</v>
      </c>
      <c r="G101" t="s">
        <v>1011</v>
      </c>
      <c r="H101" t="s">
        <v>207</v>
      </c>
      <c r="I101" t="s">
        <v>260</v>
      </c>
      <c r="J101" t="s">
        <v>460</v>
      </c>
      <c r="K101" t="s">
        <v>284</v>
      </c>
      <c r="L101" t="s">
        <v>285</v>
      </c>
      <c r="M101" t="str">
        <f>TEXT(200,"0000")</f>
        <v>0200</v>
      </c>
      <c r="N101" t="s">
        <v>1139</v>
      </c>
      <c r="O101" t="s">
        <v>1012</v>
      </c>
      <c r="P101" t="s">
        <v>397</v>
      </c>
      <c r="Q101" t="s">
        <v>1140</v>
      </c>
      <c r="R101">
        <v>17</v>
      </c>
      <c r="S101">
        <v>61</v>
      </c>
      <c r="T101">
        <v>857</v>
      </c>
      <c r="U101">
        <v>1</v>
      </c>
      <c r="V101" t="b">
        <v>0</v>
      </c>
      <c r="W101" t="s">
        <v>298</v>
      </c>
      <c r="X101" t="s">
        <v>1062</v>
      </c>
      <c r="AM101" s="38">
        <f>COUNTA(AO101:AX101)</f>
        <v>4</v>
      </c>
      <c r="AN101" s="38" t="s">
        <v>920</v>
      </c>
      <c r="AO101" t="str">
        <f t="shared" si="14"/>
        <v>ALL_GFX_SHMOO_E_SDTEND_TITO_SAIS_NOM_LFM_0200_IPU_IS</v>
      </c>
      <c r="AP101" t="str">
        <f t="shared" si="14"/>
        <v>ALL_GFX_SHMOO_E_SDTEND_TITO_SAIS_NOM_LFM_0200_IPU_IS</v>
      </c>
      <c r="AQ101" t="str">
        <f t="shared" si="14"/>
        <v>ALL_GFX_SHMOO_E_SDTEND_TITO_SAIS_NOM_LFM_0200_IPU_IS</v>
      </c>
      <c r="AR101" t="str">
        <f t="shared" si="14"/>
        <v>ALL_GFX_SHMOO_E_SDTEND_TITO_SAIS_NOM_LFM_0200_IPU_IS</v>
      </c>
    </row>
    <row r="102" spans="1:44" x14ac:dyDescent="0.35">
      <c r="A102" s="1" t="s">
        <v>1049</v>
      </c>
      <c r="B102" s="1" t="s">
        <v>102</v>
      </c>
      <c r="C102" s="1" t="str">
        <f>VLOOKUP(B102,templateLookup!A:B,2,0)</f>
        <v>PrimeShmooTestMethod</v>
      </c>
      <c r="D102" t="str">
        <f>E102&amp;"_"&amp;F102&amp;"_"&amp;G102&amp;"_"&amp;H102&amp;"_"&amp;A102&amp;"_"&amp;I102&amp;"_"&amp;J102&amp;"_"&amp;K102&amp;"_"&amp;L102&amp;"_"&amp;M102&amp;"_"&amp;N102</f>
        <v>ALL_GFX_SHMOO_E_SDTEND_TITO_SAIS_NOM_LFM_0200_IPU_IS</v>
      </c>
      <c r="E102" t="s">
        <v>7</v>
      </c>
      <c r="F102" t="s">
        <v>251</v>
      </c>
      <c r="G102" t="s">
        <v>1011</v>
      </c>
      <c r="H102" t="s">
        <v>207</v>
      </c>
      <c r="I102" t="s">
        <v>260</v>
      </c>
      <c r="J102" t="s">
        <v>1142</v>
      </c>
      <c r="K102" t="s">
        <v>284</v>
      </c>
      <c r="L102" t="s">
        <v>285</v>
      </c>
      <c r="M102" t="str">
        <f>TEXT(200,"0000")</f>
        <v>0200</v>
      </c>
      <c r="N102" t="s">
        <v>1143</v>
      </c>
      <c r="O102" t="s">
        <v>1012</v>
      </c>
      <c r="P102" t="s">
        <v>397</v>
      </c>
      <c r="Q102" t="s">
        <v>1144</v>
      </c>
      <c r="R102">
        <v>17</v>
      </c>
      <c r="S102">
        <v>61</v>
      </c>
      <c r="T102">
        <v>858</v>
      </c>
      <c r="U102">
        <v>1</v>
      </c>
      <c r="V102" t="b">
        <v>0</v>
      </c>
      <c r="W102" t="s">
        <v>298</v>
      </c>
      <c r="X102" t="s">
        <v>1062</v>
      </c>
      <c r="AM102" s="38">
        <f>COUNTA(AO102:AX102)</f>
        <v>4</v>
      </c>
      <c r="AN102" s="38" t="s">
        <v>920</v>
      </c>
      <c r="AO102" t="str">
        <f t="shared" si="14"/>
        <v>ALL_GFX_SHMOO_E_SDTEND_TITO_SAME_NOM_LFM_0400_MEDIA</v>
      </c>
      <c r="AP102" t="str">
        <f t="shared" si="14"/>
        <v>ALL_GFX_SHMOO_E_SDTEND_TITO_SAME_NOM_LFM_0400_MEDIA</v>
      </c>
      <c r="AQ102" t="str">
        <f t="shared" si="14"/>
        <v>ALL_GFX_SHMOO_E_SDTEND_TITO_SAME_NOM_LFM_0400_MEDIA</v>
      </c>
      <c r="AR102" t="str">
        <f t="shared" si="14"/>
        <v>ALL_GFX_SHMOO_E_SDTEND_TITO_SAME_NOM_LFM_0400_MEDIA</v>
      </c>
    </row>
    <row r="103" spans="1:44" x14ac:dyDescent="0.35">
      <c r="A103" s="1" t="s">
        <v>1049</v>
      </c>
      <c r="B103" s="1" t="s">
        <v>102</v>
      </c>
      <c r="C103" s="1" t="str">
        <f>VLOOKUP(B103,templateLookup!A:B,2,0)</f>
        <v>PrimeShmooTestMethod</v>
      </c>
      <c r="D103" t="str">
        <f>E103&amp;"_"&amp;F103&amp;"_"&amp;G103&amp;"_"&amp;H103&amp;"_"&amp;A103&amp;"_"&amp;I103&amp;"_"&amp;J103&amp;"_"&amp;K103&amp;"_"&amp;L103&amp;"_"&amp;M103&amp;"_"&amp;N103</f>
        <v>ALL_GFX_SHMOO_E_SDTEND_TITO_SAME_NOM_LFM_0400_MEDIA</v>
      </c>
      <c r="E103" t="s">
        <v>7</v>
      </c>
      <c r="F103" t="s">
        <v>251</v>
      </c>
      <c r="G103" t="s">
        <v>1011</v>
      </c>
      <c r="H103" t="s">
        <v>207</v>
      </c>
      <c r="I103" t="s">
        <v>260</v>
      </c>
      <c r="J103" t="s">
        <v>504</v>
      </c>
      <c r="K103" t="s">
        <v>284</v>
      </c>
      <c r="L103" t="s">
        <v>285</v>
      </c>
      <c r="M103" t="str">
        <f>TEXT(400,"0000")</f>
        <v>0400</v>
      </c>
      <c r="N103" t="s">
        <v>1146</v>
      </c>
      <c r="O103" t="s">
        <v>1012</v>
      </c>
      <c r="P103" t="s">
        <v>397</v>
      </c>
      <c r="Q103" t="s">
        <v>1147</v>
      </c>
      <c r="R103">
        <v>17</v>
      </c>
      <c r="S103">
        <v>61</v>
      </c>
      <c r="T103">
        <v>859</v>
      </c>
      <c r="U103">
        <v>1</v>
      </c>
      <c r="V103" t="b">
        <v>0</v>
      </c>
      <c r="W103" t="s">
        <v>298</v>
      </c>
      <c r="X103" t="s">
        <v>1062</v>
      </c>
      <c r="AM103" s="38">
        <f>COUNTA(AO103:AX103)</f>
        <v>4</v>
      </c>
      <c r="AN103" s="38" t="s">
        <v>920</v>
      </c>
      <c r="AO103">
        <v>1</v>
      </c>
      <c r="AP103">
        <v>1</v>
      </c>
      <c r="AQ103">
        <v>1</v>
      </c>
      <c r="AR103">
        <v>1</v>
      </c>
    </row>
    <row r="104" spans="1:44" x14ac:dyDescent="0.35">
      <c r="A104" s="29" t="s">
        <v>1049</v>
      </c>
      <c r="B104" s="29" t="s">
        <v>50</v>
      </c>
      <c r="C104" s="29" t="str">
        <f>VLOOKUP(B104,templateLookup!A:B,2,0)</f>
        <v>COMPOSITE</v>
      </c>
      <c r="D104" s="10"/>
    </row>
    <row r="105" spans="1:44" s="1" customFormat="1" x14ac:dyDescent="0.35">
      <c r="A105" s="29" t="s">
        <v>1049</v>
      </c>
      <c r="B105" s="29" t="s">
        <v>50</v>
      </c>
      <c r="C105" s="29" t="str">
        <f>VLOOKUP(B105,templateLookup!A:B,2,0)</f>
        <v>COMPOSITE</v>
      </c>
      <c r="D105" s="29"/>
      <c r="AM105" s="44"/>
      <c r="AN105" s="44"/>
    </row>
    <row r="106" spans="1:44" x14ac:dyDescent="0.35">
      <c r="A106" t="s">
        <v>203</v>
      </c>
      <c r="B106" t="s">
        <v>51</v>
      </c>
      <c r="C106" t="str">
        <f>VLOOKUP(B106,templateLookup!A:B,2,0)</f>
        <v>COMPOSITE</v>
      </c>
      <c r="D106" t="s">
        <v>203</v>
      </c>
    </row>
  </sheetData>
  <autoFilter ref="A1:AX106" xr:uid="{8E768A4C-F4B8-455D-863C-57BBFC374443}"/>
  <conditionalFormatting sqref="T1:T1048576">
    <cfRule type="duplicateValues" dxfId="135" priority="1"/>
  </conditionalFormatting>
  <conditionalFormatting sqref="T77">
    <cfRule type="duplicateValues" dxfId="134" priority="26"/>
  </conditionalFormatting>
  <conditionalFormatting sqref="T78:T80">
    <cfRule type="duplicateValues" dxfId="133" priority="23"/>
  </conditionalFormatting>
  <conditionalFormatting sqref="T83">
    <cfRule type="duplicateValues" dxfId="132" priority="20"/>
  </conditionalFormatting>
  <conditionalFormatting sqref="T84:T86">
    <cfRule type="duplicateValues" dxfId="131" priority="17"/>
  </conditionalFormatting>
  <conditionalFormatting sqref="T89:T92">
    <cfRule type="duplicateValues" dxfId="130" priority="3"/>
  </conditionalFormatting>
  <conditionalFormatting sqref="T95:T98">
    <cfRule type="duplicateValues" dxfId="129" priority="34"/>
  </conditionalFormatting>
  <conditionalFormatting sqref="T99 T104">
    <cfRule type="duplicateValues" dxfId="128" priority="14"/>
  </conditionalFormatting>
  <conditionalFormatting sqref="T100:T103">
    <cfRule type="duplicateValues" dxfId="127" priority="11"/>
  </conditionalFormatting>
  <conditionalFormatting sqref="T106 T1:T75">
    <cfRule type="duplicateValues" dxfId="126" priority="32"/>
  </conditionalFormatting>
  <conditionalFormatting sqref="U1:U1048576">
    <cfRule type="cellIs" dxfId="125" priority="7" operator="equal">
      <formula>1</formula>
    </cfRule>
    <cfRule type="cellIs" dxfId="124" priority="8" operator="equal">
      <formula>-1</formula>
    </cfRule>
  </conditionalFormatting>
  <conditionalFormatting sqref="V1:V1048576">
    <cfRule type="cellIs" dxfId="123" priority="5" operator="equal">
      <formula>TRUE</formula>
    </cfRule>
    <cfRule type="cellIs" dxfId="122" priority="6" operator="equal">
      <formula>FALSE</formula>
    </cfRule>
  </conditionalFormatting>
  <conditionalFormatting sqref="X9:X12">
    <cfRule type="duplicateValues" dxfId="121" priority="30"/>
  </conditionalFormatting>
  <conditionalFormatting sqref="X21:X24">
    <cfRule type="duplicateValues" dxfId="120" priority="28"/>
  </conditionalFormatting>
  <conditionalFormatting sqref="X65:X73">
    <cfRule type="duplicateValues" dxfId="119" priority="31"/>
  </conditionalFormatting>
  <conditionalFormatting sqref="X100:X103">
    <cfRule type="duplicateValues" dxfId="118" priority="9"/>
  </conditionalFormatting>
  <conditionalFormatting sqref="AB77">
    <cfRule type="duplicateValues" dxfId="117" priority="25"/>
    <cfRule type="duplicateValues" dxfId="116" priority="27"/>
  </conditionalFormatting>
  <conditionalFormatting sqref="AB78:AB80">
    <cfRule type="duplicateValues" dxfId="115" priority="22"/>
    <cfRule type="duplicateValues" dxfId="114" priority="24"/>
  </conditionalFormatting>
  <conditionalFormatting sqref="AB83">
    <cfRule type="duplicateValues" dxfId="113" priority="19"/>
    <cfRule type="duplicateValues" dxfId="112" priority="21"/>
  </conditionalFormatting>
  <conditionalFormatting sqref="AB84:AB86">
    <cfRule type="duplicateValues" dxfId="111" priority="16"/>
    <cfRule type="duplicateValues" dxfId="110" priority="18"/>
  </conditionalFormatting>
  <conditionalFormatting sqref="AB89:AB92">
    <cfRule type="duplicateValues" dxfId="109" priority="4"/>
  </conditionalFormatting>
  <conditionalFormatting sqref="AB95:AB98">
    <cfRule type="duplicateValues" dxfId="108" priority="35"/>
    <cfRule type="duplicateValues" dxfId="107" priority="36"/>
  </conditionalFormatting>
  <conditionalFormatting sqref="AB99 AB104">
    <cfRule type="duplicateValues" dxfId="106" priority="15"/>
  </conditionalFormatting>
  <conditionalFormatting sqref="AB100:AB103">
    <cfRule type="duplicateValues" dxfId="105" priority="10"/>
    <cfRule type="duplicateValues" dxfId="104" priority="12"/>
  </conditionalFormatting>
  <conditionalFormatting sqref="AB106 AB1:AB75">
    <cfRule type="duplicateValues" dxfId="103" priority="33"/>
  </conditionalFormatting>
  <conditionalFormatting sqref="AB89:AC92">
    <cfRule type="duplicateValues" dxfId="102" priority="2"/>
  </conditionalFormatting>
  <conditionalFormatting sqref="AB99:AC99 AB104:AC104">
    <cfRule type="duplicateValues" dxfId="101" priority="13"/>
  </conditionalFormatting>
  <conditionalFormatting sqref="AB106:AC106 AB74:AC75 AB62:AC64 AB58:AC59 AB54:AC55 AB44:AC45 AB28:AB31 AB34:AC34 AB4:AB7 AB35:AB43 AB50:AC52 AB46:AB49 AB53 AB56:AB57 AB60:AB61 AB65:AB73 AB8:AC8 AB13:AC13 AB9:AB12 AB16:AC20 AB21:AB24 AB25:AC25 AB1:AC3">
    <cfRule type="duplicateValues" dxfId="100" priority="29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817B-326C-4FF9-ADCA-4590934E8E82}">
  <dimension ref="A1:BA113"/>
  <sheetViews>
    <sheetView zoomScale="70" zoomScaleNormal="70" workbookViewId="0">
      <pane ySplit="1" topLeftCell="A2" activePane="bottomLeft" state="frozen"/>
      <selection activeCell="A39" sqref="A39"/>
      <selection pane="bottomLeft" activeCell="D19" sqref="D19"/>
    </sheetView>
  </sheetViews>
  <sheetFormatPr defaultRowHeight="14.5" x14ac:dyDescent="0.35"/>
  <cols>
    <col min="1" max="1" width="16" bestFit="1" customWidth="1"/>
    <col min="2" max="2" width="19.54296875" bestFit="1" customWidth="1"/>
    <col min="3" max="3" width="33.453125" bestFit="1" customWidth="1"/>
    <col min="4" max="4" width="84.1796875" customWidth="1"/>
    <col min="5" max="5" width="9.1796875" customWidth="1"/>
    <col min="6" max="6" width="10.81640625" customWidth="1"/>
    <col min="7" max="12" width="9.1796875" customWidth="1"/>
    <col min="13" max="13" width="13.1796875" bestFit="1" customWidth="1"/>
    <col min="14" max="14" width="17.54296875" customWidth="1"/>
    <col min="15" max="15" width="41" customWidth="1"/>
    <col min="16" max="16" width="42.81640625" customWidth="1"/>
    <col min="17" max="17" width="49.54296875" customWidth="1"/>
    <col min="18" max="19" width="9.1796875" customWidth="1"/>
    <col min="20" max="20" width="8.54296875" customWidth="1"/>
    <col min="21" max="22" width="9.1796875" customWidth="1"/>
    <col min="23" max="23" width="50.54296875" bestFit="1" customWidth="1"/>
    <col min="24" max="24" width="15.54296875" customWidth="1"/>
    <col min="25" max="25" width="26.54296875" customWidth="1"/>
    <col min="26" max="26" width="21.54296875" customWidth="1"/>
    <col min="27" max="27" width="22" customWidth="1"/>
    <col min="28" max="29" width="63.1796875" customWidth="1"/>
    <col min="30" max="30" width="17.1796875" customWidth="1"/>
    <col min="31" max="31" width="20" customWidth="1"/>
    <col min="32" max="32" width="9.1796875" customWidth="1"/>
    <col min="33" max="33" width="83" bestFit="1" customWidth="1"/>
    <col min="34" max="36" width="9.1796875" customWidth="1"/>
    <col min="37" max="37" width="13.1796875" bestFit="1" customWidth="1"/>
    <col min="38" max="38" width="20.453125" bestFit="1" customWidth="1"/>
    <col min="39" max="39" width="50.54296875" bestFit="1" customWidth="1"/>
    <col min="40" max="40" width="46.54296875" customWidth="1"/>
    <col min="41" max="41" width="31.1796875" bestFit="1" customWidth="1"/>
    <col min="42" max="42" width="9.1796875" customWidth="1"/>
    <col min="44" max="44" width="85.453125" bestFit="1" customWidth="1"/>
    <col min="45" max="48" width="83.54296875" bestFit="1" customWidth="1"/>
  </cols>
  <sheetData>
    <row r="1" spans="1:53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167</v>
      </c>
      <c r="V1" t="s">
        <v>168</v>
      </c>
      <c r="W1" t="s">
        <v>169</v>
      </c>
      <c r="X1" t="s">
        <v>902</v>
      </c>
      <c r="Y1" t="s">
        <v>898</v>
      </c>
      <c r="Z1" t="s">
        <v>903</v>
      </c>
      <c r="AA1" t="s">
        <v>189</v>
      </c>
      <c r="AB1" t="s">
        <v>190</v>
      </c>
      <c r="AC1" t="s">
        <v>899</v>
      </c>
      <c r="AD1" t="s">
        <v>176</v>
      </c>
      <c r="AE1" t="s">
        <v>177</v>
      </c>
      <c r="AF1" t="s">
        <v>908</v>
      </c>
      <c r="AG1" t="s">
        <v>182</v>
      </c>
      <c r="AH1" t="s">
        <v>909</v>
      </c>
      <c r="AI1" t="s">
        <v>910</v>
      </c>
      <c r="AJ1" t="s">
        <v>900</v>
      </c>
      <c r="AK1" t="s">
        <v>901</v>
      </c>
      <c r="AL1" t="s">
        <v>181</v>
      </c>
      <c r="AM1" t="s">
        <v>187</v>
      </c>
      <c r="AN1" t="s">
        <v>188</v>
      </c>
      <c r="AO1" t="s">
        <v>911</v>
      </c>
      <c r="AP1" t="s">
        <v>191</v>
      </c>
      <c r="AQ1" t="s">
        <v>192</v>
      </c>
      <c r="AR1" t="s">
        <v>193</v>
      </c>
      <c r="AS1" t="s">
        <v>194</v>
      </c>
      <c r="AT1" t="s">
        <v>195</v>
      </c>
      <c r="AU1" t="s">
        <v>196</v>
      </c>
      <c r="AV1" t="s">
        <v>197</v>
      </c>
      <c r="AW1" t="s">
        <v>198</v>
      </c>
      <c r="AX1" t="s">
        <v>199</v>
      </c>
      <c r="AY1" t="s">
        <v>200</v>
      </c>
      <c r="AZ1" t="s">
        <v>201</v>
      </c>
      <c r="BA1" t="s">
        <v>202</v>
      </c>
    </row>
    <row r="2" spans="1:53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27</v>
      </c>
    </row>
    <row r="3" spans="1:53" x14ac:dyDescent="0.35">
      <c r="A3" s="5" t="s">
        <v>871</v>
      </c>
      <c r="B3" s="5" t="s">
        <v>49</v>
      </c>
      <c r="C3" s="5" t="str">
        <f>VLOOKUP(B3,templateLookup!A:B,2,0)</f>
        <v>COMPOSITE</v>
      </c>
      <c r="D3" s="5" t="s">
        <v>871</v>
      </c>
      <c r="E3" s="6"/>
      <c r="F3" t="s">
        <v>27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</row>
    <row r="4" spans="1:53" x14ac:dyDescent="0.35">
      <c r="A4" s="12" t="s">
        <v>871</v>
      </c>
      <c r="B4" s="12" t="s">
        <v>65</v>
      </c>
      <c r="C4" s="12" t="str">
        <f>VLOOKUP(B4,templateLookup!A:B,2,0)</f>
        <v>PrimeVminSearchTestMethod</v>
      </c>
      <c r="D4" s="12" t="str">
        <f>E4&amp;"_"&amp;F4&amp;"_"&amp;G4&amp;"_"&amp;H4&amp;"_"&amp;A4&amp;"_"&amp;I4&amp;"_"&amp;J4&amp;"_"&amp;K4&amp;"_"&amp;L4&amp;"_"&amp;M4&amp;"_"&amp;N4</f>
        <v>ALL_SOC_VMIN_K_PREHVQK_TITO_SAX_MIN_LFM_0400_0600_ALL</v>
      </c>
      <c r="E4" t="s">
        <v>7</v>
      </c>
      <c r="F4" t="s">
        <v>27</v>
      </c>
      <c r="G4" t="s">
        <v>951</v>
      </c>
      <c r="H4" t="s">
        <v>253</v>
      </c>
      <c r="I4" t="s">
        <v>260</v>
      </c>
      <c r="J4" t="s">
        <v>660</v>
      </c>
      <c r="K4" t="s">
        <v>952</v>
      </c>
      <c r="L4" t="s">
        <v>285</v>
      </c>
      <c r="M4" t="s">
        <v>1198</v>
      </c>
      <c r="N4" t="s">
        <v>7</v>
      </c>
      <c r="O4" t="s">
        <v>267</v>
      </c>
      <c r="P4" t="s">
        <v>268</v>
      </c>
      <c r="Q4" s="46" t="s">
        <v>1199</v>
      </c>
      <c r="R4">
        <v>61</v>
      </c>
      <c r="S4">
        <v>41</v>
      </c>
      <c r="T4">
        <v>200</v>
      </c>
      <c r="U4">
        <v>-1</v>
      </c>
      <c r="V4" t="b">
        <v>1</v>
      </c>
      <c r="W4" t="s">
        <v>298</v>
      </c>
      <c r="X4">
        <v>2500</v>
      </c>
      <c r="Z4" t="s">
        <v>955</v>
      </c>
      <c r="AA4" t="s">
        <v>960</v>
      </c>
      <c r="AP4">
        <f>COUNTA(AR4:BA4)</f>
        <v>2</v>
      </c>
      <c r="AQ4">
        <v>1</v>
      </c>
      <c r="AR4" t="str">
        <f>D5</f>
        <v>LSA_SOC_VMIN_K_PREHVQK_TITO_SAQ_MIN_LFM_0600_FUSE</v>
      </c>
      <c r="AS4" t="str">
        <f>D5</f>
        <v>LSA_SOC_VMIN_K_PREHVQK_TITO_SAQ_MIN_LFM_0600_FUSE</v>
      </c>
    </row>
    <row r="5" spans="1:53" x14ac:dyDescent="0.35">
      <c r="A5" s="12" t="s">
        <v>871</v>
      </c>
      <c r="B5" s="12" t="s">
        <v>65</v>
      </c>
      <c r="C5" s="12" t="str">
        <f>VLOOKUP(B5,templateLookup!A:B,2,0)</f>
        <v>PrimeVminSearchTestMethod</v>
      </c>
      <c r="D5" s="12" t="str">
        <f>E5&amp;"_"&amp;F5&amp;"_"&amp;G5&amp;"_"&amp;H5&amp;"_"&amp;A5&amp;"_"&amp;I5&amp;"_"&amp;J5&amp;"_"&amp;K5&amp;"_"&amp;L5&amp;"_"&amp;M5&amp;"_"&amp;N5</f>
        <v>LSA_SOC_VMIN_K_PREHVQK_TITO_SAQ_MIN_LFM_0600_FUSE</v>
      </c>
      <c r="E5" t="s">
        <v>5</v>
      </c>
      <c r="F5" t="s">
        <v>27</v>
      </c>
      <c r="G5" t="s">
        <v>951</v>
      </c>
      <c r="H5" t="s">
        <v>253</v>
      </c>
      <c r="I5" t="s">
        <v>260</v>
      </c>
      <c r="J5" t="s">
        <v>558</v>
      </c>
      <c r="K5" t="s">
        <v>952</v>
      </c>
      <c r="L5" t="s">
        <v>285</v>
      </c>
      <c r="M5" t="str">
        <f>TEXT(600,"0000")</f>
        <v>0600</v>
      </c>
      <c r="N5" t="s">
        <v>1200</v>
      </c>
      <c r="O5" t="s">
        <v>267</v>
      </c>
      <c r="P5" t="s">
        <v>268</v>
      </c>
      <c r="Q5" s="46" t="s">
        <v>1201</v>
      </c>
      <c r="R5">
        <v>21</v>
      </c>
      <c r="S5">
        <v>41</v>
      </c>
      <c r="T5">
        <v>201</v>
      </c>
      <c r="U5">
        <v>-1</v>
      </c>
      <c r="V5" t="b">
        <v>1</v>
      </c>
      <c r="W5" t="s">
        <v>1202</v>
      </c>
      <c r="X5">
        <v>2525</v>
      </c>
      <c r="Z5" t="s">
        <v>955</v>
      </c>
      <c r="AA5" t="s">
        <v>960</v>
      </c>
      <c r="AP5">
        <f>COUNTA(AR5:BA5)</f>
        <v>2</v>
      </c>
      <c r="AQ5">
        <v>1</v>
      </c>
      <c r="AR5" t="str">
        <f t="shared" ref="AR5:AR6" si="0">D6</f>
        <v>ALL_SOC_PATMOD_K_PREHVQK_X_X_X_X_X_SET_LFM</v>
      </c>
      <c r="AS5" t="str">
        <f t="shared" ref="AS5:AS6" si="1">D6</f>
        <v>ALL_SOC_PATMOD_K_PREHVQK_X_X_X_X_X_SET_LFM</v>
      </c>
    </row>
    <row r="6" spans="1:53" x14ac:dyDescent="0.35">
      <c r="A6" s="12" t="s">
        <v>871</v>
      </c>
      <c r="B6" s="12" t="s">
        <v>61</v>
      </c>
      <c r="C6" s="12" t="str">
        <f>VLOOKUP(B6,templateLookup!A:B,2,0)</f>
        <v>PrimePatConfigTestMethod</v>
      </c>
      <c r="D6" s="12" t="str">
        <f>E6&amp;"_"&amp;F6&amp;"_"&amp;G6&amp;"_"&amp;H6&amp;"_"&amp;A6&amp;"_"&amp;I6&amp;"_"&amp;J6&amp;"_"&amp;K6&amp;"_"&amp;L6&amp;"_"&amp;M6&amp;"_"&amp;N6</f>
        <v>ALL_SOC_PATMOD_K_PREHVQK_X_X_X_X_X_SET_LFM</v>
      </c>
      <c r="E6" t="s">
        <v>7</v>
      </c>
      <c r="F6" t="s">
        <v>27</v>
      </c>
      <c r="G6" t="s">
        <v>252</v>
      </c>
      <c r="H6" t="s">
        <v>253</v>
      </c>
      <c r="I6" t="s">
        <v>208</v>
      </c>
      <c r="J6" t="s">
        <v>208</v>
      </c>
      <c r="K6" t="s">
        <v>208</v>
      </c>
      <c r="L6" t="s">
        <v>208</v>
      </c>
      <c r="M6" t="s">
        <v>208</v>
      </c>
      <c r="N6" t="s">
        <v>1203</v>
      </c>
      <c r="O6" t="s">
        <v>211</v>
      </c>
      <c r="P6" t="s">
        <v>211</v>
      </c>
      <c r="Q6" t="s">
        <v>212</v>
      </c>
      <c r="R6">
        <v>90</v>
      </c>
      <c r="S6">
        <v>53</v>
      </c>
      <c r="T6">
        <v>202</v>
      </c>
      <c r="U6">
        <v>-1</v>
      </c>
      <c r="V6" t="b">
        <v>1</v>
      </c>
      <c r="AA6" t="s">
        <v>960</v>
      </c>
      <c r="AL6" t="s">
        <v>1204</v>
      </c>
      <c r="AM6" t="s">
        <v>1205</v>
      </c>
      <c r="AN6" t="s">
        <v>1206</v>
      </c>
      <c r="AP6">
        <v>2</v>
      </c>
      <c r="AQ6">
        <v>1</v>
      </c>
      <c r="AR6" t="str">
        <f t="shared" si="0"/>
        <v>LSA_SOC_VMIN_K_PREHVQK_TITO_SAN_MIN_LFM_0600_ONDD</v>
      </c>
      <c r="AS6" t="str">
        <f t="shared" si="1"/>
        <v>LSA_SOC_VMIN_K_PREHVQK_TITO_SAN_MIN_LFM_0600_ONDD</v>
      </c>
    </row>
    <row r="7" spans="1:53" x14ac:dyDescent="0.35">
      <c r="A7" s="12" t="s">
        <v>871</v>
      </c>
      <c r="B7" s="12" t="s">
        <v>65</v>
      </c>
      <c r="C7" s="12" t="str">
        <f>VLOOKUP(B7,templateLookup!A:B,2,0)</f>
        <v>PrimeVminSearchTestMethod</v>
      </c>
      <c r="D7" s="12" t="str">
        <f>E7&amp;"_"&amp;F7&amp;"_"&amp;G7&amp;"_"&amp;H7&amp;"_"&amp;A7&amp;"_"&amp;I7&amp;"_"&amp;J7&amp;"_"&amp;K7&amp;"_"&amp;L7&amp;"_"&amp;M7&amp;"_"&amp;N7</f>
        <v>LSA_SOC_VMIN_K_PREHVQK_TITO_SAN_MIN_LFM_0600_ONDD</v>
      </c>
      <c r="E7" t="s">
        <v>5</v>
      </c>
      <c r="F7" t="s">
        <v>27</v>
      </c>
      <c r="G7" t="s">
        <v>951</v>
      </c>
      <c r="H7" t="s">
        <v>253</v>
      </c>
      <c r="I7" t="s">
        <v>260</v>
      </c>
      <c r="J7" t="s">
        <v>295</v>
      </c>
      <c r="K7" t="s">
        <v>952</v>
      </c>
      <c r="L7" t="s">
        <v>285</v>
      </c>
      <c r="M7" t="str">
        <f>TEXT(600,"0000")</f>
        <v>0600</v>
      </c>
      <c r="N7" t="s">
        <v>1207</v>
      </c>
      <c r="O7" t="s">
        <v>267</v>
      </c>
      <c r="P7" t="s">
        <v>268</v>
      </c>
      <c r="Q7" s="46" t="s">
        <v>1208</v>
      </c>
      <c r="R7">
        <v>21</v>
      </c>
      <c r="S7">
        <v>41</v>
      </c>
      <c r="T7">
        <v>203</v>
      </c>
      <c r="U7">
        <v>-1</v>
      </c>
      <c r="V7" t="b">
        <v>1</v>
      </c>
      <c r="W7" t="s">
        <v>1209</v>
      </c>
      <c r="X7">
        <v>2526</v>
      </c>
      <c r="Z7" t="s">
        <v>955</v>
      </c>
      <c r="AA7" t="s">
        <v>960</v>
      </c>
      <c r="AP7">
        <f>COUNTA(AR7:BA7)</f>
        <v>2</v>
      </c>
      <c r="AQ7">
        <v>1</v>
      </c>
      <c r="AR7">
        <v>1</v>
      </c>
      <c r="AS7">
        <v>1</v>
      </c>
    </row>
    <row r="8" spans="1:53" x14ac:dyDescent="0.35">
      <c r="A8" s="14" t="s">
        <v>871</v>
      </c>
      <c r="B8" s="14" t="s">
        <v>49</v>
      </c>
      <c r="C8" s="14" t="str">
        <f>VLOOKUP(B8,templateLookup!A:B,2,0)</f>
        <v>COMPOSITE</v>
      </c>
      <c r="D8" s="14" t="s">
        <v>1148</v>
      </c>
      <c r="F8" s="14" t="s">
        <v>27</v>
      </c>
      <c r="AP8">
        <v>2</v>
      </c>
      <c r="AQ8">
        <v>1</v>
      </c>
      <c r="AR8">
        <v>1</v>
      </c>
      <c r="AS8">
        <v>1</v>
      </c>
    </row>
    <row r="9" spans="1:53" x14ac:dyDescent="0.35">
      <c r="A9" s="15" t="s">
        <v>871</v>
      </c>
      <c r="B9" s="15" t="s">
        <v>99</v>
      </c>
      <c r="C9" s="15" t="str">
        <f>VLOOKUP(B9,templateLookup!A:B,2,0)</f>
        <v>PrimeShmooTestMethod</v>
      </c>
      <c r="D9" s="15" t="str">
        <f>E9&amp;"_"&amp;F9&amp;"_"&amp;G9&amp;"_"&amp;H9&amp;"_"&amp;A9&amp;"_"&amp;I9&amp;"_"&amp;J9&amp;"_"&amp;K9&amp;"_"&amp;L9&amp;"_"&amp;M9&amp;"_"&amp;N9</f>
        <v>ALL_SOC_SHMOO_E_PREHVQK_TITO_SAQ_NOM_LFM_0600_ALL</v>
      </c>
      <c r="E9" t="s">
        <v>7</v>
      </c>
      <c r="F9" t="s">
        <v>27</v>
      </c>
      <c r="G9" t="s">
        <v>1011</v>
      </c>
      <c r="H9" t="s">
        <v>207</v>
      </c>
      <c r="I9" t="s">
        <v>260</v>
      </c>
      <c r="J9" t="s">
        <v>558</v>
      </c>
      <c r="K9" t="s">
        <v>284</v>
      </c>
      <c r="L9" t="s">
        <v>285</v>
      </c>
      <c r="M9" t="str">
        <f>TEXT(600,"0000")</f>
        <v>0600</v>
      </c>
      <c r="N9" t="s">
        <v>7</v>
      </c>
      <c r="O9" t="s">
        <v>267</v>
      </c>
      <c r="P9" t="s">
        <v>268</v>
      </c>
      <c r="Q9" s="46" t="s">
        <v>1199</v>
      </c>
      <c r="R9">
        <v>61</v>
      </c>
      <c r="S9">
        <v>42</v>
      </c>
      <c r="T9">
        <v>204</v>
      </c>
      <c r="U9">
        <v>1</v>
      </c>
      <c r="V9" t="b">
        <v>0</v>
      </c>
      <c r="W9" t="s">
        <v>298</v>
      </c>
      <c r="Y9" t="s">
        <v>1062</v>
      </c>
      <c r="AP9">
        <f>COUNTA(AR9:BA9)</f>
        <v>4</v>
      </c>
      <c r="AQ9" t="s">
        <v>920</v>
      </c>
      <c r="AR9" t="str">
        <f>$D10</f>
        <v>LSA_SOC_SHMOO_E_PREHVQK_TITO_SAQ_NOM_LFM_0600_FUSE</v>
      </c>
      <c r="AS9" t="str">
        <f>$D10</f>
        <v>LSA_SOC_SHMOO_E_PREHVQK_TITO_SAQ_NOM_LFM_0600_FUSE</v>
      </c>
      <c r="AT9" t="str">
        <f>$D10</f>
        <v>LSA_SOC_SHMOO_E_PREHVQK_TITO_SAQ_NOM_LFM_0600_FUSE</v>
      </c>
      <c r="AU9" t="str">
        <f>$D10</f>
        <v>LSA_SOC_SHMOO_E_PREHVQK_TITO_SAQ_NOM_LFM_0600_FUSE</v>
      </c>
    </row>
    <row r="10" spans="1:53" x14ac:dyDescent="0.35">
      <c r="A10" s="15" t="s">
        <v>871</v>
      </c>
      <c r="B10" s="15" t="s">
        <v>99</v>
      </c>
      <c r="C10" s="15" t="str">
        <f>VLOOKUP(B10,templateLookup!A:B,2,0)</f>
        <v>PrimeShmooTestMethod</v>
      </c>
      <c r="D10" s="15" t="str">
        <f>E10&amp;"_"&amp;F10&amp;"_"&amp;G10&amp;"_"&amp;H10&amp;"_"&amp;A10&amp;"_"&amp;I10&amp;"_"&amp;J10&amp;"_"&amp;K10&amp;"_"&amp;L10&amp;"_"&amp;M10&amp;"_"&amp;N10</f>
        <v>LSA_SOC_SHMOO_E_PREHVQK_TITO_SAQ_NOM_LFM_0600_FUSE</v>
      </c>
      <c r="E10" t="s">
        <v>5</v>
      </c>
      <c r="F10" t="s">
        <v>27</v>
      </c>
      <c r="G10" t="s">
        <v>1011</v>
      </c>
      <c r="H10" t="s">
        <v>207</v>
      </c>
      <c r="I10" t="s">
        <v>260</v>
      </c>
      <c r="J10" t="s">
        <v>558</v>
      </c>
      <c r="K10" t="s">
        <v>284</v>
      </c>
      <c r="L10" t="s">
        <v>285</v>
      </c>
      <c r="M10" t="str">
        <f>TEXT(600,"0000")</f>
        <v>0600</v>
      </c>
      <c r="N10" t="s">
        <v>1200</v>
      </c>
      <c r="O10" t="s">
        <v>267</v>
      </c>
      <c r="P10" t="s">
        <v>268</v>
      </c>
      <c r="Q10" s="46" t="s">
        <v>1201</v>
      </c>
      <c r="R10">
        <v>21</v>
      </c>
      <c r="S10">
        <v>42</v>
      </c>
      <c r="T10">
        <v>205</v>
      </c>
      <c r="U10">
        <v>1</v>
      </c>
      <c r="V10" t="b">
        <v>0</v>
      </c>
      <c r="W10" t="s">
        <v>1202</v>
      </c>
      <c r="Y10" t="s">
        <v>1210</v>
      </c>
      <c r="AP10">
        <f>COUNTA(AR10:BA10)</f>
        <v>4</v>
      </c>
      <c r="AQ10" t="s">
        <v>920</v>
      </c>
      <c r="AR10">
        <v>1</v>
      </c>
      <c r="AS10">
        <v>1</v>
      </c>
      <c r="AT10">
        <v>1</v>
      </c>
      <c r="AU10">
        <v>1</v>
      </c>
    </row>
    <row r="11" spans="1:53" x14ac:dyDescent="0.35">
      <c r="A11" s="14" t="s">
        <v>871</v>
      </c>
      <c r="B11" s="14" t="s">
        <v>50</v>
      </c>
      <c r="C11" s="14" t="str">
        <f>VLOOKUP(B11,templateLookup!A:B,2,0)</f>
        <v>COMPOSITE</v>
      </c>
      <c r="D11" s="10"/>
    </row>
    <row r="12" spans="1:53" x14ac:dyDescent="0.35">
      <c r="A12" s="5" t="s">
        <v>871</v>
      </c>
      <c r="B12" s="5" t="s">
        <v>50</v>
      </c>
      <c r="C12" s="5" t="str">
        <f>VLOOKUP(B12,templateLookup!A:B,2,0)</f>
        <v>COMPOSITE</v>
      </c>
      <c r="D12" s="5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</row>
    <row r="13" spans="1:53" x14ac:dyDescent="0.35">
      <c r="A13" s="5" t="s">
        <v>14</v>
      </c>
      <c r="B13" s="5" t="s">
        <v>49</v>
      </c>
      <c r="C13" s="5" t="str">
        <f>VLOOKUP(B13,templateLookup!A:B,2,0)</f>
        <v>COMPOSITE</v>
      </c>
      <c r="D13" s="5" t="s">
        <v>14</v>
      </c>
      <c r="E13" s="6"/>
      <c r="F13" t="s">
        <v>27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</row>
    <row r="14" spans="1:53" x14ac:dyDescent="0.35">
      <c r="A14" s="3" t="s">
        <v>14</v>
      </c>
      <c r="B14" s="3" t="s">
        <v>77</v>
      </c>
      <c r="C14" s="3" t="str">
        <f>VLOOKUP(B14,templateLookup!A:B,2,0)</f>
        <v>iCHVQKTest</v>
      </c>
      <c r="D14" s="15" t="str">
        <f>E14&amp;"_"&amp;F14&amp;"_"&amp;G14&amp;"_"&amp;H14&amp;"_"&amp;A14&amp;"_"&amp;I14&amp;"_"&amp;J14&amp;"_"&amp;K14&amp;"_"&amp;L14&amp;"_"&amp;M14&amp;"_"&amp;N14</f>
        <v>ALL_SOC_HVQK_K_STRESS_TITO_SAX_MAX_LFM_0400_0600_ALL</v>
      </c>
      <c r="E14" t="s">
        <v>7</v>
      </c>
      <c r="F14" t="s">
        <v>27</v>
      </c>
      <c r="G14" t="s">
        <v>1005</v>
      </c>
      <c r="H14" t="s">
        <v>253</v>
      </c>
      <c r="I14" t="s">
        <v>260</v>
      </c>
      <c r="J14" t="s">
        <v>660</v>
      </c>
      <c r="K14" t="s">
        <v>357</v>
      </c>
      <c r="L14" t="s">
        <v>285</v>
      </c>
      <c r="M14" t="s">
        <v>1198</v>
      </c>
      <c r="N14" t="s">
        <v>7</v>
      </c>
      <c r="O14" t="s">
        <v>1211</v>
      </c>
      <c r="P14" t="s">
        <v>268</v>
      </c>
      <c r="Q14" s="46" t="s">
        <v>1199</v>
      </c>
      <c r="R14">
        <v>17</v>
      </c>
      <c r="S14">
        <v>61</v>
      </c>
      <c r="T14">
        <v>300</v>
      </c>
      <c r="U14">
        <v>-1</v>
      </c>
      <c r="V14" t="b">
        <v>0</v>
      </c>
      <c r="W14" t="s">
        <v>298</v>
      </c>
      <c r="AO14" t="s">
        <v>1212</v>
      </c>
      <c r="AP14">
        <f t="shared" ref="AP14:AP20" si="2">COUNTA(AR14:BA14)</f>
        <v>5</v>
      </c>
      <c r="AQ14" t="s">
        <v>218</v>
      </c>
      <c r="AR14" t="str">
        <f t="shared" ref="AR14:AV15" si="3">$D15</f>
        <v>LSA_SOC_HVQK_K_STRESS_TITO_SAQ_MAX_LFM_0600_FUSE</v>
      </c>
      <c r="AS14" t="str">
        <f t="shared" si="3"/>
        <v>LSA_SOC_HVQK_K_STRESS_TITO_SAQ_MAX_LFM_0600_FUSE</v>
      </c>
      <c r="AT14" t="str">
        <f t="shared" si="3"/>
        <v>LSA_SOC_HVQK_K_STRESS_TITO_SAQ_MAX_LFM_0600_FUSE</v>
      </c>
      <c r="AU14" t="str">
        <f t="shared" si="3"/>
        <v>LSA_SOC_HVQK_K_STRESS_TITO_SAQ_MAX_LFM_0600_FUSE</v>
      </c>
      <c r="AV14" t="str">
        <f t="shared" si="3"/>
        <v>LSA_SOC_HVQK_K_STRESS_TITO_SAQ_MAX_LFM_0600_FUSE</v>
      </c>
    </row>
    <row r="15" spans="1:53" x14ac:dyDescent="0.35">
      <c r="A15" s="3" t="s">
        <v>14</v>
      </c>
      <c r="B15" s="3" t="s">
        <v>77</v>
      </c>
      <c r="C15" s="3" t="str">
        <f>VLOOKUP(B15,templateLookup!A:B,2,0)</f>
        <v>iCHVQKTest</v>
      </c>
      <c r="D15" s="15" t="str">
        <f>E15&amp;"_"&amp;F15&amp;"_"&amp;G15&amp;"_"&amp;H15&amp;"_"&amp;A15&amp;"_"&amp;I15&amp;"_"&amp;J15&amp;"_"&amp;K15&amp;"_"&amp;L15&amp;"_"&amp;M15&amp;"_"&amp;N15</f>
        <v>LSA_SOC_HVQK_K_STRESS_TITO_SAQ_MAX_LFM_0600_FUSE</v>
      </c>
      <c r="E15" t="s">
        <v>5</v>
      </c>
      <c r="F15" t="s">
        <v>27</v>
      </c>
      <c r="G15" t="s">
        <v>1005</v>
      </c>
      <c r="H15" t="s">
        <v>253</v>
      </c>
      <c r="I15" t="s">
        <v>260</v>
      </c>
      <c r="J15" t="s">
        <v>558</v>
      </c>
      <c r="K15" t="s">
        <v>357</v>
      </c>
      <c r="L15" t="s">
        <v>285</v>
      </c>
      <c r="M15" t="str">
        <f>TEXT(600,"0000")</f>
        <v>0600</v>
      </c>
      <c r="N15" t="s">
        <v>1200</v>
      </c>
      <c r="O15" t="s">
        <v>1211</v>
      </c>
      <c r="P15" t="s">
        <v>268</v>
      </c>
      <c r="Q15" s="46" t="s">
        <v>1201</v>
      </c>
      <c r="R15">
        <v>17</v>
      </c>
      <c r="S15">
        <v>21</v>
      </c>
      <c r="T15">
        <v>301</v>
      </c>
      <c r="U15">
        <v>-1</v>
      </c>
      <c r="V15" t="b">
        <v>0</v>
      </c>
      <c r="W15" t="s">
        <v>1202</v>
      </c>
      <c r="AO15" t="s">
        <v>1213</v>
      </c>
      <c r="AP15">
        <f t="shared" si="2"/>
        <v>5</v>
      </c>
      <c r="AQ15" t="s">
        <v>218</v>
      </c>
      <c r="AR15" t="str">
        <f t="shared" si="3"/>
        <v>LSA_SOC_HVQK_K_STRESS_TITO_SAN_MAX_LFM_0600_ONDD</v>
      </c>
      <c r="AS15" t="str">
        <f t="shared" si="3"/>
        <v>LSA_SOC_HVQK_K_STRESS_TITO_SAN_MAX_LFM_0600_ONDD</v>
      </c>
      <c r="AT15" t="str">
        <f t="shared" si="3"/>
        <v>LSA_SOC_HVQK_K_STRESS_TITO_SAN_MAX_LFM_0600_ONDD</v>
      </c>
      <c r="AU15" t="str">
        <f t="shared" si="3"/>
        <v>LSA_SOC_HVQK_K_STRESS_TITO_SAN_MAX_LFM_0600_ONDD</v>
      </c>
      <c r="AV15" t="str">
        <f t="shared" si="3"/>
        <v>LSA_SOC_HVQK_K_STRESS_TITO_SAN_MAX_LFM_0600_ONDD</v>
      </c>
    </row>
    <row r="16" spans="1:53" x14ac:dyDescent="0.35">
      <c r="A16" s="3" t="s">
        <v>14</v>
      </c>
      <c r="B16" s="3" t="s">
        <v>77</v>
      </c>
      <c r="C16" s="3" t="str">
        <f>VLOOKUP(B16,templateLookup!A:B,2,0)</f>
        <v>iCHVQKTest</v>
      </c>
      <c r="D16" s="15" t="str">
        <f>E16&amp;"_"&amp;F16&amp;"_"&amp;G16&amp;"_"&amp;H16&amp;"_"&amp;A16&amp;"_"&amp;I16&amp;"_"&amp;J16&amp;"_"&amp;K16&amp;"_"&amp;L16&amp;"_"&amp;M16&amp;"_"&amp;N16</f>
        <v>LSA_SOC_HVQK_K_STRESS_TITO_SAN_MAX_LFM_0600_ONDD</v>
      </c>
      <c r="E16" t="s">
        <v>5</v>
      </c>
      <c r="F16" t="s">
        <v>27</v>
      </c>
      <c r="G16" t="s">
        <v>1005</v>
      </c>
      <c r="H16" t="s">
        <v>253</v>
      </c>
      <c r="I16" t="s">
        <v>260</v>
      </c>
      <c r="J16" t="s">
        <v>295</v>
      </c>
      <c r="K16" t="s">
        <v>357</v>
      </c>
      <c r="L16" t="s">
        <v>285</v>
      </c>
      <c r="M16" t="str">
        <f>TEXT(600,"0000")</f>
        <v>0600</v>
      </c>
      <c r="N16" t="s">
        <v>1207</v>
      </c>
      <c r="O16" t="s">
        <v>1214</v>
      </c>
      <c r="P16" t="s">
        <v>268</v>
      </c>
      <c r="Q16" s="46" t="s">
        <v>1208</v>
      </c>
      <c r="R16">
        <v>17</v>
      </c>
      <c r="S16">
        <v>61</v>
      </c>
      <c r="T16">
        <v>306</v>
      </c>
      <c r="U16">
        <v>-1</v>
      </c>
      <c r="V16" t="b">
        <v>0</v>
      </c>
      <c r="W16" t="s">
        <v>1209</v>
      </c>
      <c r="AO16" t="s">
        <v>1215</v>
      </c>
      <c r="AP16">
        <f t="shared" si="2"/>
        <v>5</v>
      </c>
      <c r="AQ16" t="s">
        <v>218</v>
      </c>
      <c r="AR16">
        <v>1</v>
      </c>
      <c r="AS16">
        <v>1</v>
      </c>
      <c r="AT16">
        <v>1</v>
      </c>
      <c r="AU16">
        <v>1</v>
      </c>
      <c r="AV16">
        <v>1</v>
      </c>
    </row>
    <row r="17" spans="1:53" x14ac:dyDescent="0.35">
      <c r="A17" s="23" t="s">
        <v>14</v>
      </c>
      <c r="B17" s="23" t="s">
        <v>49</v>
      </c>
      <c r="C17" s="23" t="str">
        <f>VLOOKUP(B17,templateLookup!A:B,2,0)</f>
        <v>COMPOSITE</v>
      </c>
      <c r="D17" s="23" t="s">
        <v>1010</v>
      </c>
      <c r="F17" t="s">
        <v>27</v>
      </c>
      <c r="AP17">
        <f t="shared" si="2"/>
        <v>2</v>
      </c>
      <c r="AQ17">
        <v>1</v>
      </c>
      <c r="AR17">
        <v>1</v>
      </c>
      <c r="AS17">
        <v>1</v>
      </c>
    </row>
    <row r="18" spans="1:53" x14ac:dyDescent="0.35">
      <c r="A18" s="24" t="s">
        <v>14</v>
      </c>
      <c r="B18" s="24" t="s">
        <v>102</v>
      </c>
      <c r="C18" s="24" t="str">
        <f>VLOOKUP(B18,templateLookup!A:B,2,0)</f>
        <v>PrimeShmooTestMethod</v>
      </c>
      <c r="D18" s="15" t="str">
        <f>E18&amp;"_"&amp;F18&amp;"_"&amp;G18&amp;"_"&amp;H18&amp;"_"&amp;A18&amp;"_"&amp;I18&amp;"_"&amp;J18&amp;"_"&amp;K18&amp;"_"&amp;L18&amp;"_"&amp;M18&amp;"_"&amp;N18</f>
        <v>ALL_SOC_SHMOO_E_STRESS_TITO_SAQ_MAX_LFM_0600_ALL</v>
      </c>
      <c r="E18" t="s">
        <v>7</v>
      </c>
      <c r="F18" t="s">
        <v>27</v>
      </c>
      <c r="G18" t="s">
        <v>1011</v>
      </c>
      <c r="H18" t="s">
        <v>207</v>
      </c>
      <c r="I18" t="s">
        <v>260</v>
      </c>
      <c r="J18" t="s">
        <v>558</v>
      </c>
      <c r="K18" t="s">
        <v>357</v>
      </c>
      <c r="L18" t="s">
        <v>285</v>
      </c>
      <c r="M18" t="str">
        <f>TEXT(600,"0000")</f>
        <v>0600</v>
      </c>
      <c r="N18" t="s">
        <v>7</v>
      </c>
      <c r="O18" t="s">
        <v>267</v>
      </c>
      <c r="P18" t="s">
        <v>268</v>
      </c>
      <c r="Q18" s="46" t="s">
        <v>1199</v>
      </c>
      <c r="R18">
        <v>17</v>
      </c>
      <c r="S18">
        <v>61</v>
      </c>
      <c r="T18">
        <v>302</v>
      </c>
      <c r="U18">
        <v>1</v>
      </c>
      <c r="V18" t="b">
        <v>0</v>
      </c>
      <c r="W18" t="s">
        <v>298</v>
      </c>
      <c r="Y18" t="s">
        <v>1062</v>
      </c>
      <c r="AP18">
        <f t="shared" si="2"/>
        <v>4</v>
      </c>
      <c r="AQ18" t="s">
        <v>920</v>
      </c>
      <c r="AR18" t="str">
        <f t="shared" ref="AR18:AU19" si="4">$D19</f>
        <v>LSA_SOC_SHMOO_E_STRESS_TITO_SAQ_MAX_LFM_0600_FUSE</v>
      </c>
      <c r="AS18" t="str">
        <f t="shared" si="4"/>
        <v>LSA_SOC_SHMOO_E_STRESS_TITO_SAQ_MAX_LFM_0600_FUSE</v>
      </c>
      <c r="AT18" t="str">
        <f t="shared" si="4"/>
        <v>LSA_SOC_SHMOO_E_STRESS_TITO_SAQ_MAX_LFM_0600_FUSE</v>
      </c>
      <c r="AU18" t="str">
        <f t="shared" si="4"/>
        <v>LSA_SOC_SHMOO_E_STRESS_TITO_SAQ_MAX_LFM_0600_FUSE</v>
      </c>
    </row>
    <row r="19" spans="1:53" x14ac:dyDescent="0.35">
      <c r="A19" s="24" t="s">
        <v>14</v>
      </c>
      <c r="B19" s="24" t="s">
        <v>102</v>
      </c>
      <c r="C19" s="24" t="str">
        <f>VLOOKUP(B19,templateLookup!A:B,2,0)</f>
        <v>PrimeShmooTestMethod</v>
      </c>
      <c r="D19" s="15" t="str">
        <f>E19&amp;"_"&amp;F19&amp;"_"&amp;G19&amp;"_"&amp;H19&amp;"_"&amp;A19&amp;"_"&amp;I19&amp;"_"&amp;J19&amp;"_"&amp;K19&amp;"_"&amp;L19&amp;"_"&amp;M19&amp;"_"&amp;N19</f>
        <v>LSA_SOC_SHMOO_E_STRESS_TITO_SAQ_MAX_LFM_0600_FUSE</v>
      </c>
      <c r="E19" t="s">
        <v>5</v>
      </c>
      <c r="F19" t="s">
        <v>27</v>
      </c>
      <c r="G19" t="s">
        <v>1011</v>
      </c>
      <c r="H19" t="s">
        <v>207</v>
      </c>
      <c r="I19" t="s">
        <v>260</v>
      </c>
      <c r="J19" t="s">
        <v>558</v>
      </c>
      <c r="K19" t="s">
        <v>357</v>
      </c>
      <c r="L19" t="s">
        <v>285</v>
      </c>
      <c r="M19" t="str">
        <f>TEXT(600,"0000")</f>
        <v>0600</v>
      </c>
      <c r="N19" t="s">
        <v>1200</v>
      </c>
      <c r="O19" t="s">
        <v>267</v>
      </c>
      <c r="P19" t="s">
        <v>268</v>
      </c>
      <c r="Q19" s="46" t="s">
        <v>1201</v>
      </c>
      <c r="R19">
        <v>17</v>
      </c>
      <c r="S19">
        <v>61</v>
      </c>
      <c r="T19">
        <v>303</v>
      </c>
      <c r="U19">
        <v>1</v>
      </c>
      <c r="V19" t="b">
        <v>0</v>
      </c>
      <c r="W19" t="s">
        <v>1202</v>
      </c>
      <c r="Y19" t="s">
        <v>1210</v>
      </c>
      <c r="AP19">
        <f t="shared" si="2"/>
        <v>4</v>
      </c>
      <c r="AQ19" t="s">
        <v>920</v>
      </c>
      <c r="AR19" t="str">
        <f t="shared" si="4"/>
        <v>LSA_SOC_SHMOO_E_STRESS_TITO_SAN_MAX_LFM_0600_ONDD</v>
      </c>
      <c r="AS19" t="str">
        <f t="shared" si="4"/>
        <v>LSA_SOC_SHMOO_E_STRESS_TITO_SAN_MAX_LFM_0600_ONDD</v>
      </c>
      <c r="AT19" t="str">
        <f t="shared" si="4"/>
        <v>LSA_SOC_SHMOO_E_STRESS_TITO_SAN_MAX_LFM_0600_ONDD</v>
      </c>
      <c r="AU19" t="str">
        <f t="shared" si="4"/>
        <v>LSA_SOC_SHMOO_E_STRESS_TITO_SAN_MAX_LFM_0600_ONDD</v>
      </c>
    </row>
    <row r="20" spans="1:53" x14ac:dyDescent="0.35">
      <c r="A20" s="24" t="s">
        <v>14</v>
      </c>
      <c r="B20" s="24" t="s">
        <v>102</v>
      </c>
      <c r="C20" s="24" t="str">
        <f>VLOOKUP(B20,templateLookup!A:B,2,0)</f>
        <v>PrimeShmooTestMethod</v>
      </c>
      <c r="D20" s="15" t="str">
        <f>E20&amp;"_"&amp;F20&amp;"_"&amp;G20&amp;"_"&amp;H20&amp;"_"&amp;A20&amp;"_"&amp;I20&amp;"_"&amp;J20&amp;"_"&amp;K20&amp;"_"&amp;L20&amp;"_"&amp;M20&amp;"_"&amp;N20</f>
        <v>LSA_SOC_SHMOO_E_STRESS_TITO_SAN_MAX_LFM_0600_ONDD</v>
      </c>
      <c r="E20" t="s">
        <v>5</v>
      </c>
      <c r="F20" t="s">
        <v>27</v>
      </c>
      <c r="G20" t="s">
        <v>1011</v>
      </c>
      <c r="H20" t="s">
        <v>207</v>
      </c>
      <c r="I20" t="s">
        <v>260</v>
      </c>
      <c r="J20" t="s">
        <v>295</v>
      </c>
      <c r="K20" t="s">
        <v>357</v>
      </c>
      <c r="L20" t="s">
        <v>285</v>
      </c>
      <c r="M20" t="str">
        <f>TEXT(600,"0000")</f>
        <v>0600</v>
      </c>
      <c r="N20" t="s">
        <v>1207</v>
      </c>
      <c r="O20" t="s">
        <v>267</v>
      </c>
      <c r="P20" t="s">
        <v>268</v>
      </c>
      <c r="Q20" s="46" t="s">
        <v>1208</v>
      </c>
      <c r="R20">
        <v>17</v>
      </c>
      <c r="S20">
        <v>61</v>
      </c>
      <c r="T20">
        <v>304</v>
      </c>
      <c r="U20">
        <v>1</v>
      </c>
      <c r="V20" t="b">
        <v>0</v>
      </c>
      <c r="W20" t="s">
        <v>1216</v>
      </c>
      <c r="Y20" t="s">
        <v>1217</v>
      </c>
      <c r="AP20">
        <f t="shared" si="2"/>
        <v>4</v>
      </c>
      <c r="AQ20" t="s">
        <v>920</v>
      </c>
      <c r="AR20">
        <v>1</v>
      </c>
      <c r="AS20">
        <v>1</v>
      </c>
      <c r="AT20">
        <v>1</v>
      </c>
      <c r="AU20">
        <v>1</v>
      </c>
    </row>
    <row r="21" spans="1:53" x14ac:dyDescent="0.35">
      <c r="A21" s="23" t="s">
        <v>14</v>
      </c>
      <c r="B21" s="23" t="s">
        <v>50</v>
      </c>
      <c r="C21" s="23" t="str">
        <f>VLOOKUP(B21,templateLookup!A:B,2,0)</f>
        <v>COMPOSITE</v>
      </c>
      <c r="D21" s="10"/>
    </row>
    <row r="22" spans="1:53" x14ac:dyDescent="0.35">
      <c r="A22" s="5" t="s">
        <v>14</v>
      </c>
      <c r="B22" s="5" t="s">
        <v>50</v>
      </c>
      <c r="C22" s="5" t="str">
        <f>VLOOKUP(B22,templateLookup!A:B,2,0)</f>
        <v>COMPOSITE</v>
      </c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</row>
    <row r="23" spans="1:53" x14ac:dyDescent="0.35">
      <c r="A23" s="5" t="s">
        <v>1015</v>
      </c>
      <c r="B23" s="5" t="s">
        <v>49</v>
      </c>
      <c r="C23" s="5" t="str">
        <f>VLOOKUP(B23,templateLookup!A:B,2,0)</f>
        <v>COMPOSITE</v>
      </c>
      <c r="D23" s="5" t="s">
        <v>1015</v>
      </c>
      <c r="E23" s="6"/>
      <c r="F23" t="s">
        <v>27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</row>
    <row r="24" spans="1:53" x14ac:dyDescent="0.35">
      <c r="A24" s="22" t="s">
        <v>1015</v>
      </c>
      <c r="B24" s="22" t="s">
        <v>65</v>
      </c>
      <c r="C24" s="22" t="str">
        <f>VLOOKUP(B24,templateLookup!A:B,2,0)</f>
        <v>PrimeVminSearchTestMethod</v>
      </c>
      <c r="D24" s="22" t="str">
        <f>E24&amp;"_"&amp;F24&amp;"_"&amp;G24&amp;"_"&amp;H24&amp;"_"&amp;A24&amp;"_"&amp;I24&amp;"_"&amp;J24&amp;"_"&amp;K24&amp;"_"&amp;L24&amp;"_"&amp;M24&amp;"_"&amp;N24</f>
        <v>ALL_SOC_VMIN_K_POSTHVQK_TITO_SAX_MIN_LFM_0400_0600_ALL</v>
      </c>
      <c r="E24" t="s">
        <v>7</v>
      </c>
      <c r="F24" t="s">
        <v>27</v>
      </c>
      <c r="G24" t="s">
        <v>951</v>
      </c>
      <c r="H24" t="s">
        <v>253</v>
      </c>
      <c r="I24" t="s">
        <v>260</v>
      </c>
      <c r="J24" t="s">
        <v>660</v>
      </c>
      <c r="K24" t="s">
        <v>952</v>
      </c>
      <c r="L24" t="s">
        <v>285</v>
      </c>
      <c r="M24" t="s">
        <v>1198</v>
      </c>
      <c r="N24" t="s">
        <v>7</v>
      </c>
      <c r="O24" t="s">
        <v>267</v>
      </c>
      <c r="P24" t="s">
        <v>268</v>
      </c>
      <c r="Q24" s="46" t="s">
        <v>1199</v>
      </c>
      <c r="R24">
        <v>26</v>
      </c>
      <c r="S24">
        <v>61</v>
      </c>
      <c r="T24">
        <v>350</v>
      </c>
      <c r="U24">
        <v>-1</v>
      </c>
      <c r="V24" t="b">
        <v>1</v>
      </c>
      <c r="W24" t="s">
        <v>298</v>
      </c>
      <c r="X24">
        <v>2592</v>
      </c>
      <c r="Z24" t="s">
        <v>955</v>
      </c>
      <c r="AA24" t="s">
        <v>960</v>
      </c>
      <c r="AP24">
        <f>COUNTA(AR24:BA24)</f>
        <v>2</v>
      </c>
      <c r="AQ24">
        <v>1</v>
      </c>
      <c r="AR24" t="str">
        <f>D25</f>
        <v>LSA_SOC_VMIN_K_POSTHVQK_TITO_SAQ_MIN_LFM_0600_FUSE</v>
      </c>
      <c r="AS24" t="str">
        <f>D25</f>
        <v>LSA_SOC_VMIN_K_POSTHVQK_TITO_SAQ_MIN_LFM_0600_FUSE</v>
      </c>
    </row>
    <row r="25" spans="1:53" x14ac:dyDescent="0.35">
      <c r="A25" s="22" t="s">
        <v>1015</v>
      </c>
      <c r="B25" s="22" t="s">
        <v>65</v>
      </c>
      <c r="C25" s="22" t="str">
        <f>VLOOKUP(B25,templateLookup!A:B,2,0)</f>
        <v>PrimeVminSearchTestMethod</v>
      </c>
      <c r="D25" s="22" t="str">
        <f>E25&amp;"_"&amp;F25&amp;"_"&amp;G25&amp;"_"&amp;H25&amp;"_"&amp;A25&amp;"_"&amp;I25&amp;"_"&amp;J25&amp;"_"&amp;K25&amp;"_"&amp;L25&amp;"_"&amp;M25&amp;"_"&amp;N25</f>
        <v>LSA_SOC_VMIN_K_POSTHVQK_TITO_SAQ_MIN_LFM_0600_FUSE</v>
      </c>
      <c r="E25" t="s">
        <v>5</v>
      </c>
      <c r="F25" t="s">
        <v>27</v>
      </c>
      <c r="G25" t="s">
        <v>951</v>
      </c>
      <c r="H25" t="s">
        <v>253</v>
      </c>
      <c r="I25" t="s">
        <v>260</v>
      </c>
      <c r="J25" t="s">
        <v>558</v>
      </c>
      <c r="K25" t="s">
        <v>952</v>
      </c>
      <c r="L25" t="s">
        <v>285</v>
      </c>
      <c r="M25" t="str">
        <f>TEXT(600,"0000")</f>
        <v>0600</v>
      </c>
      <c r="N25" t="s">
        <v>1200</v>
      </c>
      <c r="O25" t="s">
        <v>267</v>
      </c>
      <c r="P25" t="s">
        <v>268</v>
      </c>
      <c r="Q25" s="46" t="s">
        <v>1201</v>
      </c>
      <c r="R25">
        <v>26</v>
      </c>
      <c r="S25">
        <v>21</v>
      </c>
      <c r="T25">
        <v>351</v>
      </c>
      <c r="U25">
        <v>-1</v>
      </c>
      <c r="V25" t="b">
        <v>1</v>
      </c>
      <c r="W25" t="s">
        <v>1202</v>
      </c>
      <c r="X25">
        <v>2542</v>
      </c>
      <c r="Z25" t="s">
        <v>955</v>
      </c>
      <c r="AA25" t="s">
        <v>960</v>
      </c>
      <c r="AP25">
        <f>COUNTA(AR25:BA25)</f>
        <v>2</v>
      </c>
      <c r="AQ25">
        <v>1</v>
      </c>
      <c r="AR25" t="str">
        <f>D26</f>
        <v>LSA_SOC_VMIN_K_POSTHVQK_TITO_SAN_MIN_LFM_0600_ONDD</v>
      </c>
      <c r="AS25" t="str">
        <f>D26</f>
        <v>LSA_SOC_VMIN_K_POSTHVQK_TITO_SAN_MIN_LFM_0600_ONDD</v>
      </c>
    </row>
    <row r="26" spans="1:53" x14ac:dyDescent="0.35">
      <c r="A26" s="22" t="s">
        <v>1015</v>
      </c>
      <c r="B26" s="22" t="s">
        <v>65</v>
      </c>
      <c r="C26" s="22" t="str">
        <f>VLOOKUP(B26,templateLookup!A:B,2,0)</f>
        <v>PrimeVminSearchTestMethod</v>
      </c>
      <c r="D26" s="22" t="str">
        <f>E26&amp;"_"&amp;F26&amp;"_"&amp;G26&amp;"_"&amp;H26&amp;"_"&amp;A26&amp;"_"&amp;I26&amp;"_"&amp;J26&amp;"_"&amp;K26&amp;"_"&amp;L26&amp;"_"&amp;M26&amp;"_"&amp;N26</f>
        <v>LSA_SOC_VMIN_K_POSTHVQK_TITO_SAN_MIN_LFM_0600_ONDD</v>
      </c>
      <c r="E26" t="s">
        <v>5</v>
      </c>
      <c r="F26" t="s">
        <v>27</v>
      </c>
      <c r="G26" t="s">
        <v>951</v>
      </c>
      <c r="H26" t="s">
        <v>253</v>
      </c>
      <c r="I26" t="s">
        <v>260</v>
      </c>
      <c r="J26" t="s">
        <v>295</v>
      </c>
      <c r="K26" t="s">
        <v>952</v>
      </c>
      <c r="L26" t="s">
        <v>285</v>
      </c>
      <c r="M26" t="str">
        <f>TEXT(600,"0000")</f>
        <v>0600</v>
      </c>
      <c r="N26" t="s">
        <v>1207</v>
      </c>
      <c r="O26" t="s">
        <v>267</v>
      </c>
      <c r="P26" t="s">
        <v>268</v>
      </c>
      <c r="Q26" s="46" t="s">
        <v>1208</v>
      </c>
      <c r="R26">
        <v>26</v>
      </c>
      <c r="S26">
        <v>61</v>
      </c>
      <c r="T26">
        <v>352</v>
      </c>
      <c r="U26">
        <v>-1</v>
      </c>
      <c r="V26" t="b">
        <v>1</v>
      </c>
      <c r="W26" t="s">
        <v>1209</v>
      </c>
      <c r="X26">
        <v>2543</v>
      </c>
      <c r="Z26" t="s">
        <v>955</v>
      </c>
      <c r="AA26" t="s">
        <v>960</v>
      </c>
      <c r="AP26">
        <f>COUNTA(AR26:BA26)</f>
        <v>2</v>
      </c>
      <c r="AQ26">
        <v>1</v>
      </c>
      <c r="AR26">
        <v>1</v>
      </c>
      <c r="AS26">
        <v>1</v>
      </c>
    </row>
    <row r="27" spans="1:53" x14ac:dyDescent="0.35">
      <c r="A27" s="5" t="s">
        <v>1015</v>
      </c>
      <c r="B27" s="5" t="s">
        <v>50</v>
      </c>
      <c r="C27" s="5" t="str">
        <f>VLOOKUP(B27,templateLookup!A:B,2,0)</f>
        <v>COMPOSITE</v>
      </c>
      <c r="D27" s="5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</row>
    <row r="28" spans="1:53" x14ac:dyDescent="0.35">
      <c r="A28" s="5" t="s">
        <v>21</v>
      </c>
      <c r="B28" s="5" t="s">
        <v>49</v>
      </c>
      <c r="C28" s="5" t="str">
        <f>VLOOKUP(B28,templateLookup!A:B,2,0)</f>
        <v>COMPOSITE</v>
      </c>
      <c r="D28" s="5" t="s">
        <v>21</v>
      </c>
      <c r="E28" s="6"/>
      <c r="F28" t="s">
        <v>27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</row>
    <row r="29" spans="1:53" x14ac:dyDescent="0.35">
      <c r="A29" s="21" t="s">
        <v>21</v>
      </c>
      <c r="B29" s="21" t="s">
        <v>49</v>
      </c>
      <c r="C29" s="21" t="str">
        <f>VLOOKUP(B29,templateLookup!A:B,2,0)</f>
        <v>COMPOSITE</v>
      </c>
      <c r="D29" s="10" t="s">
        <v>1017</v>
      </c>
      <c r="F29" t="s">
        <v>27</v>
      </c>
      <c r="AP29">
        <f t="shared" ref="AP29:AP43" si="5">COUNTA(AR29:BA29)</f>
        <v>2</v>
      </c>
      <c r="AQ29">
        <v>1</v>
      </c>
      <c r="AR29" t="str">
        <f>D45</f>
        <v>VMAX</v>
      </c>
      <c r="AS29" t="str">
        <f>D45</f>
        <v>VMAX</v>
      </c>
    </row>
    <row r="30" spans="1:53" x14ac:dyDescent="0.35">
      <c r="A30" s="11" t="s">
        <v>21</v>
      </c>
      <c r="B30" s="11" t="s">
        <v>62</v>
      </c>
      <c r="C30" s="11" t="str">
        <f>VLOOKUP(B30,templateLookup!A:B,2,0)</f>
        <v>PrimeVminSearchTestMethod</v>
      </c>
      <c r="D30" s="46" t="str">
        <f t="shared" ref="D30:D43" si="6">E30&amp;"_"&amp;F30&amp;"_"&amp;G30&amp;"_"&amp;H30&amp;"_"&amp;A30&amp;"_"&amp;I30&amp;"_"&amp;J30&amp;"_"&amp;K30&amp;"_"&amp;L30&amp;"_"&amp;M30&amp;"_"&amp;N30</f>
        <v>SSA_SOC_VCHK_K_END_TITO_SAQ_NOM_LFM_0600_HBO</v>
      </c>
      <c r="E30" t="s">
        <v>4</v>
      </c>
      <c r="F30" t="s">
        <v>27</v>
      </c>
      <c r="G30" t="s">
        <v>1018</v>
      </c>
      <c r="H30" t="s">
        <v>253</v>
      </c>
      <c r="I30" t="s">
        <v>260</v>
      </c>
      <c r="J30" t="s">
        <v>558</v>
      </c>
      <c r="K30" t="s">
        <v>284</v>
      </c>
      <c r="L30" t="s">
        <v>285</v>
      </c>
      <c r="M30" t="str">
        <f>TEXT(600,"0000")</f>
        <v>0600</v>
      </c>
      <c r="N30" t="s">
        <v>1218</v>
      </c>
      <c r="O30" t="s">
        <v>267</v>
      </c>
      <c r="P30" t="s">
        <v>268</v>
      </c>
      <c r="Q30" s="46" t="s">
        <v>1219</v>
      </c>
      <c r="R30">
        <v>61</v>
      </c>
      <c r="S30">
        <v>52</v>
      </c>
      <c r="T30">
        <v>500</v>
      </c>
      <c r="U30">
        <v>-1</v>
      </c>
      <c r="V30" t="b">
        <v>1</v>
      </c>
      <c r="W30" t="s">
        <v>298</v>
      </c>
      <c r="X30">
        <v>2550</v>
      </c>
      <c r="Z30" t="s">
        <v>1021</v>
      </c>
      <c r="AA30" t="s">
        <v>960</v>
      </c>
      <c r="AP30">
        <f t="shared" si="5"/>
        <v>2</v>
      </c>
      <c r="AQ30">
        <v>1</v>
      </c>
      <c r="AR30" t="str">
        <f t="shared" ref="AR30:AS42" si="7">$D31</f>
        <v>SSA_SOC_VCHK_K_END_TITO_SAQ_NOM_LFM_0600_SBCLK_CCSR</v>
      </c>
      <c r="AS30" t="str">
        <f t="shared" si="7"/>
        <v>SSA_SOC_VCHK_K_END_TITO_SAQ_NOM_LFM_0600_SBCLK_CCSR</v>
      </c>
    </row>
    <row r="31" spans="1:53" x14ac:dyDescent="0.35">
      <c r="A31" s="11" t="s">
        <v>21</v>
      </c>
      <c r="B31" s="11" t="s">
        <v>62</v>
      </c>
      <c r="C31" s="11" t="str">
        <f>VLOOKUP(B31,templateLookup!A:B,2,0)</f>
        <v>PrimeVminSearchTestMethod</v>
      </c>
      <c r="D31" s="15" t="str">
        <f t="shared" si="6"/>
        <v>SSA_SOC_VCHK_K_END_TITO_SAQ_NOM_LFM_0600_SBCLK_CCSR</v>
      </c>
      <c r="E31" t="s">
        <v>4</v>
      </c>
      <c r="F31" t="s">
        <v>27</v>
      </c>
      <c r="G31" t="s">
        <v>1018</v>
      </c>
      <c r="H31" t="s">
        <v>253</v>
      </c>
      <c r="I31" t="s">
        <v>260</v>
      </c>
      <c r="J31" t="s">
        <v>558</v>
      </c>
      <c r="K31" t="s">
        <v>284</v>
      </c>
      <c r="L31" t="s">
        <v>285</v>
      </c>
      <c r="M31" t="str">
        <f>TEXT(600,"0000")</f>
        <v>0600</v>
      </c>
      <c r="N31" t="s">
        <v>1220</v>
      </c>
      <c r="O31" t="s">
        <v>267</v>
      </c>
      <c r="P31" t="s">
        <v>268</v>
      </c>
      <c r="Q31" s="46" t="s">
        <v>1221</v>
      </c>
      <c r="R31">
        <v>61</v>
      </c>
      <c r="S31">
        <v>52</v>
      </c>
      <c r="T31">
        <v>503</v>
      </c>
      <c r="U31">
        <v>-1</v>
      </c>
      <c r="V31" t="b">
        <v>1</v>
      </c>
      <c r="W31" t="s">
        <v>298</v>
      </c>
      <c r="X31">
        <v>2553</v>
      </c>
      <c r="Z31" t="s">
        <v>1021</v>
      </c>
      <c r="AA31" t="s">
        <v>960</v>
      </c>
      <c r="AP31">
        <f t="shared" si="5"/>
        <v>2</v>
      </c>
      <c r="AQ31">
        <v>1</v>
      </c>
      <c r="AR31" t="str">
        <f t="shared" si="7"/>
        <v>SSA_SOC_VCHK_K_END_TITO_SAQ_NOM_LFM_0600_DDXR</v>
      </c>
      <c r="AS31" t="str">
        <f t="shared" si="7"/>
        <v>SSA_SOC_VCHK_K_END_TITO_SAQ_NOM_LFM_0600_DDXR</v>
      </c>
    </row>
    <row r="32" spans="1:53" x14ac:dyDescent="0.35">
      <c r="A32" s="11" t="s">
        <v>21</v>
      </c>
      <c r="B32" s="11" t="s">
        <v>62</v>
      </c>
      <c r="C32" s="11" t="str">
        <f>VLOOKUP(B32,templateLookup!A:B,2,0)</f>
        <v>PrimeVminSearchTestMethod</v>
      </c>
      <c r="D32" s="46" t="str">
        <f t="shared" si="6"/>
        <v>SSA_SOC_VCHK_K_END_TITO_SAQ_NOM_LFM_0600_DDXR</v>
      </c>
      <c r="E32" t="s">
        <v>4</v>
      </c>
      <c r="F32" t="s">
        <v>27</v>
      </c>
      <c r="G32" t="s">
        <v>1018</v>
      </c>
      <c r="H32" t="s">
        <v>253</v>
      </c>
      <c r="I32" t="s">
        <v>260</v>
      </c>
      <c r="J32" t="s">
        <v>558</v>
      </c>
      <c r="K32" t="s">
        <v>284</v>
      </c>
      <c r="L32" t="s">
        <v>285</v>
      </c>
      <c r="M32" t="str">
        <f>TEXT(600,"0000")</f>
        <v>0600</v>
      </c>
      <c r="N32" t="s">
        <v>1222</v>
      </c>
      <c r="O32" t="s">
        <v>267</v>
      </c>
      <c r="P32" t="s">
        <v>268</v>
      </c>
      <c r="Q32" s="46" t="s">
        <v>1223</v>
      </c>
      <c r="R32">
        <v>61</v>
      </c>
      <c r="S32">
        <v>52</v>
      </c>
      <c r="T32">
        <v>504</v>
      </c>
      <c r="U32">
        <v>-1</v>
      </c>
      <c r="V32" t="b">
        <v>1</v>
      </c>
      <c r="W32" t="s">
        <v>298</v>
      </c>
      <c r="X32">
        <v>2554</v>
      </c>
      <c r="Z32" t="s">
        <v>1021</v>
      </c>
      <c r="AA32" t="s">
        <v>960</v>
      </c>
      <c r="AP32">
        <f t="shared" si="5"/>
        <v>2</v>
      </c>
      <c r="AQ32">
        <v>1</v>
      </c>
      <c r="AR32" t="str">
        <f t="shared" si="7"/>
        <v>SSA_SOC_VCHK_K_END_TITO_SAQ_NOM_LFM_0600_DDHY</v>
      </c>
      <c r="AS32" t="str">
        <f t="shared" si="7"/>
        <v>SSA_SOC_VCHK_K_END_TITO_SAQ_NOM_LFM_0600_DDHY</v>
      </c>
    </row>
    <row r="33" spans="1:45" x14ac:dyDescent="0.35">
      <c r="A33" s="11" t="s">
        <v>21</v>
      </c>
      <c r="B33" s="11" t="s">
        <v>62</v>
      </c>
      <c r="C33" s="11" t="str">
        <f>VLOOKUP(B33,templateLookup!A:B,2,0)</f>
        <v>PrimeVminSearchTestMethod</v>
      </c>
      <c r="D33" s="46" t="str">
        <f t="shared" si="6"/>
        <v>SSA_SOC_VCHK_K_END_TITO_SAQ_NOM_LFM_0600_DDHY</v>
      </c>
      <c r="E33" t="s">
        <v>4</v>
      </c>
      <c r="F33" t="s">
        <v>27</v>
      </c>
      <c r="G33" t="s">
        <v>1018</v>
      </c>
      <c r="H33" t="s">
        <v>253</v>
      </c>
      <c r="I33" t="s">
        <v>260</v>
      </c>
      <c r="J33" t="s">
        <v>558</v>
      </c>
      <c r="K33" t="s">
        <v>284</v>
      </c>
      <c r="L33" t="s">
        <v>285</v>
      </c>
      <c r="M33" t="str">
        <f>TEXT(600,"0000")</f>
        <v>0600</v>
      </c>
      <c r="N33" t="s">
        <v>1224</v>
      </c>
      <c r="O33" t="s">
        <v>267</v>
      </c>
      <c r="P33" t="s">
        <v>268</v>
      </c>
      <c r="Q33" s="46" t="s">
        <v>1225</v>
      </c>
      <c r="R33">
        <v>61</v>
      </c>
      <c r="S33">
        <v>52</v>
      </c>
      <c r="T33">
        <v>505</v>
      </c>
      <c r="U33">
        <v>-1</v>
      </c>
      <c r="V33" t="b">
        <v>1</v>
      </c>
      <c r="W33" t="s">
        <v>298</v>
      </c>
      <c r="X33">
        <v>2555</v>
      </c>
      <c r="Z33" t="s">
        <v>1021</v>
      </c>
      <c r="AA33" t="s">
        <v>960</v>
      </c>
      <c r="AP33">
        <f t="shared" si="5"/>
        <v>2</v>
      </c>
      <c r="AQ33">
        <v>1</v>
      </c>
      <c r="AR33" t="str">
        <f t="shared" si="7"/>
        <v>SSA_SOC_VCHK_K_END_TITO_SAN_NOM_LFM_0400_PUNIT</v>
      </c>
      <c r="AS33" t="str">
        <f t="shared" si="7"/>
        <v>SSA_SOC_VCHK_K_END_TITO_SAN_NOM_LFM_0400_PUNIT</v>
      </c>
    </row>
    <row r="34" spans="1:45" x14ac:dyDescent="0.35">
      <c r="A34" s="11" t="s">
        <v>21</v>
      </c>
      <c r="B34" s="11" t="s">
        <v>62</v>
      </c>
      <c r="C34" s="11" t="str">
        <f>VLOOKUP(B34,templateLookup!A:B,2,0)</f>
        <v>PrimeVminSearchTestMethod</v>
      </c>
      <c r="D34" s="46" t="str">
        <f t="shared" si="6"/>
        <v>SSA_SOC_VCHK_K_END_TITO_SAN_NOM_LFM_0400_PUNIT</v>
      </c>
      <c r="E34" t="s">
        <v>4</v>
      </c>
      <c r="F34" t="s">
        <v>27</v>
      </c>
      <c r="G34" t="s">
        <v>1018</v>
      </c>
      <c r="H34" t="s">
        <v>253</v>
      </c>
      <c r="I34" t="s">
        <v>260</v>
      </c>
      <c r="J34" t="s">
        <v>295</v>
      </c>
      <c r="K34" t="s">
        <v>284</v>
      </c>
      <c r="L34" t="s">
        <v>285</v>
      </c>
      <c r="M34" t="str">
        <f>TEXT(400,"0000")</f>
        <v>0400</v>
      </c>
      <c r="N34" t="s">
        <v>1226</v>
      </c>
      <c r="O34" t="s">
        <v>267</v>
      </c>
      <c r="P34" t="s">
        <v>268</v>
      </c>
      <c r="Q34" s="46" t="s">
        <v>1227</v>
      </c>
      <c r="R34">
        <v>61</v>
      </c>
      <c r="S34">
        <v>52</v>
      </c>
      <c r="T34">
        <v>507</v>
      </c>
      <c r="U34">
        <v>-1</v>
      </c>
      <c r="V34" t="b">
        <v>1</v>
      </c>
      <c r="W34" t="s">
        <v>298</v>
      </c>
      <c r="X34">
        <v>2557</v>
      </c>
      <c r="Z34" t="s">
        <v>1021</v>
      </c>
      <c r="AA34" t="s">
        <v>960</v>
      </c>
      <c r="AP34">
        <f t="shared" si="5"/>
        <v>2</v>
      </c>
      <c r="AQ34">
        <v>1</v>
      </c>
      <c r="AR34" t="str">
        <f t="shared" si="7"/>
        <v>SSA_SOC_VCHK_K_END_TITO_SAN_NOM_LFM_0400_SBCLK</v>
      </c>
      <c r="AS34" t="str">
        <f t="shared" si="7"/>
        <v>SSA_SOC_VCHK_K_END_TITO_SAN_NOM_LFM_0400_SBCLK</v>
      </c>
    </row>
    <row r="35" spans="1:45" x14ac:dyDescent="0.35">
      <c r="A35" s="11" t="s">
        <v>21</v>
      </c>
      <c r="B35" s="11" t="s">
        <v>62</v>
      </c>
      <c r="C35" s="11" t="str">
        <f>VLOOKUP(B35,templateLookup!A:B,2,0)</f>
        <v>PrimeVminSearchTestMethod</v>
      </c>
      <c r="D35" s="19" t="str">
        <f t="shared" si="6"/>
        <v>SSA_SOC_VCHK_K_END_TITO_SAN_NOM_LFM_0400_SBCLK</v>
      </c>
      <c r="E35" t="s">
        <v>4</v>
      </c>
      <c r="F35" t="s">
        <v>27</v>
      </c>
      <c r="G35" t="s">
        <v>1018</v>
      </c>
      <c r="H35" t="s">
        <v>253</v>
      </c>
      <c r="I35" t="s">
        <v>260</v>
      </c>
      <c r="J35" t="s">
        <v>295</v>
      </c>
      <c r="K35" t="s">
        <v>284</v>
      </c>
      <c r="L35" t="s">
        <v>285</v>
      </c>
      <c r="M35" t="str">
        <f>TEXT(400,"0000")</f>
        <v>0400</v>
      </c>
      <c r="N35" t="s">
        <v>1120</v>
      </c>
      <c r="O35" t="s">
        <v>267</v>
      </c>
      <c r="P35" t="s">
        <v>268</v>
      </c>
      <c r="Q35" s="46" t="s">
        <v>1228</v>
      </c>
      <c r="R35">
        <v>61</v>
      </c>
      <c r="S35">
        <v>52</v>
      </c>
      <c r="T35">
        <v>509</v>
      </c>
      <c r="U35">
        <v>-1</v>
      </c>
      <c r="V35" t="b">
        <v>1</v>
      </c>
      <c r="W35" t="s">
        <v>298</v>
      </c>
      <c r="X35">
        <v>2559</v>
      </c>
      <c r="Z35" t="s">
        <v>1021</v>
      </c>
      <c r="AA35" t="s">
        <v>960</v>
      </c>
      <c r="AP35">
        <f t="shared" si="5"/>
        <v>2</v>
      </c>
      <c r="AQ35">
        <v>1</v>
      </c>
      <c r="AR35" t="str">
        <f t="shared" si="7"/>
        <v>LSA_SOC_VCHK_K_END_TITO_SAQ_NOM_LFM_0600_ALL_SAQ</v>
      </c>
      <c r="AS35" t="str">
        <f t="shared" si="7"/>
        <v>LSA_SOC_VCHK_K_END_TITO_SAQ_NOM_LFM_0600_ALL_SAQ</v>
      </c>
    </row>
    <row r="36" spans="1:45" x14ac:dyDescent="0.35">
      <c r="A36" s="11" t="s">
        <v>21</v>
      </c>
      <c r="B36" s="11" t="s">
        <v>62</v>
      </c>
      <c r="C36" s="11" t="str">
        <f>VLOOKUP(B36,templateLookup!A:B,2,0)</f>
        <v>PrimeVminSearchTestMethod</v>
      </c>
      <c r="D36" s="46" t="str">
        <f t="shared" si="6"/>
        <v>LSA_SOC_VCHK_K_END_TITO_SAQ_NOM_LFM_0600_ALL_SAQ</v>
      </c>
      <c r="E36" t="s">
        <v>5</v>
      </c>
      <c r="F36" t="s">
        <v>27</v>
      </c>
      <c r="G36" t="s">
        <v>1018</v>
      </c>
      <c r="H36" t="s">
        <v>253</v>
      </c>
      <c r="I36" t="s">
        <v>260</v>
      </c>
      <c r="J36" t="s">
        <v>558</v>
      </c>
      <c r="K36" t="s">
        <v>284</v>
      </c>
      <c r="L36" t="s">
        <v>285</v>
      </c>
      <c r="M36" t="str">
        <f>TEXT(600,"0000")</f>
        <v>0600</v>
      </c>
      <c r="N36" t="s">
        <v>1229</v>
      </c>
      <c r="O36" t="s">
        <v>267</v>
      </c>
      <c r="P36" t="s">
        <v>268</v>
      </c>
      <c r="Q36" s="46" t="s">
        <v>1230</v>
      </c>
      <c r="R36">
        <v>21</v>
      </c>
      <c r="S36">
        <v>52</v>
      </c>
      <c r="T36">
        <v>520</v>
      </c>
      <c r="U36">
        <v>-1</v>
      </c>
      <c r="V36" t="b">
        <v>1</v>
      </c>
      <c r="W36" t="s">
        <v>298</v>
      </c>
      <c r="X36">
        <v>2562</v>
      </c>
      <c r="Z36" t="s">
        <v>1021</v>
      </c>
      <c r="AA36" t="s">
        <v>960</v>
      </c>
      <c r="AP36">
        <f t="shared" si="5"/>
        <v>2</v>
      </c>
      <c r="AQ36">
        <v>1</v>
      </c>
      <c r="AR36" t="str">
        <f t="shared" si="7"/>
        <v>LSA_SOC_VCHK_K_END_TITO_SAQ_NOM_LFM_0600_FUSE</v>
      </c>
      <c r="AS36" t="str">
        <f t="shared" si="7"/>
        <v>LSA_SOC_VCHK_K_END_TITO_SAQ_NOM_LFM_0600_FUSE</v>
      </c>
    </row>
    <row r="37" spans="1:45" x14ac:dyDescent="0.35">
      <c r="A37" s="11" t="s">
        <v>21</v>
      </c>
      <c r="B37" s="11" t="s">
        <v>62</v>
      </c>
      <c r="C37" s="11" t="str">
        <f>VLOOKUP(B37,templateLookup!A:B,2,0)</f>
        <v>PrimeVminSearchTestMethod</v>
      </c>
      <c r="D37" s="15" t="str">
        <f t="shared" si="6"/>
        <v>LSA_SOC_VCHK_K_END_TITO_SAQ_NOM_LFM_0600_FUSE</v>
      </c>
      <c r="E37" t="s">
        <v>5</v>
      </c>
      <c r="F37" t="s">
        <v>27</v>
      </c>
      <c r="G37" t="s">
        <v>1018</v>
      </c>
      <c r="H37" t="s">
        <v>253</v>
      </c>
      <c r="I37" t="s">
        <v>260</v>
      </c>
      <c r="J37" t="s">
        <v>558</v>
      </c>
      <c r="K37" t="s">
        <v>284</v>
      </c>
      <c r="L37" t="s">
        <v>285</v>
      </c>
      <c r="M37" t="str">
        <f>TEXT(600,"0000")</f>
        <v>0600</v>
      </c>
      <c r="N37" t="s">
        <v>1200</v>
      </c>
      <c r="O37" t="s">
        <v>267</v>
      </c>
      <c r="P37" t="s">
        <v>268</v>
      </c>
      <c r="Q37" s="46" t="s">
        <v>1231</v>
      </c>
      <c r="R37">
        <v>21</v>
      </c>
      <c r="S37">
        <v>52</v>
      </c>
      <c r="T37">
        <v>532</v>
      </c>
      <c r="U37">
        <v>-1</v>
      </c>
      <c r="V37" t="b">
        <v>1</v>
      </c>
      <c r="W37" t="s">
        <v>1202</v>
      </c>
      <c r="X37">
        <v>2574</v>
      </c>
      <c r="Z37" t="s">
        <v>1021</v>
      </c>
      <c r="AA37" t="s">
        <v>960</v>
      </c>
      <c r="AP37">
        <f t="shared" si="5"/>
        <v>2</v>
      </c>
      <c r="AQ37">
        <v>1</v>
      </c>
      <c r="AR37" t="str">
        <f t="shared" si="7"/>
        <v>LSA_SOC_VCHK_K_END_TITO_SAQ_NOM_LFM_0600_DDXR</v>
      </c>
      <c r="AS37" t="str">
        <f t="shared" si="7"/>
        <v>LSA_SOC_VCHK_K_END_TITO_SAQ_NOM_LFM_0600_DDXR</v>
      </c>
    </row>
    <row r="38" spans="1:45" x14ac:dyDescent="0.35">
      <c r="A38" s="11" t="s">
        <v>21</v>
      </c>
      <c r="B38" s="11" t="s">
        <v>62</v>
      </c>
      <c r="C38" s="11" t="str">
        <f>VLOOKUP(B38,templateLookup!A:B,2,0)</f>
        <v>PrimeVminSearchTestMethod</v>
      </c>
      <c r="D38" s="46" t="str">
        <f t="shared" si="6"/>
        <v>LSA_SOC_VCHK_K_END_TITO_SAQ_NOM_LFM_0600_DDXR</v>
      </c>
      <c r="E38" t="s">
        <v>5</v>
      </c>
      <c r="F38" t="s">
        <v>27</v>
      </c>
      <c r="G38" t="s">
        <v>1018</v>
      </c>
      <c r="H38" t="s">
        <v>253</v>
      </c>
      <c r="I38" t="s">
        <v>260</v>
      </c>
      <c r="J38" t="s">
        <v>558</v>
      </c>
      <c r="K38" t="s">
        <v>284</v>
      </c>
      <c r="L38" t="s">
        <v>285</v>
      </c>
      <c r="M38" t="str">
        <f>TEXT(600,"0000")</f>
        <v>0600</v>
      </c>
      <c r="N38" t="s">
        <v>1222</v>
      </c>
      <c r="O38" t="s">
        <v>267</v>
      </c>
      <c r="P38" t="s">
        <v>268</v>
      </c>
      <c r="Q38" s="46" t="s">
        <v>1232</v>
      </c>
      <c r="R38">
        <v>21</v>
      </c>
      <c r="S38">
        <v>52</v>
      </c>
      <c r="T38">
        <v>533</v>
      </c>
      <c r="U38">
        <v>-1</v>
      </c>
      <c r="V38" t="b">
        <v>1</v>
      </c>
      <c r="W38" t="s">
        <v>298</v>
      </c>
      <c r="X38">
        <v>2575</v>
      </c>
      <c r="Z38" t="s">
        <v>1021</v>
      </c>
      <c r="AA38" t="s">
        <v>960</v>
      </c>
      <c r="AP38">
        <f t="shared" si="5"/>
        <v>2</v>
      </c>
      <c r="AQ38">
        <v>1</v>
      </c>
      <c r="AR38" t="str">
        <f t="shared" si="7"/>
        <v>LSA_SOC_VCHK_K_END_TITO_SAN_NOM_LFM_0400_ALL_SAN</v>
      </c>
      <c r="AS38" t="str">
        <f t="shared" si="7"/>
        <v>LSA_SOC_VCHK_K_END_TITO_SAN_NOM_LFM_0400_ALL_SAN</v>
      </c>
    </row>
    <row r="39" spans="1:45" x14ac:dyDescent="0.35">
      <c r="A39" s="11" t="s">
        <v>21</v>
      </c>
      <c r="B39" s="11" t="s">
        <v>62</v>
      </c>
      <c r="C39" s="11" t="str">
        <f>VLOOKUP(B39,templateLookup!A:B,2,0)</f>
        <v>PrimeVminSearchTestMethod</v>
      </c>
      <c r="D39" s="19" t="str">
        <f t="shared" si="6"/>
        <v>LSA_SOC_VCHK_K_END_TITO_SAN_NOM_LFM_0400_ALL_SAN</v>
      </c>
      <c r="E39" t="s">
        <v>5</v>
      </c>
      <c r="F39" t="s">
        <v>27</v>
      </c>
      <c r="G39" t="s">
        <v>1018</v>
      </c>
      <c r="H39" t="s">
        <v>253</v>
      </c>
      <c r="I39" t="s">
        <v>260</v>
      </c>
      <c r="J39" t="s">
        <v>295</v>
      </c>
      <c r="K39" t="s">
        <v>284</v>
      </c>
      <c r="L39" t="s">
        <v>285</v>
      </c>
      <c r="M39" t="str">
        <f>TEXT(400,"0000")</f>
        <v>0400</v>
      </c>
      <c r="N39" t="s">
        <v>1233</v>
      </c>
      <c r="O39" t="s">
        <v>267</v>
      </c>
      <c r="P39" t="s">
        <v>268</v>
      </c>
      <c r="Q39" s="46" t="s">
        <v>1234</v>
      </c>
      <c r="R39">
        <v>21</v>
      </c>
      <c r="S39">
        <v>52</v>
      </c>
      <c r="T39">
        <v>534</v>
      </c>
      <c r="U39">
        <v>-1</v>
      </c>
      <c r="V39" t="b">
        <v>1</v>
      </c>
      <c r="W39" t="s">
        <v>298</v>
      </c>
      <c r="X39">
        <v>2576</v>
      </c>
      <c r="Z39" t="s">
        <v>1021</v>
      </c>
      <c r="AA39" t="s">
        <v>960</v>
      </c>
      <c r="AP39">
        <f t="shared" si="5"/>
        <v>2</v>
      </c>
      <c r="AQ39">
        <v>1</v>
      </c>
      <c r="AR39" t="str">
        <f t="shared" si="7"/>
        <v>LSA_SOC_VCHK_K_END_TITO_SAN_NOM_LFM_0400_ONDD</v>
      </c>
      <c r="AS39" t="str">
        <f t="shared" si="7"/>
        <v>LSA_SOC_VCHK_K_END_TITO_SAN_NOM_LFM_0400_ONDD</v>
      </c>
    </row>
    <row r="40" spans="1:45" x14ac:dyDescent="0.35">
      <c r="A40" s="11" t="s">
        <v>21</v>
      </c>
      <c r="B40" s="11" t="s">
        <v>62</v>
      </c>
      <c r="C40" s="11" t="str">
        <f>VLOOKUP(B40,templateLookup!A:B,2,0)</f>
        <v>PrimeVminSearchTestMethod</v>
      </c>
      <c r="D40" s="19" t="str">
        <f t="shared" si="6"/>
        <v>LSA_SOC_VCHK_K_END_TITO_SAN_NOM_LFM_0400_ONDD</v>
      </c>
      <c r="E40" t="s">
        <v>5</v>
      </c>
      <c r="F40" t="s">
        <v>27</v>
      </c>
      <c r="G40" t="s">
        <v>1018</v>
      </c>
      <c r="H40" t="s">
        <v>253</v>
      </c>
      <c r="I40" t="s">
        <v>260</v>
      </c>
      <c r="J40" t="s">
        <v>295</v>
      </c>
      <c r="K40" t="s">
        <v>284</v>
      </c>
      <c r="L40" t="s">
        <v>285</v>
      </c>
      <c r="M40" t="str">
        <f>TEXT(400,"0000")</f>
        <v>0400</v>
      </c>
      <c r="N40" t="s">
        <v>1207</v>
      </c>
      <c r="O40" t="s">
        <v>267</v>
      </c>
      <c r="P40" t="s">
        <v>268</v>
      </c>
      <c r="Q40" s="46" t="s">
        <v>1235</v>
      </c>
      <c r="R40">
        <v>21</v>
      </c>
      <c r="S40">
        <v>52</v>
      </c>
      <c r="T40">
        <v>537</v>
      </c>
      <c r="U40">
        <v>-1</v>
      </c>
      <c r="V40" t="b">
        <v>1</v>
      </c>
      <c r="W40" t="s">
        <v>1209</v>
      </c>
      <c r="X40">
        <v>2579</v>
      </c>
      <c r="Z40" t="s">
        <v>1021</v>
      </c>
      <c r="AA40" t="s">
        <v>960</v>
      </c>
      <c r="AP40">
        <f t="shared" si="5"/>
        <v>2</v>
      </c>
      <c r="AQ40">
        <v>1</v>
      </c>
      <c r="AR40" t="str">
        <f t="shared" si="7"/>
        <v>ROM_SOC_VCHK_K_END_TITO_SAQ_NOM_LFM_0600_CCSR</v>
      </c>
      <c r="AS40" t="str">
        <f t="shared" si="7"/>
        <v>ROM_SOC_VCHK_K_END_TITO_SAQ_NOM_LFM_0600_CCSR</v>
      </c>
    </row>
    <row r="41" spans="1:45" x14ac:dyDescent="0.35">
      <c r="A41" s="11" t="s">
        <v>21</v>
      </c>
      <c r="B41" s="11" t="s">
        <v>62</v>
      </c>
      <c r="C41" s="11" t="str">
        <f>VLOOKUP(B41,templateLookup!A:B,2,0)</f>
        <v>PrimeVminSearchTestMethod</v>
      </c>
      <c r="D41" s="46" t="str">
        <f t="shared" si="6"/>
        <v>ROM_SOC_VCHK_K_END_TITO_SAQ_NOM_LFM_0600_CCSR</v>
      </c>
      <c r="E41" t="s">
        <v>6</v>
      </c>
      <c r="F41" t="s">
        <v>27</v>
      </c>
      <c r="G41" t="s">
        <v>1018</v>
      </c>
      <c r="H41" t="s">
        <v>253</v>
      </c>
      <c r="I41" t="s">
        <v>260</v>
      </c>
      <c r="J41" t="s">
        <v>558</v>
      </c>
      <c r="K41" t="s">
        <v>284</v>
      </c>
      <c r="L41" t="s">
        <v>285</v>
      </c>
      <c r="M41" t="str">
        <f>TEXT(600,"0000")</f>
        <v>0600</v>
      </c>
      <c r="N41" t="s">
        <v>1236</v>
      </c>
      <c r="O41" t="s">
        <v>267</v>
      </c>
      <c r="P41" t="s">
        <v>268</v>
      </c>
      <c r="Q41" s="46" t="s">
        <v>1237</v>
      </c>
      <c r="R41">
        <v>21</v>
      </c>
      <c r="S41">
        <v>52</v>
      </c>
      <c r="T41">
        <v>540</v>
      </c>
      <c r="U41">
        <v>-1</v>
      </c>
      <c r="V41" t="b">
        <v>1</v>
      </c>
      <c r="W41" t="s">
        <v>298</v>
      </c>
      <c r="X41">
        <v>2580</v>
      </c>
      <c r="Z41" t="s">
        <v>1021</v>
      </c>
      <c r="AA41" t="s">
        <v>960</v>
      </c>
      <c r="AP41">
        <f t="shared" si="5"/>
        <v>2</v>
      </c>
      <c r="AQ41">
        <v>1</v>
      </c>
      <c r="AR41" t="str">
        <f t="shared" si="7"/>
        <v>ROM_SOC_VCHK_K_END_TITO_SAQ_NOM_LFM_0600_DDHY</v>
      </c>
      <c r="AS41" t="str">
        <f t="shared" si="7"/>
        <v>ROM_SOC_VCHK_K_END_TITO_SAQ_NOM_LFM_0600_DDHY</v>
      </c>
    </row>
    <row r="42" spans="1:45" x14ac:dyDescent="0.35">
      <c r="A42" s="11" t="s">
        <v>21</v>
      </c>
      <c r="B42" s="11" t="s">
        <v>62</v>
      </c>
      <c r="C42" s="11" t="str">
        <f>VLOOKUP(B42,templateLookup!A:B,2,0)</f>
        <v>PrimeVminSearchTestMethod</v>
      </c>
      <c r="D42" s="46" t="str">
        <f t="shared" si="6"/>
        <v>ROM_SOC_VCHK_K_END_TITO_SAQ_NOM_LFM_0600_DDHY</v>
      </c>
      <c r="E42" t="s">
        <v>6</v>
      </c>
      <c r="F42" t="s">
        <v>27</v>
      </c>
      <c r="G42" t="s">
        <v>1018</v>
      </c>
      <c r="H42" t="s">
        <v>253</v>
      </c>
      <c r="I42" t="s">
        <v>260</v>
      </c>
      <c r="J42" t="s">
        <v>558</v>
      </c>
      <c r="K42" t="s">
        <v>284</v>
      </c>
      <c r="L42" t="s">
        <v>285</v>
      </c>
      <c r="M42" t="str">
        <f>TEXT(600,"0000")</f>
        <v>0600</v>
      </c>
      <c r="N42" t="s">
        <v>1224</v>
      </c>
      <c r="O42" t="s">
        <v>267</v>
      </c>
      <c r="P42" t="s">
        <v>268</v>
      </c>
      <c r="Q42" s="46" t="s">
        <v>1238</v>
      </c>
      <c r="R42">
        <v>21</v>
      </c>
      <c r="S42">
        <v>52</v>
      </c>
      <c r="T42">
        <v>541</v>
      </c>
      <c r="U42">
        <v>-1</v>
      </c>
      <c r="V42" t="b">
        <v>1</v>
      </c>
      <c r="W42" t="s">
        <v>298</v>
      </c>
      <c r="X42">
        <v>2581</v>
      </c>
      <c r="Z42" t="s">
        <v>1021</v>
      </c>
      <c r="AA42" t="s">
        <v>960</v>
      </c>
      <c r="AP42">
        <f t="shared" si="5"/>
        <v>2</v>
      </c>
      <c r="AQ42">
        <v>1</v>
      </c>
      <c r="AR42" t="str">
        <f t="shared" si="7"/>
        <v>ROM_SOC_VCHK_K_END_TITO_SAN_NOM_LFM_0400_ALL_SAN</v>
      </c>
      <c r="AS42" t="str">
        <f t="shared" si="7"/>
        <v>ROM_SOC_VCHK_K_END_TITO_SAN_NOM_LFM_0400_ALL_SAN</v>
      </c>
    </row>
    <row r="43" spans="1:45" x14ac:dyDescent="0.35">
      <c r="A43" s="11" t="s">
        <v>21</v>
      </c>
      <c r="B43" s="11" t="s">
        <v>62</v>
      </c>
      <c r="C43" s="11" t="str">
        <f>VLOOKUP(B43,templateLookup!A:B,2,0)</f>
        <v>PrimeVminSearchTestMethod</v>
      </c>
      <c r="D43" s="19" t="str">
        <f t="shared" si="6"/>
        <v>ROM_SOC_VCHK_K_END_TITO_SAN_NOM_LFM_0400_ALL_SAN</v>
      </c>
      <c r="E43" t="s">
        <v>6</v>
      </c>
      <c r="F43" t="s">
        <v>27</v>
      </c>
      <c r="G43" t="s">
        <v>1018</v>
      </c>
      <c r="H43" t="s">
        <v>253</v>
      </c>
      <c r="I43" t="s">
        <v>260</v>
      </c>
      <c r="J43" t="s">
        <v>295</v>
      </c>
      <c r="K43" t="s">
        <v>284</v>
      </c>
      <c r="L43" t="s">
        <v>285</v>
      </c>
      <c r="M43" t="str">
        <f>TEXT(400,"0000")</f>
        <v>0400</v>
      </c>
      <c r="N43" t="s">
        <v>1233</v>
      </c>
      <c r="O43" t="s">
        <v>267</v>
      </c>
      <c r="P43" t="s">
        <v>268</v>
      </c>
      <c r="Q43" s="46" t="s">
        <v>1239</v>
      </c>
      <c r="R43">
        <v>21</v>
      </c>
      <c r="S43">
        <v>52</v>
      </c>
      <c r="T43">
        <v>542</v>
      </c>
      <c r="U43">
        <v>-1</v>
      </c>
      <c r="V43" t="b">
        <v>1</v>
      </c>
      <c r="W43" t="s">
        <v>298</v>
      </c>
      <c r="X43">
        <v>2582</v>
      </c>
      <c r="Z43" t="s">
        <v>1021</v>
      </c>
      <c r="AA43" t="s">
        <v>960</v>
      </c>
      <c r="AP43">
        <f t="shared" si="5"/>
        <v>2</v>
      </c>
      <c r="AQ43">
        <v>1</v>
      </c>
      <c r="AR43">
        <v>1</v>
      </c>
      <c r="AS43">
        <v>1</v>
      </c>
    </row>
    <row r="44" spans="1:45" x14ac:dyDescent="0.35">
      <c r="A44" s="21" t="s">
        <v>21</v>
      </c>
      <c r="B44" s="21" t="s">
        <v>50</v>
      </c>
      <c r="C44" s="21" t="str">
        <f>VLOOKUP(B44,templateLookup!A:B,2,0)</f>
        <v>COMPOSITE</v>
      </c>
      <c r="D44" s="10"/>
    </row>
    <row r="45" spans="1:45" x14ac:dyDescent="0.35">
      <c r="A45" s="20" t="s">
        <v>21</v>
      </c>
      <c r="B45" s="20" t="s">
        <v>49</v>
      </c>
      <c r="C45" s="20" t="str">
        <f>VLOOKUP(B45,templateLookup!A:B,2,0)</f>
        <v>COMPOSITE</v>
      </c>
      <c r="D45" s="10" t="s">
        <v>1036</v>
      </c>
      <c r="F45" t="s">
        <v>27</v>
      </c>
      <c r="AP45">
        <f t="shared" ref="AP45:AP52" si="8">COUNTA(AR45:BA45)</f>
        <v>2</v>
      </c>
      <c r="AQ45">
        <v>1</v>
      </c>
      <c r="AR45" t="str">
        <f>D54</f>
        <v>PMOVI</v>
      </c>
      <c r="AS45" t="str">
        <f>D54</f>
        <v>PMOVI</v>
      </c>
    </row>
    <row r="46" spans="1:45" x14ac:dyDescent="0.35">
      <c r="A46" s="16" t="s">
        <v>21</v>
      </c>
      <c r="B46" s="16" t="s">
        <v>62</v>
      </c>
      <c r="C46" s="16" t="str">
        <f>VLOOKUP(B46,templateLookup!A:B,2,0)</f>
        <v>PrimeVminSearchTestMethod</v>
      </c>
      <c r="D46" s="15" t="str">
        <f t="shared" ref="D46:D52" si="9">E46&amp;"_"&amp;F46&amp;"_"&amp;G46&amp;"_"&amp;H46&amp;"_"&amp;A46&amp;"_"&amp;I46&amp;"_"&amp;J46&amp;"_"&amp;K46&amp;"_"&amp;L46&amp;"_"&amp;M46&amp;"_"&amp;N46</f>
        <v>ALL_SOC_VCHK_K_END_TITO_SAQ_MAX_LFM_0600_SAQ_QCLK</v>
      </c>
      <c r="E46" t="s">
        <v>7</v>
      </c>
      <c r="F46" t="s">
        <v>27</v>
      </c>
      <c r="G46" t="s">
        <v>1018</v>
      </c>
      <c r="H46" t="s">
        <v>253</v>
      </c>
      <c r="I46" t="s">
        <v>260</v>
      </c>
      <c r="J46" t="s">
        <v>558</v>
      </c>
      <c r="K46" t="s">
        <v>357</v>
      </c>
      <c r="L46" t="s">
        <v>285</v>
      </c>
      <c r="M46" t="str">
        <f>TEXT(600,"0000")</f>
        <v>0600</v>
      </c>
      <c r="N46" t="s">
        <v>1240</v>
      </c>
      <c r="O46" t="s">
        <v>267</v>
      </c>
      <c r="P46" t="s">
        <v>268</v>
      </c>
      <c r="Q46" s="46" t="s">
        <v>1241</v>
      </c>
      <c r="R46">
        <v>17</v>
      </c>
      <c r="S46">
        <v>61</v>
      </c>
      <c r="T46">
        <v>310</v>
      </c>
      <c r="U46">
        <v>1</v>
      </c>
      <c r="V46" t="b">
        <v>0</v>
      </c>
      <c r="W46" t="s">
        <v>298</v>
      </c>
      <c r="X46">
        <v>2585</v>
      </c>
      <c r="Z46" t="s">
        <v>1021</v>
      </c>
      <c r="AA46" t="s">
        <v>960</v>
      </c>
      <c r="AP46">
        <f t="shared" si="8"/>
        <v>2</v>
      </c>
      <c r="AQ46">
        <v>1</v>
      </c>
      <c r="AR46" t="str">
        <f t="shared" ref="AR46:AR51" si="10">D47</f>
        <v>ALL_SOC_VCHK_K_END_TITO_SAQ_MAX_LFM_0600_SAQ_SBCLK</v>
      </c>
      <c r="AS46" t="str">
        <f t="shared" ref="AS46:AS51" si="11">D47</f>
        <v>ALL_SOC_VCHK_K_END_TITO_SAQ_MAX_LFM_0600_SAQ_SBCLK</v>
      </c>
    </row>
    <row r="47" spans="1:45" x14ac:dyDescent="0.35">
      <c r="A47" s="16" t="s">
        <v>21</v>
      </c>
      <c r="B47" s="16" t="s">
        <v>62</v>
      </c>
      <c r="C47" s="16" t="str">
        <f>VLOOKUP(B47,templateLookup!A:B,2,0)</f>
        <v>PrimeVminSearchTestMethod</v>
      </c>
      <c r="D47" s="15" t="str">
        <f t="shared" si="9"/>
        <v>ALL_SOC_VCHK_K_END_TITO_SAQ_MAX_LFM_0600_SAQ_SBCLK</v>
      </c>
      <c r="E47" t="s">
        <v>7</v>
      </c>
      <c r="F47" t="s">
        <v>27</v>
      </c>
      <c r="G47" t="s">
        <v>1018</v>
      </c>
      <c r="H47" t="s">
        <v>253</v>
      </c>
      <c r="I47" t="s">
        <v>260</v>
      </c>
      <c r="J47" t="s">
        <v>558</v>
      </c>
      <c r="K47" t="s">
        <v>357</v>
      </c>
      <c r="L47" t="s">
        <v>285</v>
      </c>
      <c r="M47" t="str">
        <f>TEXT(600,"0000")</f>
        <v>0600</v>
      </c>
      <c r="N47" t="s">
        <v>1242</v>
      </c>
      <c r="O47" t="s">
        <v>267</v>
      </c>
      <c r="P47" t="s">
        <v>268</v>
      </c>
      <c r="Q47" s="46" t="s">
        <v>1243</v>
      </c>
      <c r="R47">
        <v>17</v>
      </c>
      <c r="S47">
        <v>61</v>
      </c>
      <c r="T47">
        <v>311</v>
      </c>
      <c r="U47">
        <v>1</v>
      </c>
      <c r="V47" t="b">
        <v>0</v>
      </c>
      <c r="W47" t="s">
        <v>298</v>
      </c>
      <c r="X47">
        <v>2586</v>
      </c>
      <c r="Z47" t="s">
        <v>1021</v>
      </c>
      <c r="AA47" t="s">
        <v>960</v>
      </c>
      <c r="AP47">
        <f t="shared" si="8"/>
        <v>2</v>
      </c>
      <c r="AQ47">
        <v>1</v>
      </c>
      <c r="AR47" t="str">
        <f t="shared" si="10"/>
        <v>LSA_SOC_VCHK_K_END_TITO_SAQ_MAX_LFM_0600_FUSE</v>
      </c>
      <c r="AS47" t="str">
        <f t="shared" si="11"/>
        <v>LSA_SOC_VCHK_K_END_TITO_SAQ_MAX_LFM_0600_FUSE</v>
      </c>
    </row>
    <row r="48" spans="1:45" x14ac:dyDescent="0.35">
      <c r="A48" s="16" t="s">
        <v>21</v>
      </c>
      <c r="B48" s="16" t="s">
        <v>62</v>
      </c>
      <c r="C48" s="16" t="str">
        <f>VLOOKUP(B48,templateLookup!A:B,2,0)</f>
        <v>PrimeVminSearchTestMethod</v>
      </c>
      <c r="D48" s="15" t="str">
        <f t="shared" si="9"/>
        <v>LSA_SOC_VCHK_K_END_TITO_SAQ_MAX_LFM_0600_FUSE</v>
      </c>
      <c r="E48" t="s">
        <v>5</v>
      </c>
      <c r="F48" t="s">
        <v>27</v>
      </c>
      <c r="G48" t="s">
        <v>1018</v>
      </c>
      <c r="H48" t="s">
        <v>253</v>
      </c>
      <c r="I48" t="s">
        <v>260</v>
      </c>
      <c r="J48" t="s">
        <v>558</v>
      </c>
      <c r="K48" t="s">
        <v>357</v>
      </c>
      <c r="L48" t="s">
        <v>285</v>
      </c>
      <c r="M48" t="str">
        <f>TEXT(600,"0000")</f>
        <v>0600</v>
      </c>
      <c r="N48" t="s">
        <v>1200</v>
      </c>
      <c r="O48" t="s">
        <v>267</v>
      </c>
      <c r="P48" t="s">
        <v>268</v>
      </c>
      <c r="Q48" s="46" t="s">
        <v>1244</v>
      </c>
      <c r="R48">
        <v>17</v>
      </c>
      <c r="S48">
        <v>21</v>
      </c>
      <c r="T48">
        <v>312</v>
      </c>
      <c r="U48">
        <v>1</v>
      </c>
      <c r="V48" t="b">
        <v>1</v>
      </c>
      <c r="W48" t="s">
        <v>1202</v>
      </c>
      <c r="X48">
        <v>2587</v>
      </c>
      <c r="Z48" t="s">
        <v>1021</v>
      </c>
      <c r="AA48" t="s">
        <v>960</v>
      </c>
      <c r="AP48">
        <f t="shared" si="8"/>
        <v>2</v>
      </c>
      <c r="AQ48">
        <v>1</v>
      </c>
      <c r="AR48" t="str">
        <f t="shared" si="10"/>
        <v>ALL_SOC_VCHK_K_END_TITO_SAN_MAX_LFM_0400_SAN</v>
      </c>
      <c r="AS48" t="str">
        <f t="shared" si="11"/>
        <v>ALL_SOC_VCHK_K_END_TITO_SAN_MAX_LFM_0400_SAN</v>
      </c>
    </row>
    <row r="49" spans="1:45" x14ac:dyDescent="0.35">
      <c r="A49" s="16" t="s">
        <v>21</v>
      </c>
      <c r="B49" s="16" t="s">
        <v>62</v>
      </c>
      <c r="C49" s="16" t="str">
        <f>VLOOKUP(B49,templateLookup!A:B,2,0)</f>
        <v>PrimeVminSearchTestMethod</v>
      </c>
      <c r="D49" s="19" t="str">
        <f t="shared" si="9"/>
        <v>ALL_SOC_VCHK_K_END_TITO_SAN_MAX_LFM_0400_SAN</v>
      </c>
      <c r="E49" t="s">
        <v>7</v>
      </c>
      <c r="F49" t="s">
        <v>27</v>
      </c>
      <c r="G49" t="s">
        <v>1018</v>
      </c>
      <c r="H49" t="s">
        <v>253</v>
      </c>
      <c r="I49" t="s">
        <v>260</v>
      </c>
      <c r="J49" t="s">
        <v>295</v>
      </c>
      <c r="K49" t="s">
        <v>357</v>
      </c>
      <c r="L49" t="s">
        <v>285</v>
      </c>
      <c r="M49" t="str">
        <f>TEXT(400,"0000")</f>
        <v>0400</v>
      </c>
      <c r="N49" t="s">
        <v>295</v>
      </c>
      <c r="O49" t="s">
        <v>267</v>
      </c>
      <c r="P49" t="s">
        <v>268</v>
      </c>
      <c r="Q49" s="46" t="s">
        <v>1245</v>
      </c>
      <c r="R49">
        <v>17</v>
      </c>
      <c r="S49">
        <v>61</v>
      </c>
      <c r="T49">
        <v>313</v>
      </c>
      <c r="U49">
        <v>1</v>
      </c>
      <c r="V49" t="b">
        <v>0</v>
      </c>
      <c r="W49" t="s">
        <v>298</v>
      </c>
      <c r="X49">
        <v>2588</v>
      </c>
      <c r="Z49" t="s">
        <v>1021</v>
      </c>
      <c r="AA49" t="s">
        <v>960</v>
      </c>
      <c r="AP49">
        <f t="shared" si="8"/>
        <v>2</v>
      </c>
      <c r="AQ49">
        <v>1</v>
      </c>
      <c r="AR49" t="str">
        <f t="shared" si="10"/>
        <v>ALL_SOC_VCHK_K_END_TITO_SAN_MAX_LFM_0400_SAN_SBCLK</v>
      </c>
      <c r="AS49" t="str">
        <f t="shared" si="11"/>
        <v>ALL_SOC_VCHK_K_END_TITO_SAN_MAX_LFM_0400_SAN_SBCLK</v>
      </c>
    </row>
    <row r="50" spans="1:45" x14ac:dyDescent="0.35">
      <c r="A50" s="16" t="s">
        <v>21</v>
      </c>
      <c r="B50" s="16" t="s">
        <v>62</v>
      </c>
      <c r="C50" s="16" t="str">
        <f>VLOOKUP(B50,templateLookup!A:B,2,0)</f>
        <v>PrimeVminSearchTestMethod</v>
      </c>
      <c r="D50" s="19" t="str">
        <f t="shared" si="9"/>
        <v>ALL_SOC_VCHK_K_END_TITO_SAN_MAX_LFM_0400_SAN_SBCLK</v>
      </c>
      <c r="E50" t="s">
        <v>7</v>
      </c>
      <c r="F50" t="s">
        <v>27</v>
      </c>
      <c r="G50" t="s">
        <v>1018</v>
      </c>
      <c r="H50" t="s">
        <v>253</v>
      </c>
      <c r="I50" t="s">
        <v>260</v>
      </c>
      <c r="J50" t="s">
        <v>295</v>
      </c>
      <c r="K50" t="s">
        <v>357</v>
      </c>
      <c r="L50" t="s">
        <v>285</v>
      </c>
      <c r="M50" t="str">
        <f>TEXT(400,"0000")</f>
        <v>0400</v>
      </c>
      <c r="N50" t="s">
        <v>1246</v>
      </c>
      <c r="O50" t="s">
        <v>267</v>
      </c>
      <c r="P50" t="s">
        <v>268</v>
      </c>
      <c r="Q50" s="47" t="s">
        <v>1247</v>
      </c>
      <c r="R50">
        <v>17</v>
      </c>
      <c r="S50">
        <v>61</v>
      </c>
      <c r="T50">
        <v>314</v>
      </c>
      <c r="U50">
        <v>1</v>
      </c>
      <c r="V50" t="b">
        <v>0</v>
      </c>
      <c r="W50" t="s">
        <v>298</v>
      </c>
      <c r="X50">
        <v>2589</v>
      </c>
      <c r="Z50" t="s">
        <v>1021</v>
      </c>
      <c r="AA50" t="s">
        <v>960</v>
      </c>
      <c r="AP50">
        <f t="shared" si="8"/>
        <v>2</v>
      </c>
      <c r="AQ50">
        <v>1</v>
      </c>
      <c r="AR50" t="str">
        <f t="shared" si="10"/>
        <v>ALL_SOC_VCHK_K_END_TITO_SAN_MAX_LFM_0400_ONDD</v>
      </c>
      <c r="AS50" t="str">
        <f t="shared" si="11"/>
        <v>ALL_SOC_VCHK_K_END_TITO_SAN_MAX_LFM_0400_ONDD</v>
      </c>
    </row>
    <row r="51" spans="1:45" x14ac:dyDescent="0.35">
      <c r="A51" s="16" t="s">
        <v>21</v>
      </c>
      <c r="B51" s="16" t="s">
        <v>62</v>
      </c>
      <c r="C51" s="16" t="str">
        <f>VLOOKUP(B51,templateLookup!A:B,2,0)</f>
        <v>PrimeVminSearchTestMethod</v>
      </c>
      <c r="D51" s="19" t="str">
        <f t="shared" si="9"/>
        <v>ALL_SOC_VCHK_K_END_TITO_SAN_MAX_LFM_0400_ONDD</v>
      </c>
      <c r="E51" t="s">
        <v>7</v>
      </c>
      <c r="F51" t="s">
        <v>27</v>
      </c>
      <c r="G51" t="s">
        <v>1018</v>
      </c>
      <c r="H51" t="s">
        <v>253</v>
      </c>
      <c r="I51" t="s">
        <v>260</v>
      </c>
      <c r="J51" t="s">
        <v>295</v>
      </c>
      <c r="K51" t="s">
        <v>357</v>
      </c>
      <c r="L51" t="s">
        <v>285</v>
      </c>
      <c r="M51" t="str">
        <f>TEXT(400,"0000")</f>
        <v>0400</v>
      </c>
      <c r="N51" t="s">
        <v>1207</v>
      </c>
      <c r="O51" t="s">
        <v>267</v>
      </c>
      <c r="P51" t="s">
        <v>268</v>
      </c>
      <c r="Q51" s="46" t="s">
        <v>1248</v>
      </c>
      <c r="R51">
        <v>17</v>
      </c>
      <c r="S51">
        <v>61</v>
      </c>
      <c r="T51">
        <v>315</v>
      </c>
      <c r="U51">
        <v>1</v>
      </c>
      <c r="V51" t="b">
        <v>0</v>
      </c>
      <c r="W51" t="s">
        <v>1216</v>
      </c>
      <c r="X51">
        <v>2590</v>
      </c>
      <c r="Z51" t="s">
        <v>1021</v>
      </c>
      <c r="AA51" t="s">
        <v>960</v>
      </c>
      <c r="AP51">
        <f t="shared" si="8"/>
        <v>2</v>
      </c>
      <c r="AQ51">
        <v>1</v>
      </c>
      <c r="AR51" t="str">
        <f t="shared" si="10"/>
        <v>LSA_SOC_VCHK_E_END_TITO_SAN_MAX_LFM_0400_ARU_EDC</v>
      </c>
      <c r="AS51" t="str">
        <f t="shared" si="11"/>
        <v>LSA_SOC_VCHK_E_END_TITO_SAN_MAX_LFM_0400_ARU_EDC</v>
      </c>
    </row>
    <row r="52" spans="1:45" x14ac:dyDescent="0.35">
      <c r="A52" s="16" t="s">
        <v>21</v>
      </c>
      <c r="B52" s="16" t="s">
        <v>62</v>
      </c>
      <c r="C52" s="16" t="str">
        <f>VLOOKUP(B52,templateLookup!A:B,2,0)</f>
        <v>PrimeVminSearchTestMethod</v>
      </c>
      <c r="D52" s="19" t="str">
        <f t="shared" si="9"/>
        <v>LSA_SOC_VCHK_E_END_TITO_SAN_MAX_LFM_0400_ARU_EDC</v>
      </c>
      <c r="E52" t="s">
        <v>5</v>
      </c>
      <c r="F52" t="s">
        <v>27</v>
      </c>
      <c r="G52" t="s">
        <v>1018</v>
      </c>
      <c r="H52" t="s">
        <v>207</v>
      </c>
      <c r="I52" t="s">
        <v>260</v>
      </c>
      <c r="J52" t="s">
        <v>295</v>
      </c>
      <c r="K52" t="s">
        <v>357</v>
      </c>
      <c r="L52" t="s">
        <v>285</v>
      </c>
      <c r="M52" t="str">
        <f>TEXT(400,"0000")</f>
        <v>0400</v>
      </c>
      <c r="N52" t="s">
        <v>1249</v>
      </c>
      <c r="O52" t="s">
        <v>267</v>
      </c>
      <c r="P52" t="s">
        <v>268</v>
      </c>
      <c r="Q52" s="46" t="s">
        <v>1250</v>
      </c>
      <c r="R52">
        <v>17</v>
      </c>
      <c r="S52">
        <v>21</v>
      </c>
      <c r="T52">
        <v>316</v>
      </c>
      <c r="U52">
        <v>1</v>
      </c>
      <c r="V52" t="b">
        <v>0</v>
      </c>
      <c r="W52" t="s">
        <v>298</v>
      </c>
      <c r="X52">
        <v>2591</v>
      </c>
      <c r="Z52" t="s">
        <v>1021</v>
      </c>
      <c r="AA52" t="s">
        <v>960</v>
      </c>
      <c r="AP52">
        <f t="shared" si="8"/>
        <v>2</v>
      </c>
      <c r="AQ52">
        <v>1</v>
      </c>
      <c r="AR52">
        <v>1</v>
      </c>
      <c r="AS52">
        <v>1</v>
      </c>
    </row>
    <row r="53" spans="1:45" x14ac:dyDescent="0.35">
      <c r="A53" s="20" t="s">
        <v>21</v>
      </c>
      <c r="B53" s="20" t="s">
        <v>50</v>
      </c>
      <c r="C53" s="20" t="str">
        <f>VLOOKUP(B53,templateLookup!A:B,2,0)</f>
        <v>COMPOSITE</v>
      </c>
      <c r="D53" s="10"/>
    </row>
    <row r="54" spans="1:45" x14ac:dyDescent="0.35">
      <c r="A54" s="21" t="s">
        <v>21</v>
      </c>
      <c r="B54" s="21" t="s">
        <v>49</v>
      </c>
      <c r="C54" s="21" t="str">
        <f>VLOOKUP(B54,templateLookup!A:B,2,0)</f>
        <v>COMPOSITE</v>
      </c>
      <c r="D54" s="10" t="s">
        <v>1029</v>
      </c>
      <c r="F54" t="s">
        <v>27</v>
      </c>
      <c r="AP54">
        <f t="shared" ref="AP54:AP64" si="12">COUNTA(AR54:BA54)</f>
        <v>2</v>
      </c>
      <c r="AQ54">
        <v>1</v>
      </c>
      <c r="AR54">
        <v>1</v>
      </c>
      <c r="AS54">
        <v>1</v>
      </c>
    </row>
    <row r="55" spans="1:45" x14ac:dyDescent="0.35">
      <c r="A55" s="12" t="s">
        <v>21</v>
      </c>
      <c r="B55" s="12" t="s">
        <v>62</v>
      </c>
      <c r="C55" s="12" t="str">
        <f>VLOOKUP(B55,templateLookup!A:B,2,0)</f>
        <v>PrimeVminSearchTestMethod</v>
      </c>
      <c r="D55" s="15" t="str">
        <f t="shared" ref="D55:D64" si="13">E55&amp;"_"&amp;F55&amp;"_"&amp;G55&amp;"_"&amp;H55&amp;"_"&amp;A55&amp;"_"&amp;I55&amp;"_"&amp;J55&amp;"_"&amp;K55&amp;"_"&amp;L55&amp;"_"&amp;M55&amp;"_"&amp;N55</f>
        <v>ALL_SOC_VCHK_K_END_TITO_SAQ_NOM_LFM_0600_PMOVI_QCLK</v>
      </c>
      <c r="E55" t="s">
        <v>7</v>
      </c>
      <c r="F55" t="s">
        <v>27</v>
      </c>
      <c r="G55" t="s">
        <v>1018</v>
      </c>
      <c r="H55" t="s">
        <v>253</v>
      </c>
      <c r="I55" t="s">
        <v>260</v>
      </c>
      <c r="J55" t="s">
        <v>558</v>
      </c>
      <c r="K55" t="s">
        <v>284</v>
      </c>
      <c r="L55" t="s">
        <v>285</v>
      </c>
      <c r="M55" t="str">
        <f>TEXT(600,"0000")</f>
        <v>0600</v>
      </c>
      <c r="N55" t="s">
        <v>1251</v>
      </c>
      <c r="O55" t="s">
        <v>267</v>
      </c>
      <c r="P55" t="s">
        <v>268</v>
      </c>
      <c r="Q55" s="46" t="s">
        <v>1252</v>
      </c>
      <c r="R55">
        <v>61</v>
      </c>
      <c r="S55">
        <v>52</v>
      </c>
      <c r="T55">
        <v>554</v>
      </c>
      <c r="U55">
        <v>1</v>
      </c>
      <c r="V55" t="b">
        <v>0</v>
      </c>
      <c r="W55" t="s">
        <v>298</v>
      </c>
      <c r="X55">
        <v>8050</v>
      </c>
      <c r="Z55" t="s">
        <v>955</v>
      </c>
      <c r="AA55" t="s">
        <v>960</v>
      </c>
      <c r="AP55">
        <f t="shared" si="12"/>
        <v>2</v>
      </c>
      <c r="AQ55">
        <v>1</v>
      </c>
      <c r="AR55" t="str">
        <f t="shared" ref="AR55:AR63" si="14">D56</f>
        <v>ALL_SOC_VCHK_K_END_TITO_SAQ_NOM_LFM_0600_PMOVI_SBCLK</v>
      </c>
      <c r="AS55" t="str">
        <f t="shared" ref="AS55:AS63" si="15">D56</f>
        <v>ALL_SOC_VCHK_K_END_TITO_SAQ_NOM_LFM_0600_PMOVI_SBCLK</v>
      </c>
    </row>
    <row r="56" spans="1:45" x14ac:dyDescent="0.35">
      <c r="A56" s="12" t="s">
        <v>21</v>
      </c>
      <c r="B56" s="12" t="s">
        <v>62</v>
      </c>
      <c r="C56" s="12" t="str">
        <f>VLOOKUP(B56,templateLookup!A:B,2,0)</f>
        <v>PrimeVminSearchTestMethod</v>
      </c>
      <c r="D56" s="15" t="str">
        <f t="shared" si="13"/>
        <v>ALL_SOC_VCHK_K_END_TITO_SAQ_NOM_LFM_0600_PMOVI_SBCLK</v>
      </c>
      <c r="E56" t="s">
        <v>7</v>
      </c>
      <c r="F56" t="s">
        <v>27</v>
      </c>
      <c r="G56" t="s">
        <v>1018</v>
      </c>
      <c r="H56" t="s">
        <v>253</v>
      </c>
      <c r="I56" t="s">
        <v>260</v>
      </c>
      <c r="J56" t="s">
        <v>558</v>
      </c>
      <c r="K56" t="s">
        <v>284</v>
      </c>
      <c r="L56" t="s">
        <v>285</v>
      </c>
      <c r="M56" t="str">
        <f>TEXT(600,"0000")</f>
        <v>0600</v>
      </c>
      <c r="N56" t="s">
        <v>1253</v>
      </c>
      <c r="O56" t="s">
        <v>267</v>
      </c>
      <c r="P56" t="s">
        <v>268</v>
      </c>
      <c r="Q56" s="46" t="s">
        <v>1254</v>
      </c>
      <c r="R56">
        <v>61</v>
      </c>
      <c r="S56">
        <v>52</v>
      </c>
      <c r="T56">
        <v>570</v>
      </c>
      <c r="U56">
        <v>1</v>
      </c>
      <c r="V56" t="b">
        <v>0</v>
      </c>
      <c r="W56" t="s">
        <v>298</v>
      </c>
      <c r="X56">
        <v>8066</v>
      </c>
      <c r="Z56" t="s">
        <v>955</v>
      </c>
      <c r="AA56" t="s">
        <v>960</v>
      </c>
      <c r="AP56">
        <f t="shared" si="12"/>
        <v>2</v>
      </c>
      <c r="AQ56">
        <v>1</v>
      </c>
      <c r="AR56" t="str">
        <f t="shared" si="14"/>
        <v>LSA_SOC_VCHK_K_END_TITO_SAQ_NOM_LFM_0600_PMOVI_FUSE</v>
      </c>
      <c r="AS56" t="str">
        <f t="shared" si="15"/>
        <v>LSA_SOC_VCHK_K_END_TITO_SAQ_NOM_LFM_0600_PMOVI_FUSE</v>
      </c>
    </row>
    <row r="57" spans="1:45" x14ac:dyDescent="0.35">
      <c r="A57" s="12" t="s">
        <v>21</v>
      </c>
      <c r="B57" s="12" t="s">
        <v>62</v>
      </c>
      <c r="C57" s="12" t="str">
        <f>VLOOKUP(B57,templateLookup!A:B,2,0)</f>
        <v>PrimeVminSearchTestMethod</v>
      </c>
      <c r="D57" s="15" t="str">
        <f t="shared" si="13"/>
        <v>LSA_SOC_VCHK_K_END_TITO_SAQ_NOM_LFM_0600_PMOVI_FUSE</v>
      </c>
      <c r="E57" t="s">
        <v>5</v>
      </c>
      <c r="F57" t="s">
        <v>27</v>
      </c>
      <c r="G57" t="s">
        <v>1018</v>
      </c>
      <c r="H57" t="s">
        <v>253</v>
      </c>
      <c r="I57" t="s">
        <v>260</v>
      </c>
      <c r="J57" t="s">
        <v>558</v>
      </c>
      <c r="K57" t="s">
        <v>284</v>
      </c>
      <c r="L57" t="s">
        <v>285</v>
      </c>
      <c r="M57" t="str">
        <f>TEXT(600,"0000")</f>
        <v>0600</v>
      </c>
      <c r="N57" t="s">
        <v>1255</v>
      </c>
      <c r="O57" t="s">
        <v>267</v>
      </c>
      <c r="P57" t="s">
        <v>268</v>
      </c>
      <c r="Q57" s="46" t="s">
        <v>1256</v>
      </c>
      <c r="R57">
        <v>21</v>
      </c>
      <c r="S57">
        <v>52</v>
      </c>
      <c r="T57">
        <v>579</v>
      </c>
      <c r="U57">
        <v>1</v>
      </c>
      <c r="V57" t="b">
        <v>0</v>
      </c>
      <c r="W57" t="s">
        <v>1202</v>
      </c>
      <c r="X57">
        <v>8075</v>
      </c>
      <c r="Z57" t="s">
        <v>955</v>
      </c>
      <c r="AA57" t="s">
        <v>960</v>
      </c>
      <c r="AP57">
        <f t="shared" si="12"/>
        <v>2</v>
      </c>
      <c r="AQ57">
        <v>1</v>
      </c>
      <c r="AR57" t="str">
        <f t="shared" si="14"/>
        <v>ALL_SOC_VCHK_K_END_TITO_SAN_NOM_LFM_0400_PMOVI_SAN</v>
      </c>
      <c r="AS57" t="str">
        <f t="shared" si="15"/>
        <v>ALL_SOC_VCHK_K_END_TITO_SAN_NOM_LFM_0400_PMOVI_SAN</v>
      </c>
    </row>
    <row r="58" spans="1:45" x14ac:dyDescent="0.35">
      <c r="A58" s="12" t="s">
        <v>21</v>
      </c>
      <c r="B58" s="12" t="s">
        <v>62</v>
      </c>
      <c r="C58" s="12" t="str">
        <f>VLOOKUP(B58,templateLookup!A:B,2,0)</f>
        <v>PrimeVminSearchTestMethod</v>
      </c>
      <c r="D58" s="19" t="str">
        <f t="shared" si="13"/>
        <v>ALL_SOC_VCHK_K_END_TITO_SAN_NOM_LFM_0400_PMOVI_SAN</v>
      </c>
      <c r="E58" t="s">
        <v>7</v>
      </c>
      <c r="F58" t="s">
        <v>27</v>
      </c>
      <c r="G58" t="s">
        <v>1018</v>
      </c>
      <c r="H58" t="s">
        <v>253</v>
      </c>
      <c r="I58" t="s">
        <v>260</v>
      </c>
      <c r="J58" t="s">
        <v>295</v>
      </c>
      <c r="K58" t="s">
        <v>284</v>
      </c>
      <c r="L58" t="s">
        <v>285</v>
      </c>
      <c r="M58" t="str">
        <f t="shared" ref="M58:M64" si="16">TEXT(400,"0000")</f>
        <v>0400</v>
      </c>
      <c r="N58" t="s">
        <v>1257</v>
      </c>
      <c r="O58" t="s">
        <v>267</v>
      </c>
      <c r="P58" t="s">
        <v>268</v>
      </c>
      <c r="Q58" s="46" t="s">
        <v>1258</v>
      </c>
      <c r="R58">
        <v>61</v>
      </c>
      <c r="S58">
        <v>52</v>
      </c>
      <c r="T58">
        <v>580</v>
      </c>
      <c r="U58">
        <v>1</v>
      </c>
      <c r="V58" t="b">
        <v>0</v>
      </c>
      <c r="W58" t="s">
        <v>298</v>
      </c>
      <c r="X58">
        <v>8076</v>
      </c>
      <c r="Z58" t="s">
        <v>955</v>
      </c>
      <c r="AA58" t="s">
        <v>960</v>
      </c>
      <c r="AP58">
        <f t="shared" si="12"/>
        <v>2</v>
      </c>
      <c r="AQ58">
        <v>1</v>
      </c>
      <c r="AR58" t="str">
        <f t="shared" si="14"/>
        <v>SSA_SOC_VCHK_K_END_TITO_SAN_NOM_LFM_0400_PMOVI_SBCLK_CEN1</v>
      </c>
      <c r="AS58" t="str">
        <f t="shared" si="15"/>
        <v>SSA_SOC_VCHK_K_END_TITO_SAN_NOM_LFM_0400_PMOVI_SBCLK_CEN1</v>
      </c>
    </row>
    <row r="59" spans="1:45" x14ac:dyDescent="0.35">
      <c r="A59" s="12" t="s">
        <v>21</v>
      </c>
      <c r="B59" s="12" t="s">
        <v>62</v>
      </c>
      <c r="C59" s="12" t="str">
        <f>VLOOKUP(B59,templateLookup!A:B,2,0)</f>
        <v>PrimeVminSearchTestMethod</v>
      </c>
      <c r="D59" s="19" t="str">
        <f t="shared" si="13"/>
        <v>SSA_SOC_VCHK_K_END_TITO_SAN_NOM_LFM_0400_PMOVI_SBCLK_CEN1</v>
      </c>
      <c r="E59" t="s">
        <v>4</v>
      </c>
      <c r="F59" t="s">
        <v>27</v>
      </c>
      <c r="G59" t="s">
        <v>1018</v>
      </c>
      <c r="H59" t="s">
        <v>253</v>
      </c>
      <c r="I59" t="s">
        <v>260</v>
      </c>
      <c r="J59" t="s">
        <v>295</v>
      </c>
      <c r="K59" t="s">
        <v>284</v>
      </c>
      <c r="L59" t="s">
        <v>285</v>
      </c>
      <c r="M59" t="str">
        <f t="shared" si="16"/>
        <v>0400</v>
      </c>
      <c r="N59" t="s">
        <v>1259</v>
      </c>
      <c r="O59" t="s">
        <v>267</v>
      </c>
      <c r="P59" t="s">
        <v>268</v>
      </c>
      <c r="Q59" s="46" t="s">
        <v>1260</v>
      </c>
      <c r="R59">
        <v>61</v>
      </c>
      <c r="S59">
        <v>52</v>
      </c>
      <c r="T59">
        <v>586</v>
      </c>
      <c r="U59">
        <v>1</v>
      </c>
      <c r="V59" t="b">
        <v>0</v>
      </c>
      <c r="W59" t="s">
        <v>298</v>
      </c>
      <c r="X59">
        <v>8082</v>
      </c>
      <c r="Z59" t="s">
        <v>955</v>
      </c>
      <c r="AA59" t="s">
        <v>960</v>
      </c>
      <c r="AP59">
        <f t="shared" si="12"/>
        <v>2</v>
      </c>
      <c r="AQ59">
        <v>1</v>
      </c>
      <c r="AR59" t="str">
        <f t="shared" si="14"/>
        <v>SSA_SOC_VCHK_K_END_TITO_SAN_NOM_LFM_0400_PMOVI_SBCLK_GT</v>
      </c>
      <c r="AS59" t="str">
        <f t="shared" si="15"/>
        <v>SSA_SOC_VCHK_K_END_TITO_SAN_NOM_LFM_0400_PMOVI_SBCLK_GT</v>
      </c>
    </row>
    <row r="60" spans="1:45" x14ac:dyDescent="0.35">
      <c r="A60" s="12" t="s">
        <v>21</v>
      </c>
      <c r="B60" s="12" t="s">
        <v>62</v>
      </c>
      <c r="C60" s="12" t="str">
        <f>VLOOKUP(B60,templateLookup!A:B,2,0)</f>
        <v>PrimeVminSearchTestMethod</v>
      </c>
      <c r="D60" s="19" t="str">
        <f t="shared" si="13"/>
        <v>SSA_SOC_VCHK_K_END_TITO_SAN_NOM_LFM_0400_PMOVI_SBCLK_GT</v>
      </c>
      <c r="E60" t="s">
        <v>4</v>
      </c>
      <c r="F60" t="s">
        <v>27</v>
      </c>
      <c r="G60" t="s">
        <v>1018</v>
      </c>
      <c r="H60" t="s">
        <v>253</v>
      </c>
      <c r="I60" t="s">
        <v>260</v>
      </c>
      <c r="J60" t="s">
        <v>295</v>
      </c>
      <c r="K60" t="s">
        <v>284</v>
      </c>
      <c r="L60" t="s">
        <v>285</v>
      </c>
      <c r="M60" t="str">
        <f t="shared" si="16"/>
        <v>0400</v>
      </c>
      <c r="N60" t="s">
        <v>1261</v>
      </c>
      <c r="O60" t="s">
        <v>267</v>
      </c>
      <c r="P60" t="s">
        <v>268</v>
      </c>
      <c r="Q60" s="46" t="s">
        <v>1262</v>
      </c>
      <c r="R60">
        <v>61</v>
      </c>
      <c r="S60">
        <v>52</v>
      </c>
      <c r="T60">
        <v>587</v>
      </c>
      <c r="U60">
        <v>1</v>
      </c>
      <c r="V60" t="b">
        <v>0</v>
      </c>
      <c r="W60" t="s">
        <v>298</v>
      </c>
      <c r="X60">
        <v>8083</v>
      </c>
      <c r="Z60" t="s">
        <v>955</v>
      </c>
      <c r="AA60" t="s">
        <v>960</v>
      </c>
      <c r="AP60">
        <f t="shared" si="12"/>
        <v>2</v>
      </c>
      <c r="AQ60">
        <v>1</v>
      </c>
      <c r="AR60" t="str">
        <f t="shared" si="14"/>
        <v>ROM_SOC_VCHK_K_END_TITO_SAN_NOM_LFM_0400_PMOVI_SBCLK_CEN1</v>
      </c>
      <c r="AS60" t="str">
        <f t="shared" si="15"/>
        <v>ROM_SOC_VCHK_K_END_TITO_SAN_NOM_LFM_0400_PMOVI_SBCLK_CEN1</v>
      </c>
    </row>
    <row r="61" spans="1:45" x14ac:dyDescent="0.35">
      <c r="A61" s="12" t="s">
        <v>21</v>
      </c>
      <c r="B61" s="12" t="s">
        <v>62</v>
      </c>
      <c r="C61" s="12" t="str">
        <f>VLOOKUP(B61,templateLookup!A:B,2,0)</f>
        <v>PrimeVminSearchTestMethod</v>
      </c>
      <c r="D61" s="19" t="str">
        <f t="shared" si="13"/>
        <v>ROM_SOC_VCHK_K_END_TITO_SAN_NOM_LFM_0400_PMOVI_SBCLK_CEN1</v>
      </c>
      <c r="E61" t="s">
        <v>6</v>
      </c>
      <c r="F61" t="s">
        <v>27</v>
      </c>
      <c r="G61" t="s">
        <v>1018</v>
      </c>
      <c r="H61" t="s">
        <v>253</v>
      </c>
      <c r="I61" t="s">
        <v>260</v>
      </c>
      <c r="J61" t="s">
        <v>295</v>
      </c>
      <c r="K61" t="s">
        <v>284</v>
      </c>
      <c r="L61" t="s">
        <v>285</v>
      </c>
      <c r="M61" t="str">
        <f t="shared" si="16"/>
        <v>0400</v>
      </c>
      <c r="N61" t="s">
        <v>1259</v>
      </c>
      <c r="O61" t="s">
        <v>267</v>
      </c>
      <c r="P61" t="s">
        <v>268</v>
      </c>
      <c r="Q61" s="46" t="s">
        <v>1263</v>
      </c>
      <c r="R61">
        <v>21</v>
      </c>
      <c r="S61">
        <v>52</v>
      </c>
      <c r="T61">
        <v>588</v>
      </c>
      <c r="U61">
        <v>1</v>
      </c>
      <c r="V61" t="b">
        <v>0</v>
      </c>
      <c r="W61" t="s">
        <v>298</v>
      </c>
      <c r="X61">
        <v>8084</v>
      </c>
      <c r="Z61" t="s">
        <v>955</v>
      </c>
      <c r="AA61" t="s">
        <v>960</v>
      </c>
      <c r="AP61">
        <f t="shared" si="12"/>
        <v>2</v>
      </c>
      <c r="AQ61">
        <v>1</v>
      </c>
      <c r="AR61" t="str">
        <f t="shared" si="14"/>
        <v>ROM_SOC_VCHK_K_END_TITO_SAN_NOM_LFM_0400_PMOVI_SBCLK_GT</v>
      </c>
      <c r="AS61" t="str">
        <f t="shared" si="15"/>
        <v>ROM_SOC_VCHK_K_END_TITO_SAN_NOM_LFM_0400_PMOVI_SBCLK_GT</v>
      </c>
    </row>
    <row r="62" spans="1:45" x14ac:dyDescent="0.35">
      <c r="A62" s="12" t="s">
        <v>21</v>
      </c>
      <c r="B62" s="12" t="s">
        <v>62</v>
      </c>
      <c r="C62" s="12" t="str">
        <f>VLOOKUP(B62,templateLookup!A:B,2,0)</f>
        <v>PrimeVminSearchTestMethod</v>
      </c>
      <c r="D62" s="19" t="str">
        <f t="shared" si="13"/>
        <v>ROM_SOC_VCHK_K_END_TITO_SAN_NOM_LFM_0400_PMOVI_SBCLK_GT</v>
      </c>
      <c r="E62" t="s">
        <v>6</v>
      </c>
      <c r="F62" t="s">
        <v>27</v>
      </c>
      <c r="G62" t="s">
        <v>1018</v>
      </c>
      <c r="H62" t="s">
        <v>253</v>
      </c>
      <c r="I62" t="s">
        <v>260</v>
      </c>
      <c r="J62" t="s">
        <v>295</v>
      </c>
      <c r="K62" t="s">
        <v>284</v>
      </c>
      <c r="L62" t="s">
        <v>285</v>
      </c>
      <c r="M62" t="str">
        <f t="shared" si="16"/>
        <v>0400</v>
      </c>
      <c r="N62" t="s">
        <v>1261</v>
      </c>
      <c r="O62" t="s">
        <v>267</v>
      </c>
      <c r="P62" t="s">
        <v>268</v>
      </c>
      <c r="Q62" s="46" t="s">
        <v>1264</v>
      </c>
      <c r="R62">
        <v>21</v>
      </c>
      <c r="S62">
        <v>52</v>
      </c>
      <c r="T62">
        <v>589</v>
      </c>
      <c r="U62">
        <v>1</v>
      </c>
      <c r="V62" t="b">
        <v>0</v>
      </c>
      <c r="W62" t="s">
        <v>298</v>
      </c>
      <c r="X62">
        <v>8085</v>
      </c>
      <c r="Z62" t="s">
        <v>955</v>
      </c>
      <c r="AA62" t="s">
        <v>960</v>
      </c>
      <c r="AP62">
        <f t="shared" si="12"/>
        <v>2</v>
      </c>
      <c r="AQ62">
        <v>1</v>
      </c>
      <c r="AR62" t="str">
        <f t="shared" si="14"/>
        <v>LSA_SOC_VCHK_K_END_TITO_SAN_NOM_LFM_0400_PMOVI_ONDD</v>
      </c>
      <c r="AS62" t="str">
        <f t="shared" si="15"/>
        <v>LSA_SOC_VCHK_K_END_TITO_SAN_NOM_LFM_0400_PMOVI_ONDD</v>
      </c>
    </row>
    <row r="63" spans="1:45" x14ac:dyDescent="0.35">
      <c r="A63" s="12" t="s">
        <v>21</v>
      </c>
      <c r="B63" s="12" t="s">
        <v>62</v>
      </c>
      <c r="C63" s="12" t="str">
        <f>VLOOKUP(B63,templateLookup!A:B,2,0)</f>
        <v>PrimeVminSearchTestMethod</v>
      </c>
      <c r="D63" s="19" t="str">
        <f t="shared" si="13"/>
        <v>LSA_SOC_VCHK_K_END_TITO_SAN_NOM_LFM_0400_PMOVI_ONDD</v>
      </c>
      <c r="E63" t="s">
        <v>5</v>
      </c>
      <c r="F63" t="s">
        <v>27</v>
      </c>
      <c r="G63" t="s">
        <v>1018</v>
      </c>
      <c r="H63" t="s">
        <v>253</v>
      </c>
      <c r="I63" t="s">
        <v>260</v>
      </c>
      <c r="J63" t="s">
        <v>295</v>
      </c>
      <c r="K63" t="s">
        <v>284</v>
      </c>
      <c r="L63" t="s">
        <v>285</v>
      </c>
      <c r="M63" t="str">
        <f t="shared" si="16"/>
        <v>0400</v>
      </c>
      <c r="N63" t="s">
        <v>1265</v>
      </c>
      <c r="O63" t="s">
        <v>267</v>
      </c>
      <c r="P63" t="s">
        <v>268</v>
      </c>
      <c r="Q63" s="46" t="s">
        <v>1266</v>
      </c>
      <c r="R63">
        <v>21</v>
      </c>
      <c r="S63">
        <v>52</v>
      </c>
      <c r="T63">
        <v>590</v>
      </c>
      <c r="U63">
        <v>1</v>
      </c>
      <c r="V63" t="b">
        <v>0</v>
      </c>
      <c r="W63" t="s">
        <v>1216</v>
      </c>
      <c r="X63">
        <v>8086</v>
      </c>
      <c r="Z63" t="s">
        <v>955</v>
      </c>
      <c r="AA63" t="s">
        <v>960</v>
      </c>
      <c r="AP63">
        <f t="shared" si="12"/>
        <v>2</v>
      </c>
      <c r="AQ63">
        <v>1</v>
      </c>
      <c r="AR63" t="str">
        <f t="shared" si="14"/>
        <v>ALL_SOC_VCHK_E_END_TITO_SAN_NOM_LFM_0400_PMOVI_ARU_EDC</v>
      </c>
      <c r="AS63" t="str">
        <f t="shared" si="15"/>
        <v>ALL_SOC_VCHK_E_END_TITO_SAN_NOM_LFM_0400_PMOVI_ARU_EDC</v>
      </c>
    </row>
    <row r="64" spans="1:45" x14ac:dyDescent="0.35">
      <c r="A64" s="12" t="s">
        <v>21</v>
      </c>
      <c r="B64" s="12" t="s">
        <v>62</v>
      </c>
      <c r="C64" s="12" t="str">
        <f>VLOOKUP(B64,templateLookup!A:B,2,0)</f>
        <v>PrimeVminSearchTestMethod</v>
      </c>
      <c r="D64" s="19" t="str">
        <f t="shared" si="13"/>
        <v>ALL_SOC_VCHK_E_END_TITO_SAN_NOM_LFM_0400_PMOVI_ARU_EDC</v>
      </c>
      <c r="E64" t="s">
        <v>7</v>
      </c>
      <c r="F64" t="s">
        <v>27</v>
      </c>
      <c r="G64" t="s">
        <v>1018</v>
      </c>
      <c r="H64" t="s">
        <v>207</v>
      </c>
      <c r="I64" t="s">
        <v>260</v>
      </c>
      <c r="J64" t="s">
        <v>295</v>
      </c>
      <c r="K64" t="s">
        <v>284</v>
      </c>
      <c r="L64" t="s">
        <v>285</v>
      </c>
      <c r="M64" t="str">
        <f t="shared" si="16"/>
        <v>0400</v>
      </c>
      <c r="N64" t="s">
        <v>1267</v>
      </c>
      <c r="O64" t="s">
        <v>267</v>
      </c>
      <c r="P64" t="s">
        <v>268</v>
      </c>
      <c r="Q64" s="46" t="s">
        <v>1268</v>
      </c>
      <c r="R64">
        <v>61</v>
      </c>
      <c r="S64">
        <v>52</v>
      </c>
      <c r="T64">
        <v>591</v>
      </c>
      <c r="U64">
        <v>1</v>
      </c>
      <c r="V64" t="b">
        <v>0</v>
      </c>
      <c r="W64" t="s">
        <v>298</v>
      </c>
      <c r="X64">
        <v>8087</v>
      </c>
      <c r="Z64" t="s">
        <v>955</v>
      </c>
      <c r="AA64" t="s">
        <v>960</v>
      </c>
      <c r="AP64">
        <f t="shared" si="12"/>
        <v>2</v>
      </c>
      <c r="AQ64">
        <v>1</v>
      </c>
      <c r="AR64">
        <v>1</v>
      </c>
      <c r="AS64">
        <v>1</v>
      </c>
    </row>
    <row r="65" spans="1:47" x14ac:dyDescent="0.35">
      <c r="A65" s="21" t="s">
        <v>21</v>
      </c>
      <c r="B65" s="21" t="s">
        <v>50</v>
      </c>
      <c r="C65" s="21" t="str">
        <f>VLOOKUP(B65,templateLookup!A:B,2,0)</f>
        <v>COMPOSITE</v>
      </c>
      <c r="D65" s="10"/>
    </row>
    <row r="66" spans="1:47" x14ac:dyDescent="0.35">
      <c r="A66" s="48" t="s">
        <v>21</v>
      </c>
      <c r="B66" s="48" t="s">
        <v>49</v>
      </c>
      <c r="C66" s="48" t="str">
        <f>VLOOKUP(B66,templateLookup!A:B,2,0)</f>
        <v>COMPOSITE</v>
      </c>
      <c r="D66" s="10" t="s">
        <v>1011</v>
      </c>
      <c r="F66" t="s">
        <v>27</v>
      </c>
      <c r="AP66">
        <f t="shared" ref="AP66:AP81" si="17">COUNTA(AR66:BA66)</f>
        <v>2</v>
      </c>
      <c r="AQ66">
        <v>1</v>
      </c>
      <c r="AR66">
        <v>1</v>
      </c>
      <c r="AS66">
        <v>1</v>
      </c>
    </row>
    <row r="67" spans="1:47" x14ac:dyDescent="0.35">
      <c r="A67" s="49" t="s">
        <v>21</v>
      </c>
      <c r="B67" s="49" t="s">
        <v>99</v>
      </c>
      <c r="C67" s="49" t="str">
        <f>VLOOKUP(B67,templateLookup!A:B,2,0)</f>
        <v>PrimeShmooTestMethod</v>
      </c>
      <c r="D67" s="15" t="str">
        <f t="shared" ref="D67:D81" si="18">E67&amp;"_"&amp;F67&amp;"_"&amp;G67&amp;"_"&amp;H67&amp;"_"&amp;A67&amp;"_"&amp;I67&amp;"_"&amp;J67&amp;"_"&amp;K67&amp;"_"&amp;L67&amp;"_"&amp;M67&amp;"_"&amp;N67</f>
        <v>SSA_SOC_SHMOO_E_END_TITO_SAQ_NOM_LFM_0600_HBO</v>
      </c>
      <c r="E67" t="s">
        <v>4</v>
      </c>
      <c r="F67" t="s">
        <v>27</v>
      </c>
      <c r="G67" t="s">
        <v>1011</v>
      </c>
      <c r="H67" t="s">
        <v>207</v>
      </c>
      <c r="I67" t="s">
        <v>260</v>
      </c>
      <c r="J67" t="s">
        <v>558</v>
      </c>
      <c r="K67" t="s">
        <v>284</v>
      </c>
      <c r="L67" t="s">
        <v>285</v>
      </c>
      <c r="M67" t="str">
        <f>TEXT(600,"0000")</f>
        <v>0600</v>
      </c>
      <c r="N67" t="s">
        <v>1218</v>
      </c>
      <c r="O67" t="s">
        <v>267</v>
      </c>
      <c r="P67" t="s">
        <v>268</v>
      </c>
      <c r="Q67" s="46" t="s">
        <v>1219</v>
      </c>
      <c r="R67">
        <v>61</v>
      </c>
      <c r="S67">
        <v>52</v>
      </c>
      <c r="T67">
        <v>600</v>
      </c>
      <c r="U67">
        <v>1</v>
      </c>
      <c r="V67" t="b">
        <v>0</v>
      </c>
      <c r="W67" t="s">
        <v>298</v>
      </c>
      <c r="Y67" t="s">
        <v>1062</v>
      </c>
      <c r="AP67">
        <f t="shared" si="17"/>
        <v>4</v>
      </c>
      <c r="AQ67" t="s">
        <v>920</v>
      </c>
      <c r="AR67" t="str">
        <f t="shared" ref="AR67:AU80" si="19">$D68</f>
        <v>SSA_SOC_SHMOO_E_END_TITO_SAQ_NOM_LFM_0600_SBCLK_CCSR</v>
      </c>
      <c r="AS67" t="str">
        <f t="shared" si="19"/>
        <v>SSA_SOC_SHMOO_E_END_TITO_SAQ_NOM_LFM_0600_SBCLK_CCSR</v>
      </c>
      <c r="AT67" t="str">
        <f t="shared" si="19"/>
        <v>SSA_SOC_SHMOO_E_END_TITO_SAQ_NOM_LFM_0600_SBCLK_CCSR</v>
      </c>
      <c r="AU67" t="str">
        <f t="shared" si="19"/>
        <v>SSA_SOC_SHMOO_E_END_TITO_SAQ_NOM_LFM_0600_SBCLK_CCSR</v>
      </c>
    </row>
    <row r="68" spans="1:47" x14ac:dyDescent="0.35">
      <c r="A68" s="49" t="s">
        <v>21</v>
      </c>
      <c r="B68" s="49" t="s">
        <v>99</v>
      </c>
      <c r="C68" s="49" t="str">
        <f>VLOOKUP(B68,templateLookup!A:B,2,0)</f>
        <v>PrimeShmooTestMethod</v>
      </c>
      <c r="D68" s="15" t="str">
        <f t="shared" si="18"/>
        <v>SSA_SOC_SHMOO_E_END_TITO_SAQ_NOM_LFM_0600_SBCLK_CCSR</v>
      </c>
      <c r="E68" t="s">
        <v>4</v>
      </c>
      <c r="F68" t="s">
        <v>27</v>
      </c>
      <c r="G68" t="s">
        <v>1011</v>
      </c>
      <c r="H68" t="s">
        <v>207</v>
      </c>
      <c r="I68" t="s">
        <v>260</v>
      </c>
      <c r="J68" t="s">
        <v>558</v>
      </c>
      <c r="K68" t="s">
        <v>284</v>
      </c>
      <c r="L68" t="s">
        <v>285</v>
      </c>
      <c r="M68" t="str">
        <f>TEXT(600,"0000")</f>
        <v>0600</v>
      </c>
      <c r="N68" t="s">
        <v>1220</v>
      </c>
      <c r="O68" t="s">
        <v>267</v>
      </c>
      <c r="P68" t="s">
        <v>268</v>
      </c>
      <c r="Q68" s="46" t="s">
        <v>1221</v>
      </c>
      <c r="R68">
        <v>61</v>
      </c>
      <c r="S68">
        <v>52</v>
      </c>
      <c r="T68">
        <v>603</v>
      </c>
      <c r="U68">
        <v>1</v>
      </c>
      <c r="V68" t="b">
        <v>0</v>
      </c>
      <c r="W68" t="s">
        <v>298</v>
      </c>
      <c r="Y68" t="s">
        <v>1062</v>
      </c>
      <c r="AP68">
        <f t="shared" si="17"/>
        <v>4</v>
      </c>
      <c r="AQ68" t="s">
        <v>920</v>
      </c>
      <c r="AR68" t="str">
        <f t="shared" si="19"/>
        <v>SSA_SOC_SHMOO_E_END_TITO_SAQ_NOM_LFM_0600_DDXR</v>
      </c>
      <c r="AS68" t="str">
        <f t="shared" si="19"/>
        <v>SSA_SOC_SHMOO_E_END_TITO_SAQ_NOM_LFM_0600_DDXR</v>
      </c>
      <c r="AT68" t="str">
        <f t="shared" si="19"/>
        <v>SSA_SOC_SHMOO_E_END_TITO_SAQ_NOM_LFM_0600_DDXR</v>
      </c>
      <c r="AU68" t="str">
        <f t="shared" si="19"/>
        <v>SSA_SOC_SHMOO_E_END_TITO_SAQ_NOM_LFM_0600_DDXR</v>
      </c>
    </row>
    <row r="69" spans="1:47" x14ac:dyDescent="0.35">
      <c r="A69" s="49" t="s">
        <v>21</v>
      </c>
      <c r="B69" s="49" t="s">
        <v>99</v>
      </c>
      <c r="C69" s="49" t="str">
        <f>VLOOKUP(B69,templateLookup!A:B,2,0)</f>
        <v>PrimeShmooTestMethod</v>
      </c>
      <c r="D69" s="15" t="str">
        <f t="shared" si="18"/>
        <v>SSA_SOC_SHMOO_E_END_TITO_SAQ_NOM_LFM_0600_DDXR</v>
      </c>
      <c r="E69" t="s">
        <v>4</v>
      </c>
      <c r="F69" t="s">
        <v>27</v>
      </c>
      <c r="G69" t="s">
        <v>1011</v>
      </c>
      <c r="H69" t="s">
        <v>207</v>
      </c>
      <c r="I69" t="s">
        <v>260</v>
      </c>
      <c r="J69" t="s">
        <v>558</v>
      </c>
      <c r="K69" t="s">
        <v>284</v>
      </c>
      <c r="L69" t="s">
        <v>285</v>
      </c>
      <c r="M69" t="str">
        <f>TEXT(600,"0000")</f>
        <v>0600</v>
      </c>
      <c r="N69" t="s">
        <v>1222</v>
      </c>
      <c r="O69" t="s">
        <v>267</v>
      </c>
      <c r="P69" t="s">
        <v>268</v>
      </c>
      <c r="Q69" s="46" t="s">
        <v>1223</v>
      </c>
      <c r="R69">
        <v>61</v>
      </c>
      <c r="S69">
        <v>52</v>
      </c>
      <c r="T69">
        <v>604</v>
      </c>
      <c r="U69">
        <v>1</v>
      </c>
      <c r="V69" t="b">
        <v>0</v>
      </c>
      <c r="W69" t="s">
        <v>298</v>
      </c>
      <c r="Y69" t="s">
        <v>1062</v>
      </c>
      <c r="AP69">
        <f t="shared" si="17"/>
        <v>4</v>
      </c>
      <c r="AQ69" t="s">
        <v>920</v>
      </c>
      <c r="AR69" t="str">
        <f t="shared" si="19"/>
        <v>SSA_SOC_SHMOO_E_END_TITO_SAQ_NOM_LFM_0600_DDHY</v>
      </c>
      <c r="AS69" t="str">
        <f t="shared" si="19"/>
        <v>SSA_SOC_SHMOO_E_END_TITO_SAQ_NOM_LFM_0600_DDHY</v>
      </c>
      <c r="AT69" t="str">
        <f t="shared" si="19"/>
        <v>SSA_SOC_SHMOO_E_END_TITO_SAQ_NOM_LFM_0600_DDHY</v>
      </c>
      <c r="AU69" t="str">
        <f t="shared" si="19"/>
        <v>SSA_SOC_SHMOO_E_END_TITO_SAQ_NOM_LFM_0600_DDHY</v>
      </c>
    </row>
    <row r="70" spans="1:47" x14ac:dyDescent="0.35">
      <c r="A70" s="49" t="s">
        <v>21</v>
      </c>
      <c r="B70" s="49" t="s">
        <v>99</v>
      </c>
      <c r="C70" s="49" t="str">
        <f>VLOOKUP(B70,templateLookup!A:B,2,0)</f>
        <v>PrimeShmooTestMethod</v>
      </c>
      <c r="D70" s="15" t="str">
        <f t="shared" si="18"/>
        <v>SSA_SOC_SHMOO_E_END_TITO_SAQ_NOM_LFM_0600_DDHY</v>
      </c>
      <c r="E70" t="s">
        <v>4</v>
      </c>
      <c r="F70" t="s">
        <v>27</v>
      </c>
      <c r="G70" t="s">
        <v>1011</v>
      </c>
      <c r="H70" t="s">
        <v>207</v>
      </c>
      <c r="I70" t="s">
        <v>260</v>
      </c>
      <c r="J70" t="s">
        <v>558</v>
      </c>
      <c r="K70" t="s">
        <v>284</v>
      </c>
      <c r="L70" t="s">
        <v>285</v>
      </c>
      <c r="M70" t="str">
        <f>TEXT(600,"0000")</f>
        <v>0600</v>
      </c>
      <c r="N70" t="s">
        <v>1224</v>
      </c>
      <c r="O70" t="s">
        <v>267</v>
      </c>
      <c r="P70" t="s">
        <v>268</v>
      </c>
      <c r="Q70" s="46" t="s">
        <v>1225</v>
      </c>
      <c r="R70">
        <v>61</v>
      </c>
      <c r="S70">
        <v>52</v>
      </c>
      <c r="T70">
        <v>606</v>
      </c>
      <c r="U70">
        <v>1</v>
      </c>
      <c r="V70" t="b">
        <v>0</v>
      </c>
      <c r="W70" t="s">
        <v>298</v>
      </c>
      <c r="Y70" t="s">
        <v>1062</v>
      </c>
      <c r="AP70">
        <f t="shared" si="17"/>
        <v>4</v>
      </c>
      <c r="AQ70" t="s">
        <v>920</v>
      </c>
      <c r="AR70" t="str">
        <f t="shared" si="19"/>
        <v>SSA_SOC_SHMOO_E_END_TITO_SAN_NOM_LFM_0400_PUNIT</v>
      </c>
      <c r="AS70" t="str">
        <f t="shared" si="19"/>
        <v>SSA_SOC_SHMOO_E_END_TITO_SAN_NOM_LFM_0400_PUNIT</v>
      </c>
      <c r="AT70" t="str">
        <f t="shared" si="19"/>
        <v>SSA_SOC_SHMOO_E_END_TITO_SAN_NOM_LFM_0400_PUNIT</v>
      </c>
      <c r="AU70" t="str">
        <f t="shared" si="19"/>
        <v>SSA_SOC_SHMOO_E_END_TITO_SAN_NOM_LFM_0400_PUNIT</v>
      </c>
    </row>
    <row r="71" spans="1:47" x14ac:dyDescent="0.35">
      <c r="A71" s="49" t="s">
        <v>21</v>
      </c>
      <c r="B71" s="49" t="s">
        <v>99</v>
      </c>
      <c r="C71" s="49" t="str">
        <f>VLOOKUP(B71,templateLookup!A:B,2,0)</f>
        <v>PrimeShmooTestMethod</v>
      </c>
      <c r="D71" s="19" t="str">
        <f t="shared" si="18"/>
        <v>SSA_SOC_SHMOO_E_END_TITO_SAN_NOM_LFM_0400_PUNIT</v>
      </c>
      <c r="E71" t="s">
        <v>4</v>
      </c>
      <c r="F71" t="s">
        <v>27</v>
      </c>
      <c r="G71" t="s">
        <v>1011</v>
      </c>
      <c r="H71" t="s">
        <v>207</v>
      </c>
      <c r="I71" t="s">
        <v>260</v>
      </c>
      <c r="J71" t="s">
        <v>295</v>
      </c>
      <c r="K71" t="s">
        <v>284</v>
      </c>
      <c r="L71" t="s">
        <v>285</v>
      </c>
      <c r="M71" t="str">
        <f>TEXT(400,"0000")</f>
        <v>0400</v>
      </c>
      <c r="N71" t="s">
        <v>1226</v>
      </c>
      <c r="O71" t="s">
        <v>267</v>
      </c>
      <c r="P71" t="s">
        <v>268</v>
      </c>
      <c r="Q71" s="46" t="s">
        <v>1227</v>
      </c>
      <c r="R71">
        <v>61</v>
      </c>
      <c r="S71">
        <v>52</v>
      </c>
      <c r="T71">
        <v>607</v>
      </c>
      <c r="U71">
        <v>1</v>
      </c>
      <c r="V71" t="b">
        <v>0</v>
      </c>
      <c r="W71" t="s">
        <v>298</v>
      </c>
      <c r="Y71" t="s">
        <v>1062</v>
      </c>
      <c r="AP71">
        <f t="shared" si="17"/>
        <v>4</v>
      </c>
      <c r="AQ71" t="s">
        <v>920</v>
      </c>
      <c r="AR71" t="str">
        <f t="shared" si="19"/>
        <v>SSA_SOC_SHMOO_E_END_TITO_SAN_NOM_LFM_0400_ARU_EDC</v>
      </c>
      <c r="AS71" t="str">
        <f t="shared" si="19"/>
        <v>SSA_SOC_SHMOO_E_END_TITO_SAN_NOM_LFM_0400_ARU_EDC</v>
      </c>
      <c r="AT71" t="str">
        <f t="shared" si="19"/>
        <v>SSA_SOC_SHMOO_E_END_TITO_SAN_NOM_LFM_0400_ARU_EDC</v>
      </c>
      <c r="AU71" t="str">
        <f t="shared" si="19"/>
        <v>SSA_SOC_SHMOO_E_END_TITO_SAN_NOM_LFM_0400_ARU_EDC</v>
      </c>
    </row>
    <row r="72" spans="1:47" x14ac:dyDescent="0.35">
      <c r="A72" s="49" t="s">
        <v>21</v>
      </c>
      <c r="B72" s="49" t="s">
        <v>99</v>
      </c>
      <c r="C72" s="49" t="str">
        <f>VLOOKUP(B72,templateLookup!A:B,2,0)</f>
        <v>PrimeShmooTestMethod</v>
      </c>
      <c r="D72" s="19" t="str">
        <f t="shared" si="18"/>
        <v>SSA_SOC_SHMOO_E_END_TITO_SAN_NOM_LFM_0400_ARU_EDC</v>
      </c>
      <c r="E72" t="s">
        <v>4</v>
      </c>
      <c r="F72" t="s">
        <v>27</v>
      </c>
      <c r="G72" t="s">
        <v>1011</v>
      </c>
      <c r="H72" t="s">
        <v>207</v>
      </c>
      <c r="I72" t="s">
        <v>260</v>
      </c>
      <c r="J72" t="s">
        <v>295</v>
      </c>
      <c r="K72" t="s">
        <v>284</v>
      </c>
      <c r="L72" t="s">
        <v>285</v>
      </c>
      <c r="M72" t="str">
        <f>TEXT(400,"0000")</f>
        <v>0400</v>
      </c>
      <c r="N72" t="s">
        <v>1249</v>
      </c>
      <c r="O72" t="s">
        <v>267</v>
      </c>
      <c r="P72" t="s">
        <v>268</v>
      </c>
      <c r="Q72" s="46" t="s">
        <v>1269</v>
      </c>
      <c r="R72">
        <v>61</v>
      </c>
      <c r="S72">
        <v>52</v>
      </c>
      <c r="T72">
        <v>608</v>
      </c>
      <c r="U72">
        <v>1</v>
      </c>
      <c r="V72" t="b">
        <v>0</v>
      </c>
      <c r="W72" t="s">
        <v>298</v>
      </c>
      <c r="Y72" t="s">
        <v>1062</v>
      </c>
      <c r="AP72">
        <f t="shared" si="17"/>
        <v>4</v>
      </c>
      <c r="AQ72" t="s">
        <v>920</v>
      </c>
      <c r="AR72" t="str">
        <f t="shared" si="19"/>
        <v>SSA_SOC_SHMOO_E_END_TITO_SAN_NOM_LFM_0400_SBCLK</v>
      </c>
      <c r="AS72" t="str">
        <f t="shared" si="19"/>
        <v>SSA_SOC_SHMOO_E_END_TITO_SAN_NOM_LFM_0400_SBCLK</v>
      </c>
      <c r="AT72" t="str">
        <f t="shared" si="19"/>
        <v>SSA_SOC_SHMOO_E_END_TITO_SAN_NOM_LFM_0400_SBCLK</v>
      </c>
      <c r="AU72" t="str">
        <f t="shared" si="19"/>
        <v>SSA_SOC_SHMOO_E_END_TITO_SAN_NOM_LFM_0400_SBCLK</v>
      </c>
    </row>
    <row r="73" spans="1:47" x14ac:dyDescent="0.35">
      <c r="A73" s="49" t="s">
        <v>21</v>
      </c>
      <c r="B73" s="49" t="s">
        <v>99</v>
      </c>
      <c r="C73" s="49" t="str">
        <f>VLOOKUP(B73,templateLookup!A:B,2,0)</f>
        <v>PrimeShmooTestMethod</v>
      </c>
      <c r="D73" s="19" t="str">
        <f t="shared" si="18"/>
        <v>SSA_SOC_SHMOO_E_END_TITO_SAN_NOM_LFM_0400_SBCLK</v>
      </c>
      <c r="E73" t="s">
        <v>4</v>
      </c>
      <c r="F73" t="s">
        <v>27</v>
      </c>
      <c r="G73" t="s">
        <v>1011</v>
      </c>
      <c r="H73" t="s">
        <v>207</v>
      </c>
      <c r="I73" t="s">
        <v>260</v>
      </c>
      <c r="J73" t="s">
        <v>295</v>
      </c>
      <c r="K73" t="s">
        <v>284</v>
      </c>
      <c r="L73" t="s">
        <v>285</v>
      </c>
      <c r="M73" t="str">
        <f>TEXT(400,"0000")</f>
        <v>0400</v>
      </c>
      <c r="N73" t="s">
        <v>1120</v>
      </c>
      <c r="O73" t="s">
        <v>267</v>
      </c>
      <c r="P73" t="s">
        <v>268</v>
      </c>
      <c r="Q73" s="46" t="s">
        <v>1228</v>
      </c>
      <c r="R73">
        <v>61</v>
      </c>
      <c r="S73">
        <v>52</v>
      </c>
      <c r="T73">
        <v>609</v>
      </c>
      <c r="U73">
        <v>1</v>
      </c>
      <c r="V73" t="b">
        <v>0</v>
      </c>
      <c r="W73" t="s">
        <v>298</v>
      </c>
      <c r="Y73" t="s">
        <v>1062</v>
      </c>
      <c r="AP73">
        <f t="shared" si="17"/>
        <v>4</v>
      </c>
      <c r="AQ73" t="s">
        <v>920</v>
      </c>
      <c r="AR73" t="str">
        <f t="shared" si="19"/>
        <v>LSA_SOC_SHMOO_E_END_TITO_SAQ_NOM_LFM_0600_ALL_SAQ</v>
      </c>
      <c r="AS73" t="str">
        <f t="shared" si="19"/>
        <v>LSA_SOC_SHMOO_E_END_TITO_SAQ_NOM_LFM_0600_ALL_SAQ</v>
      </c>
      <c r="AT73" t="str">
        <f t="shared" si="19"/>
        <v>LSA_SOC_SHMOO_E_END_TITO_SAQ_NOM_LFM_0600_ALL_SAQ</v>
      </c>
      <c r="AU73" t="str">
        <f t="shared" si="19"/>
        <v>LSA_SOC_SHMOO_E_END_TITO_SAQ_NOM_LFM_0600_ALL_SAQ</v>
      </c>
    </row>
    <row r="74" spans="1:47" x14ac:dyDescent="0.35">
      <c r="A74" s="49" t="s">
        <v>21</v>
      </c>
      <c r="B74" s="49" t="s">
        <v>99</v>
      </c>
      <c r="C74" s="49" t="str">
        <f>VLOOKUP(B74,templateLookup!A:B,2,0)</f>
        <v>PrimeShmooTestMethod</v>
      </c>
      <c r="D74" s="15" t="str">
        <f t="shared" si="18"/>
        <v>LSA_SOC_SHMOO_E_END_TITO_SAQ_NOM_LFM_0600_ALL_SAQ</v>
      </c>
      <c r="E74" t="s">
        <v>5</v>
      </c>
      <c r="F74" t="s">
        <v>27</v>
      </c>
      <c r="G74" t="s">
        <v>1011</v>
      </c>
      <c r="H74" t="s">
        <v>207</v>
      </c>
      <c r="I74" t="s">
        <v>260</v>
      </c>
      <c r="J74" t="s">
        <v>558</v>
      </c>
      <c r="K74" t="s">
        <v>284</v>
      </c>
      <c r="L74" t="s">
        <v>285</v>
      </c>
      <c r="M74" t="str">
        <f>TEXT(600,"0000")</f>
        <v>0600</v>
      </c>
      <c r="N74" t="s">
        <v>1229</v>
      </c>
      <c r="O74" t="s">
        <v>267</v>
      </c>
      <c r="P74" t="s">
        <v>268</v>
      </c>
      <c r="Q74" s="46" t="s">
        <v>1230</v>
      </c>
      <c r="R74">
        <v>21</v>
      </c>
      <c r="S74">
        <v>52</v>
      </c>
      <c r="T74">
        <v>620</v>
      </c>
      <c r="U74">
        <v>1</v>
      </c>
      <c r="V74" t="b">
        <v>0</v>
      </c>
      <c r="W74" t="s">
        <v>298</v>
      </c>
      <c r="Y74" t="s">
        <v>1062</v>
      </c>
      <c r="AP74">
        <f t="shared" si="17"/>
        <v>4</v>
      </c>
      <c r="AQ74" t="s">
        <v>920</v>
      </c>
      <c r="AR74" t="str">
        <f t="shared" si="19"/>
        <v>LSA_SOC_SHMOO_E_END_TITO_SAQ_NOM_LFM_0600_FUSE</v>
      </c>
      <c r="AS74" t="str">
        <f t="shared" si="19"/>
        <v>LSA_SOC_SHMOO_E_END_TITO_SAQ_NOM_LFM_0600_FUSE</v>
      </c>
      <c r="AT74" t="str">
        <f t="shared" si="19"/>
        <v>LSA_SOC_SHMOO_E_END_TITO_SAQ_NOM_LFM_0600_FUSE</v>
      </c>
      <c r="AU74" t="str">
        <f t="shared" si="19"/>
        <v>LSA_SOC_SHMOO_E_END_TITO_SAQ_NOM_LFM_0600_FUSE</v>
      </c>
    </row>
    <row r="75" spans="1:47" x14ac:dyDescent="0.35">
      <c r="A75" s="49" t="s">
        <v>21</v>
      </c>
      <c r="B75" s="49" t="s">
        <v>99</v>
      </c>
      <c r="C75" s="49" t="str">
        <f>VLOOKUP(B75,templateLookup!A:B,2,0)</f>
        <v>PrimeShmooTestMethod</v>
      </c>
      <c r="D75" s="15" t="str">
        <f t="shared" si="18"/>
        <v>LSA_SOC_SHMOO_E_END_TITO_SAQ_NOM_LFM_0600_FUSE</v>
      </c>
      <c r="E75" t="s">
        <v>5</v>
      </c>
      <c r="F75" t="s">
        <v>27</v>
      </c>
      <c r="G75" t="s">
        <v>1011</v>
      </c>
      <c r="H75" t="s">
        <v>207</v>
      </c>
      <c r="I75" t="s">
        <v>260</v>
      </c>
      <c r="J75" t="s">
        <v>558</v>
      </c>
      <c r="K75" t="s">
        <v>284</v>
      </c>
      <c r="L75" t="s">
        <v>285</v>
      </c>
      <c r="M75" t="str">
        <f>TEXT(600,"0000")</f>
        <v>0600</v>
      </c>
      <c r="N75" t="s">
        <v>1200</v>
      </c>
      <c r="O75" t="s">
        <v>1012</v>
      </c>
      <c r="P75" t="s">
        <v>268</v>
      </c>
      <c r="Q75" s="46" t="s">
        <v>1231</v>
      </c>
      <c r="R75">
        <v>21</v>
      </c>
      <c r="S75">
        <v>52</v>
      </c>
      <c r="T75">
        <v>632</v>
      </c>
      <c r="U75">
        <v>1</v>
      </c>
      <c r="V75" t="b">
        <v>0</v>
      </c>
      <c r="W75" t="s">
        <v>1202</v>
      </c>
      <c r="Y75" t="s">
        <v>1210</v>
      </c>
      <c r="AP75">
        <f t="shared" si="17"/>
        <v>4</v>
      </c>
      <c r="AQ75" t="s">
        <v>920</v>
      </c>
      <c r="AR75" t="str">
        <f t="shared" si="19"/>
        <v>LSA_SOC_SHMOO_E_END_TITO_SAQ_NOM_LFM_0600_DDXR</v>
      </c>
      <c r="AS75" t="str">
        <f t="shared" si="19"/>
        <v>LSA_SOC_SHMOO_E_END_TITO_SAQ_NOM_LFM_0600_DDXR</v>
      </c>
      <c r="AT75" t="str">
        <f t="shared" si="19"/>
        <v>LSA_SOC_SHMOO_E_END_TITO_SAQ_NOM_LFM_0600_DDXR</v>
      </c>
      <c r="AU75" t="str">
        <f t="shared" si="19"/>
        <v>LSA_SOC_SHMOO_E_END_TITO_SAQ_NOM_LFM_0600_DDXR</v>
      </c>
    </row>
    <row r="76" spans="1:47" x14ac:dyDescent="0.35">
      <c r="A76" s="49" t="s">
        <v>21</v>
      </c>
      <c r="B76" s="49" t="s">
        <v>99</v>
      </c>
      <c r="C76" s="49" t="str">
        <f>VLOOKUP(B76,templateLookup!A:B,2,0)</f>
        <v>PrimeShmooTestMethod</v>
      </c>
      <c r="D76" s="15" t="str">
        <f t="shared" si="18"/>
        <v>LSA_SOC_SHMOO_E_END_TITO_SAQ_NOM_LFM_0600_DDXR</v>
      </c>
      <c r="E76" t="s">
        <v>5</v>
      </c>
      <c r="F76" t="s">
        <v>27</v>
      </c>
      <c r="G76" t="s">
        <v>1011</v>
      </c>
      <c r="H76" t="s">
        <v>207</v>
      </c>
      <c r="I76" t="s">
        <v>260</v>
      </c>
      <c r="J76" t="s">
        <v>558</v>
      </c>
      <c r="K76" t="s">
        <v>284</v>
      </c>
      <c r="L76" t="s">
        <v>285</v>
      </c>
      <c r="M76" t="str">
        <f>TEXT(600,"0000")</f>
        <v>0600</v>
      </c>
      <c r="N76" t="s">
        <v>1222</v>
      </c>
      <c r="O76" t="s">
        <v>1012</v>
      </c>
      <c r="P76" t="s">
        <v>268</v>
      </c>
      <c r="Q76" s="46" t="s">
        <v>1232</v>
      </c>
      <c r="R76">
        <v>21</v>
      </c>
      <c r="S76">
        <v>52</v>
      </c>
      <c r="T76">
        <v>633</v>
      </c>
      <c r="U76">
        <v>1</v>
      </c>
      <c r="V76" t="b">
        <v>0</v>
      </c>
      <c r="W76" t="s">
        <v>298</v>
      </c>
      <c r="Y76" t="s">
        <v>1062</v>
      </c>
      <c r="AP76">
        <f t="shared" si="17"/>
        <v>4</v>
      </c>
      <c r="AQ76" t="s">
        <v>920</v>
      </c>
      <c r="AR76" t="str">
        <f t="shared" si="19"/>
        <v>LSA_SOC_SHMOO_E_END_TITO_SAN_NOM_LFM_0400_ALL_SAN</v>
      </c>
      <c r="AS76" t="str">
        <f t="shared" si="19"/>
        <v>LSA_SOC_SHMOO_E_END_TITO_SAN_NOM_LFM_0400_ALL_SAN</v>
      </c>
      <c r="AT76" t="str">
        <f t="shared" si="19"/>
        <v>LSA_SOC_SHMOO_E_END_TITO_SAN_NOM_LFM_0400_ALL_SAN</v>
      </c>
      <c r="AU76" t="str">
        <f t="shared" si="19"/>
        <v>LSA_SOC_SHMOO_E_END_TITO_SAN_NOM_LFM_0400_ALL_SAN</v>
      </c>
    </row>
    <row r="77" spans="1:47" x14ac:dyDescent="0.35">
      <c r="A77" s="49" t="s">
        <v>21</v>
      </c>
      <c r="B77" s="49" t="s">
        <v>99</v>
      </c>
      <c r="C77" s="49" t="str">
        <f>VLOOKUP(B77,templateLookup!A:B,2,0)</f>
        <v>PrimeShmooTestMethod</v>
      </c>
      <c r="D77" s="19" t="str">
        <f t="shared" si="18"/>
        <v>LSA_SOC_SHMOO_E_END_TITO_SAN_NOM_LFM_0400_ALL_SAN</v>
      </c>
      <c r="E77" t="s">
        <v>5</v>
      </c>
      <c r="F77" t="s">
        <v>27</v>
      </c>
      <c r="G77" t="s">
        <v>1011</v>
      </c>
      <c r="H77" t="s">
        <v>207</v>
      </c>
      <c r="I77" t="s">
        <v>260</v>
      </c>
      <c r="J77" t="s">
        <v>295</v>
      </c>
      <c r="K77" t="s">
        <v>284</v>
      </c>
      <c r="L77" t="s">
        <v>285</v>
      </c>
      <c r="M77" t="str">
        <f>TEXT(400,"0000")</f>
        <v>0400</v>
      </c>
      <c r="N77" t="s">
        <v>1233</v>
      </c>
      <c r="O77" t="s">
        <v>1012</v>
      </c>
      <c r="P77" t="s">
        <v>268</v>
      </c>
      <c r="Q77" s="46" t="s">
        <v>1234</v>
      </c>
      <c r="R77">
        <v>21</v>
      </c>
      <c r="S77">
        <v>52</v>
      </c>
      <c r="T77">
        <v>634</v>
      </c>
      <c r="U77">
        <v>1</v>
      </c>
      <c r="V77" t="b">
        <v>0</v>
      </c>
      <c r="W77" t="s">
        <v>298</v>
      </c>
      <c r="Y77" t="s">
        <v>1062</v>
      </c>
      <c r="AP77">
        <f t="shared" si="17"/>
        <v>4</v>
      </c>
      <c r="AQ77" t="s">
        <v>920</v>
      </c>
      <c r="AR77" t="str">
        <f t="shared" si="19"/>
        <v>LSA_SOC_SHMOO_E_END_TITO_SAN_NOM_LFM_0400_ONDD</v>
      </c>
      <c r="AS77" t="str">
        <f t="shared" si="19"/>
        <v>LSA_SOC_SHMOO_E_END_TITO_SAN_NOM_LFM_0400_ONDD</v>
      </c>
      <c r="AT77" t="str">
        <f t="shared" si="19"/>
        <v>LSA_SOC_SHMOO_E_END_TITO_SAN_NOM_LFM_0400_ONDD</v>
      </c>
      <c r="AU77" t="str">
        <f t="shared" si="19"/>
        <v>LSA_SOC_SHMOO_E_END_TITO_SAN_NOM_LFM_0400_ONDD</v>
      </c>
    </row>
    <row r="78" spans="1:47" x14ac:dyDescent="0.35">
      <c r="A78" s="49" t="s">
        <v>21</v>
      </c>
      <c r="B78" s="49" t="s">
        <v>99</v>
      </c>
      <c r="C78" s="49" t="str">
        <f>VLOOKUP(B78,templateLookup!A:B,2,0)</f>
        <v>PrimeShmooTestMethod</v>
      </c>
      <c r="D78" s="19" t="str">
        <f t="shared" si="18"/>
        <v>LSA_SOC_SHMOO_E_END_TITO_SAN_NOM_LFM_0400_ONDD</v>
      </c>
      <c r="E78" t="s">
        <v>5</v>
      </c>
      <c r="F78" t="s">
        <v>27</v>
      </c>
      <c r="G78" t="s">
        <v>1011</v>
      </c>
      <c r="H78" t="s">
        <v>207</v>
      </c>
      <c r="I78" t="s">
        <v>260</v>
      </c>
      <c r="J78" t="s">
        <v>295</v>
      </c>
      <c r="K78" t="s">
        <v>284</v>
      </c>
      <c r="L78" t="s">
        <v>285</v>
      </c>
      <c r="M78" t="str">
        <f>TEXT(400,"0000")</f>
        <v>0400</v>
      </c>
      <c r="N78" t="s">
        <v>1207</v>
      </c>
      <c r="O78" t="s">
        <v>1012</v>
      </c>
      <c r="P78" t="s">
        <v>268</v>
      </c>
      <c r="Q78" s="46" t="s">
        <v>1235</v>
      </c>
      <c r="R78">
        <v>21</v>
      </c>
      <c r="S78">
        <v>52</v>
      </c>
      <c r="T78">
        <v>637</v>
      </c>
      <c r="U78">
        <v>1</v>
      </c>
      <c r="V78" t="b">
        <v>0</v>
      </c>
      <c r="W78" t="s">
        <v>1216</v>
      </c>
      <c r="Y78" t="s">
        <v>1062</v>
      </c>
      <c r="AP78">
        <f t="shared" si="17"/>
        <v>4</v>
      </c>
      <c r="AQ78" t="s">
        <v>920</v>
      </c>
      <c r="AR78" t="str">
        <f t="shared" si="19"/>
        <v>ROM_SOC_SHMOO_E_END_TITO_SAQ_NOM_LFM_0600_CCSR</v>
      </c>
      <c r="AS78" t="str">
        <f t="shared" si="19"/>
        <v>ROM_SOC_SHMOO_E_END_TITO_SAQ_NOM_LFM_0600_CCSR</v>
      </c>
      <c r="AT78" t="str">
        <f t="shared" si="19"/>
        <v>ROM_SOC_SHMOO_E_END_TITO_SAQ_NOM_LFM_0600_CCSR</v>
      </c>
      <c r="AU78" t="str">
        <f t="shared" si="19"/>
        <v>ROM_SOC_SHMOO_E_END_TITO_SAQ_NOM_LFM_0600_CCSR</v>
      </c>
    </row>
    <row r="79" spans="1:47" x14ac:dyDescent="0.35">
      <c r="A79" s="49" t="s">
        <v>21</v>
      </c>
      <c r="B79" s="49" t="s">
        <v>99</v>
      </c>
      <c r="C79" s="49" t="str">
        <f>VLOOKUP(B79,templateLookup!A:B,2,0)</f>
        <v>PrimeShmooTestMethod</v>
      </c>
      <c r="D79" s="15" t="str">
        <f t="shared" si="18"/>
        <v>ROM_SOC_SHMOO_E_END_TITO_SAQ_NOM_LFM_0600_CCSR</v>
      </c>
      <c r="E79" t="s">
        <v>6</v>
      </c>
      <c r="F79" t="s">
        <v>27</v>
      </c>
      <c r="G79" t="s">
        <v>1011</v>
      </c>
      <c r="H79" t="s">
        <v>207</v>
      </c>
      <c r="I79" t="s">
        <v>260</v>
      </c>
      <c r="J79" t="s">
        <v>558</v>
      </c>
      <c r="K79" t="s">
        <v>284</v>
      </c>
      <c r="L79" t="s">
        <v>285</v>
      </c>
      <c r="M79" t="str">
        <f>TEXT(600,"0000")</f>
        <v>0600</v>
      </c>
      <c r="N79" t="s">
        <v>1236</v>
      </c>
      <c r="O79" t="s">
        <v>1012</v>
      </c>
      <c r="P79" t="s">
        <v>268</v>
      </c>
      <c r="Q79" s="46" t="s">
        <v>1237</v>
      </c>
      <c r="R79">
        <v>21</v>
      </c>
      <c r="S79">
        <v>52</v>
      </c>
      <c r="T79">
        <v>640</v>
      </c>
      <c r="U79">
        <v>1</v>
      </c>
      <c r="V79" t="b">
        <v>0</v>
      </c>
      <c r="W79" t="s">
        <v>298</v>
      </c>
      <c r="Y79" t="s">
        <v>1062</v>
      </c>
      <c r="AP79">
        <f t="shared" si="17"/>
        <v>4</v>
      </c>
      <c r="AQ79" t="s">
        <v>920</v>
      </c>
      <c r="AR79" t="str">
        <f t="shared" si="19"/>
        <v>ROM_SOC_SHMOO_E_END_TITO_SAQ_NOM_LFM_0600_DDHY</v>
      </c>
      <c r="AS79" t="str">
        <f t="shared" si="19"/>
        <v>ROM_SOC_SHMOO_E_END_TITO_SAQ_NOM_LFM_0600_DDHY</v>
      </c>
      <c r="AT79" t="str">
        <f t="shared" si="19"/>
        <v>ROM_SOC_SHMOO_E_END_TITO_SAQ_NOM_LFM_0600_DDHY</v>
      </c>
      <c r="AU79" t="str">
        <f t="shared" si="19"/>
        <v>ROM_SOC_SHMOO_E_END_TITO_SAQ_NOM_LFM_0600_DDHY</v>
      </c>
    </row>
    <row r="80" spans="1:47" x14ac:dyDescent="0.35">
      <c r="A80" s="49" t="s">
        <v>21</v>
      </c>
      <c r="B80" s="49" t="s">
        <v>99</v>
      </c>
      <c r="C80" s="49" t="str">
        <f>VLOOKUP(B80,templateLookup!A:B,2,0)</f>
        <v>PrimeShmooTestMethod</v>
      </c>
      <c r="D80" s="15" t="str">
        <f t="shared" si="18"/>
        <v>ROM_SOC_SHMOO_E_END_TITO_SAQ_NOM_LFM_0600_DDHY</v>
      </c>
      <c r="E80" t="s">
        <v>6</v>
      </c>
      <c r="F80" t="s">
        <v>27</v>
      </c>
      <c r="G80" t="s">
        <v>1011</v>
      </c>
      <c r="H80" t="s">
        <v>207</v>
      </c>
      <c r="I80" t="s">
        <v>260</v>
      </c>
      <c r="J80" t="s">
        <v>558</v>
      </c>
      <c r="K80" t="s">
        <v>284</v>
      </c>
      <c r="L80" t="s">
        <v>285</v>
      </c>
      <c r="M80" t="str">
        <f>TEXT(600,"0000")</f>
        <v>0600</v>
      </c>
      <c r="N80" t="s">
        <v>1224</v>
      </c>
      <c r="O80" t="s">
        <v>1012</v>
      </c>
      <c r="P80" t="s">
        <v>268</v>
      </c>
      <c r="Q80" s="46" t="s">
        <v>1238</v>
      </c>
      <c r="R80">
        <v>21</v>
      </c>
      <c r="S80">
        <v>52</v>
      </c>
      <c r="T80">
        <v>641</v>
      </c>
      <c r="U80">
        <v>1</v>
      </c>
      <c r="V80" t="b">
        <v>0</v>
      </c>
      <c r="W80" t="s">
        <v>298</v>
      </c>
      <c r="Y80" t="s">
        <v>1062</v>
      </c>
      <c r="AP80">
        <f t="shared" si="17"/>
        <v>4</v>
      </c>
      <c r="AQ80" t="s">
        <v>920</v>
      </c>
      <c r="AR80" t="str">
        <f t="shared" si="19"/>
        <v>ROM_SOC_SHMOO_E_END_TITO_SAN_NOM_LFM_0400_ALL_SAN</v>
      </c>
      <c r="AS80" t="str">
        <f t="shared" si="19"/>
        <v>ROM_SOC_SHMOO_E_END_TITO_SAN_NOM_LFM_0400_ALL_SAN</v>
      </c>
      <c r="AT80" t="str">
        <f t="shared" si="19"/>
        <v>ROM_SOC_SHMOO_E_END_TITO_SAN_NOM_LFM_0400_ALL_SAN</v>
      </c>
      <c r="AU80" t="str">
        <f t="shared" si="19"/>
        <v>ROM_SOC_SHMOO_E_END_TITO_SAN_NOM_LFM_0400_ALL_SAN</v>
      </c>
    </row>
    <row r="81" spans="1:53" x14ac:dyDescent="0.35">
      <c r="A81" s="49" t="s">
        <v>21</v>
      </c>
      <c r="B81" s="49" t="s">
        <v>99</v>
      </c>
      <c r="C81" s="49" t="str">
        <f>VLOOKUP(B81,templateLookup!A:B,2,0)</f>
        <v>PrimeShmooTestMethod</v>
      </c>
      <c r="D81" s="19" t="str">
        <f t="shared" si="18"/>
        <v>ROM_SOC_SHMOO_E_END_TITO_SAN_NOM_LFM_0400_ALL_SAN</v>
      </c>
      <c r="E81" t="s">
        <v>6</v>
      </c>
      <c r="F81" t="s">
        <v>27</v>
      </c>
      <c r="G81" t="s">
        <v>1011</v>
      </c>
      <c r="H81" t="s">
        <v>207</v>
      </c>
      <c r="I81" t="s">
        <v>260</v>
      </c>
      <c r="J81" t="s">
        <v>295</v>
      </c>
      <c r="K81" t="s">
        <v>284</v>
      </c>
      <c r="L81" t="s">
        <v>285</v>
      </c>
      <c r="M81" t="str">
        <f>TEXT(400,"0000")</f>
        <v>0400</v>
      </c>
      <c r="N81" t="s">
        <v>1233</v>
      </c>
      <c r="O81" t="s">
        <v>1012</v>
      </c>
      <c r="P81" t="s">
        <v>268</v>
      </c>
      <c r="Q81" s="46" t="s">
        <v>1239</v>
      </c>
      <c r="R81">
        <v>21</v>
      </c>
      <c r="S81">
        <v>52</v>
      </c>
      <c r="T81">
        <v>642</v>
      </c>
      <c r="U81">
        <v>1</v>
      </c>
      <c r="V81" t="b">
        <v>0</v>
      </c>
      <c r="W81" t="s">
        <v>298</v>
      </c>
      <c r="Y81" t="s">
        <v>1062</v>
      </c>
      <c r="AP81">
        <f t="shared" si="17"/>
        <v>4</v>
      </c>
      <c r="AQ81" t="s">
        <v>920</v>
      </c>
      <c r="AR81">
        <v>1</v>
      </c>
      <c r="AS81">
        <v>1</v>
      </c>
      <c r="AT81">
        <v>1</v>
      </c>
      <c r="AU81">
        <v>1</v>
      </c>
    </row>
    <row r="82" spans="1:53" x14ac:dyDescent="0.35">
      <c r="A82" s="48" t="s">
        <v>21</v>
      </c>
      <c r="B82" s="48" t="s">
        <v>50</v>
      </c>
      <c r="C82" s="48" t="str">
        <f>VLOOKUP(B82,templateLookup!A:B,2,0)</f>
        <v>COMPOSITE</v>
      </c>
      <c r="D82" s="10"/>
    </row>
    <row r="83" spans="1:53" x14ac:dyDescent="0.35">
      <c r="A83" s="5" t="s">
        <v>21</v>
      </c>
      <c r="B83" s="5" t="s">
        <v>50</v>
      </c>
      <c r="C83" s="5" t="str">
        <f>VLOOKUP(B83,templateLookup!A:B,2,0)</f>
        <v>COMPOSITE</v>
      </c>
      <c r="D83" s="5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</row>
    <row r="84" spans="1:53" s="3" customFormat="1" x14ac:dyDescent="0.35">
      <c r="A84" s="17" t="s">
        <v>1039</v>
      </c>
      <c r="B84" s="17" t="s">
        <v>49</v>
      </c>
      <c r="C84" s="17" t="str">
        <f>VLOOKUP(B84,templateLookup!A:B,2,0)</f>
        <v>COMPOSITE</v>
      </c>
      <c r="D84" s="17" t="s">
        <v>1039</v>
      </c>
      <c r="F84" t="s">
        <v>27</v>
      </c>
    </row>
    <row r="85" spans="1:53" x14ac:dyDescent="0.35">
      <c r="A85" s="3" t="s">
        <v>1039</v>
      </c>
      <c r="B85" s="3" t="s">
        <v>67</v>
      </c>
      <c r="C85" s="3" t="str">
        <f>VLOOKUP(B85,templateLookup!A:B,2,0)</f>
        <v>PrimeVminSearchTestMethod</v>
      </c>
      <c r="D85" t="str">
        <f>E85&amp;"_"&amp;F85&amp;"_"&amp;G85&amp;"_"&amp;H85&amp;"_"&amp;A85&amp;"_"&amp;I85&amp;"_"&amp;J85&amp;"_"&amp;K85&amp;"_"&amp;L85&amp;"_"&amp;M85&amp;"_"&amp;N85</f>
        <v>LSA_SOC_VMIN_K_ENDXFM_TITO_SAN_MIN_HFM_0700_ALL</v>
      </c>
      <c r="E85" t="s">
        <v>5</v>
      </c>
      <c r="F85" t="s">
        <v>27</v>
      </c>
      <c r="G85" t="s">
        <v>951</v>
      </c>
      <c r="H85" t="s">
        <v>253</v>
      </c>
      <c r="I85" t="s">
        <v>260</v>
      </c>
      <c r="J85" t="s">
        <v>295</v>
      </c>
      <c r="K85" t="s">
        <v>952</v>
      </c>
      <c r="L85" t="s">
        <v>1038</v>
      </c>
      <c r="M85" t="str">
        <f>TEXT(700,"0000")</f>
        <v>0700</v>
      </c>
      <c r="N85" t="s">
        <v>7</v>
      </c>
      <c r="O85" t="s">
        <v>267</v>
      </c>
      <c r="P85" t="s">
        <v>268</v>
      </c>
      <c r="Q85" s="46" t="s">
        <v>1270</v>
      </c>
      <c r="R85">
        <v>61</v>
      </c>
      <c r="S85">
        <v>53</v>
      </c>
      <c r="T85">
        <v>650</v>
      </c>
      <c r="U85">
        <v>-1</v>
      </c>
      <c r="V85" t="b">
        <v>0</v>
      </c>
      <c r="W85" t="s">
        <v>298</v>
      </c>
      <c r="X85">
        <v>2593</v>
      </c>
      <c r="Z85" t="s">
        <v>955</v>
      </c>
      <c r="AA85" t="s">
        <v>960</v>
      </c>
      <c r="AB85" t="s">
        <v>1271</v>
      </c>
      <c r="AC85" t="s">
        <v>1272</v>
      </c>
      <c r="AP85">
        <f>COUNTA(AR85:BA85)</f>
        <v>2</v>
      </c>
      <c r="AQ85">
        <v>1</v>
      </c>
      <c r="AR85" t="str">
        <f t="shared" ref="AR85:AS87" si="20">$D86</f>
        <v>ALL_SOC_VMIN_K_ENDXFM_TITO_SAQ_MIN_HFM_1600_ALL</v>
      </c>
      <c r="AS85" t="str">
        <f t="shared" si="20"/>
        <v>ALL_SOC_VMIN_K_ENDXFM_TITO_SAQ_MIN_HFM_1600_ALL</v>
      </c>
    </row>
    <row r="86" spans="1:53" x14ac:dyDescent="0.35">
      <c r="A86" s="3" t="s">
        <v>1039</v>
      </c>
      <c r="B86" s="3" t="s">
        <v>67</v>
      </c>
      <c r="C86" s="3" t="str">
        <f>VLOOKUP(B86,templateLookup!A:B,2,0)</f>
        <v>PrimeVminSearchTestMethod</v>
      </c>
      <c r="D86" t="str">
        <f>E86&amp;"_"&amp;F86&amp;"_"&amp;G86&amp;"_"&amp;H86&amp;"_"&amp;A86&amp;"_"&amp;I86&amp;"_"&amp;J86&amp;"_"&amp;K86&amp;"_"&amp;L86&amp;"_"&amp;M86&amp;"_"&amp;N86</f>
        <v>ALL_SOC_VMIN_K_ENDXFM_TITO_SAQ_MIN_HFM_1600_ALL</v>
      </c>
      <c r="E86" t="s">
        <v>7</v>
      </c>
      <c r="F86" t="s">
        <v>27</v>
      </c>
      <c r="G86" t="s">
        <v>951</v>
      </c>
      <c r="H86" t="s">
        <v>253</v>
      </c>
      <c r="I86" t="s">
        <v>260</v>
      </c>
      <c r="J86" t="s">
        <v>558</v>
      </c>
      <c r="K86" t="s">
        <v>952</v>
      </c>
      <c r="L86" t="s">
        <v>1038</v>
      </c>
      <c r="M86" t="str">
        <f>TEXT(1600,"0000")</f>
        <v>1600</v>
      </c>
      <c r="N86" t="s">
        <v>7</v>
      </c>
      <c r="O86" t="s">
        <v>267</v>
      </c>
      <c r="P86" t="s">
        <v>268</v>
      </c>
      <c r="Q86" s="46" t="s">
        <v>1273</v>
      </c>
      <c r="R86">
        <v>61</v>
      </c>
      <c r="S86">
        <v>53</v>
      </c>
      <c r="T86">
        <v>651</v>
      </c>
      <c r="U86">
        <v>-1</v>
      </c>
      <c r="V86" t="b">
        <v>0</v>
      </c>
      <c r="W86" t="s">
        <v>298</v>
      </c>
      <c r="X86">
        <v>2594</v>
      </c>
      <c r="Z86" t="s">
        <v>955</v>
      </c>
      <c r="AA86" t="s">
        <v>960</v>
      </c>
      <c r="AB86" t="s">
        <v>1274</v>
      </c>
      <c r="AC86" t="s">
        <v>1275</v>
      </c>
      <c r="AP86">
        <f>COUNTA(AR86:BA86)</f>
        <v>2</v>
      </c>
      <c r="AQ86">
        <v>1</v>
      </c>
      <c r="AR86" t="str">
        <f t="shared" si="20"/>
        <v>ALL_SOC_PATMOD_K_ENDXFM_X_X_X_X_X_SET_HFM</v>
      </c>
      <c r="AS86" t="str">
        <f t="shared" si="20"/>
        <v>ALL_SOC_PATMOD_K_ENDXFM_X_X_X_X_X_SET_HFM</v>
      </c>
    </row>
    <row r="87" spans="1:53" x14ac:dyDescent="0.35">
      <c r="A87" s="3" t="s">
        <v>1039</v>
      </c>
      <c r="B87" s="3" t="s">
        <v>61</v>
      </c>
      <c r="C87" s="3" t="str">
        <f>VLOOKUP(B87,templateLookup!A:B,2,0)</f>
        <v>PrimePatConfigTestMethod</v>
      </c>
      <c r="D87" t="str">
        <f>E87&amp;"_"&amp;F87&amp;"_"&amp;G87&amp;"_"&amp;H87&amp;"_"&amp;A87&amp;"_"&amp;I87&amp;"_"&amp;J87&amp;"_"&amp;K87&amp;"_"&amp;L87&amp;"_"&amp;M87&amp;"_"&amp;N87</f>
        <v>ALL_SOC_PATMOD_K_ENDXFM_X_X_X_X_X_SET_HFM</v>
      </c>
      <c r="E87" t="s">
        <v>7</v>
      </c>
      <c r="F87" t="s">
        <v>27</v>
      </c>
      <c r="G87" t="s">
        <v>252</v>
      </c>
      <c r="H87" t="s">
        <v>253</v>
      </c>
      <c r="I87" t="s">
        <v>208</v>
      </c>
      <c r="J87" t="s">
        <v>208</v>
      </c>
      <c r="K87" t="s">
        <v>208</v>
      </c>
      <c r="L87" t="s">
        <v>208</v>
      </c>
      <c r="M87" t="s">
        <v>208</v>
      </c>
      <c r="N87" t="s">
        <v>1276</v>
      </c>
      <c r="O87" t="s">
        <v>211</v>
      </c>
      <c r="P87" t="s">
        <v>211</v>
      </c>
      <c r="Q87" t="s">
        <v>212</v>
      </c>
      <c r="R87">
        <v>90</v>
      </c>
      <c r="S87">
        <v>53</v>
      </c>
      <c r="T87">
        <v>652</v>
      </c>
      <c r="U87">
        <v>-1</v>
      </c>
      <c r="V87" t="b">
        <v>0</v>
      </c>
      <c r="AA87" t="s">
        <v>960</v>
      </c>
      <c r="AL87" t="s">
        <v>1204</v>
      </c>
      <c r="AM87" t="s">
        <v>1205</v>
      </c>
      <c r="AN87" t="s">
        <v>1277</v>
      </c>
      <c r="AP87">
        <v>2</v>
      </c>
      <c r="AQ87">
        <v>1</v>
      </c>
      <c r="AR87" t="str">
        <f t="shared" si="20"/>
        <v>LSA_SOC_VMIN_K_ENDXFM_TITO_SAN_MIN_HFM_F3_ONDDCCF</v>
      </c>
      <c r="AS87" t="str">
        <f t="shared" si="20"/>
        <v>LSA_SOC_VMIN_K_ENDXFM_TITO_SAN_MIN_HFM_F3_ONDDCCF</v>
      </c>
    </row>
    <row r="88" spans="1:53" x14ac:dyDescent="0.35">
      <c r="A88" s="3" t="s">
        <v>1039</v>
      </c>
      <c r="B88" s="3" t="s">
        <v>67</v>
      </c>
      <c r="C88" s="3" t="str">
        <f>VLOOKUP(B88,templateLookup!A:B,2,0)</f>
        <v>PrimeVminSearchTestMethod</v>
      </c>
      <c r="D88" t="str">
        <f>E88&amp;"_"&amp;F88&amp;"_"&amp;G88&amp;"_"&amp;H88&amp;"_"&amp;A88&amp;"_"&amp;I88&amp;"_"&amp;J88&amp;"_"&amp;K88&amp;"_"&amp;L88&amp;"_"&amp;M88&amp;"_"&amp;N88</f>
        <v>LSA_SOC_VMIN_K_ENDXFM_TITO_SAN_MIN_HFM_F3_ONDDCCF</v>
      </c>
      <c r="E88" t="s">
        <v>5</v>
      </c>
      <c r="F88" t="s">
        <v>27</v>
      </c>
      <c r="G88" t="s">
        <v>951</v>
      </c>
      <c r="H88" t="s">
        <v>253</v>
      </c>
      <c r="I88" t="s">
        <v>260</v>
      </c>
      <c r="J88" t="s">
        <v>295</v>
      </c>
      <c r="K88" t="s">
        <v>952</v>
      </c>
      <c r="L88" t="s">
        <v>1038</v>
      </c>
      <c r="M88" t="s">
        <v>1278</v>
      </c>
      <c r="N88" t="s">
        <v>1279</v>
      </c>
      <c r="O88" t="s">
        <v>267</v>
      </c>
      <c r="P88" t="s">
        <v>268</v>
      </c>
      <c r="Q88" s="46" t="s">
        <v>1280</v>
      </c>
      <c r="R88">
        <v>21</v>
      </c>
      <c r="S88">
        <v>53</v>
      </c>
      <c r="T88">
        <v>653</v>
      </c>
      <c r="U88">
        <v>-1</v>
      </c>
      <c r="V88" t="b">
        <v>0</v>
      </c>
      <c r="W88" t="s">
        <v>298</v>
      </c>
      <c r="X88">
        <v>2595</v>
      </c>
      <c r="Z88" t="s">
        <v>955</v>
      </c>
      <c r="AA88" t="s">
        <v>960</v>
      </c>
      <c r="AP88">
        <f>COUNTA(AR88:BA88)</f>
        <v>2</v>
      </c>
      <c r="AQ88">
        <v>1</v>
      </c>
      <c r="AR88" t="str">
        <f>$D89</f>
        <v>LSA_SOC_FUNC_K_ENDXFM_TITO_SAN_NOM_HFM_F3_ONDD</v>
      </c>
      <c r="AS88" t="str">
        <f>$D89</f>
        <v>LSA_SOC_FUNC_K_ENDXFM_TITO_SAN_NOM_HFM_F3_ONDD</v>
      </c>
    </row>
    <row r="89" spans="1:53" x14ac:dyDescent="0.35">
      <c r="A89" s="3" t="s">
        <v>1039</v>
      </c>
      <c r="B89" s="3" t="s">
        <v>112</v>
      </c>
      <c r="C89" s="3" t="str">
        <f>VLOOKUP(B89,templateLookup!A:B,2,0)</f>
        <v>PrimeFunctionalTestMethod</v>
      </c>
      <c r="D89" t="str">
        <f>E89&amp;"_"&amp;F89&amp;"_"&amp;G89&amp;"_"&amp;H89&amp;"_"&amp;A89&amp;"_"&amp;I89&amp;"_"&amp;J89&amp;"_"&amp;K89&amp;"_"&amp;L89&amp;"_"&amp;M89&amp;"_"&amp;N89</f>
        <v>LSA_SOC_FUNC_K_ENDXFM_TITO_SAN_NOM_HFM_F3_ONDD</v>
      </c>
      <c r="E89" t="s">
        <v>5</v>
      </c>
      <c r="F89" t="s">
        <v>27</v>
      </c>
      <c r="G89" t="s">
        <v>112</v>
      </c>
      <c r="H89" t="s">
        <v>253</v>
      </c>
      <c r="I89" t="s">
        <v>260</v>
      </c>
      <c r="J89" t="s">
        <v>295</v>
      </c>
      <c r="K89" t="s">
        <v>284</v>
      </c>
      <c r="L89" t="s">
        <v>1038</v>
      </c>
      <c r="M89" t="s">
        <v>1278</v>
      </c>
      <c r="N89" t="s">
        <v>1207</v>
      </c>
      <c r="O89" s="28" t="s">
        <v>1214</v>
      </c>
      <c r="P89" t="s">
        <v>268</v>
      </c>
      <c r="Q89" s="46" t="s">
        <v>1208</v>
      </c>
      <c r="R89">
        <v>21</v>
      </c>
      <c r="S89">
        <v>53</v>
      </c>
      <c r="T89">
        <v>654</v>
      </c>
      <c r="U89">
        <v>-1</v>
      </c>
      <c r="V89" t="b">
        <v>0</v>
      </c>
      <c r="AP89">
        <f>COUNTA(AR89:BA89)</f>
        <v>2</v>
      </c>
      <c r="AQ89">
        <v>1</v>
      </c>
      <c r="AR89">
        <v>1</v>
      </c>
      <c r="AS89">
        <v>1</v>
      </c>
    </row>
    <row r="90" spans="1:53" s="3" customFormat="1" x14ac:dyDescent="0.35">
      <c r="A90" s="17" t="s">
        <v>1039</v>
      </c>
      <c r="B90" s="17" t="s">
        <v>50</v>
      </c>
      <c r="C90" s="17" t="str">
        <f>VLOOKUP(B90,templateLookup!A:B,2,0)</f>
        <v>COMPOSITE</v>
      </c>
      <c r="D90" s="17"/>
    </row>
    <row r="91" spans="1:53" s="26" customFormat="1" x14ac:dyDescent="0.35">
      <c r="A91" s="25" t="s">
        <v>1041</v>
      </c>
      <c r="B91" s="25" t="s">
        <v>49</v>
      </c>
      <c r="C91" s="25" t="str">
        <f>VLOOKUP(B91,templateLookup!A:B,2,0)</f>
        <v>COMPOSITE</v>
      </c>
      <c r="D91" s="25" t="s">
        <v>1041</v>
      </c>
      <c r="F91" t="s">
        <v>27</v>
      </c>
    </row>
    <row r="92" spans="1:53" x14ac:dyDescent="0.35">
      <c r="A92" s="26" t="s">
        <v>1041</v>
      </c>
      <c r="B92" s="26" t="s">
        <v>67</v>
      </c>
      <c r="C92" s="26" t="str">
        <f>VLOOKUP(B92,templateLookup!A:B,2,0)</f>
        <v>PrimeVminSearchTestMethod</v>
      </c>
      <c r="D92" t="str">
        <f>E92&amp;"_"&amp;F92&amp;"_"&amp;G92&amp;"_"&amp;H92&amp;"_"&amp;A92&amp;"_"&amp;I92&amp;"_"&amp;J92&amp;"_"&amp;K92&amp;"_"&amp;L92&amp;"_"&amp;M92&amp;"_"&amp;N92</f>
        <v>LSA_SOC_VMIN_K_ENDTFM_TITO_SAN_MIN_TFM_1050_ALL</v>
      </c>
      <c r="E92" t="s">
        <v>5</v>
      </c>
      <c r="F92" t="s">
        <v>27</v>
      </c>
      <c r="G92" t="s">
        <v>951</v>
      </c>
      <c r="H92" t="s">
        <v>253</v>
      </c>
      <c r="I92" t="s">
        <v>260</v>
      </c>
      <c r="J92" t="s">
        <v>295</v>
      </c>
      <c r="K92" t="s">
        <v>952</v>
      </c>
      <c r="L92" t="s">
        <v>1042</v>
      </c>
      <c r="M92" t="str">
        <f>TEXT(1050,"0000")</f>
        <v>1050</v>
      </c>
      <c r="N92" t="s">
        <v>7</v>
      </c>
      <c r="O92" t="s">
        <v>267</v>
      </c>
      <c r="P92" t="s">
        <v>268</v>
      </c>
      <c r="Q92" s="46" t="s">
        <v>1270</v>
      </c>
      <c r="R92">
        <v>21</v>
      </c>
      <c r="S92">
        <v>54</v>
      </c>
      <c r="T92">
        <v>655</v>
      </c>
      <c r="U92">
        <v>-1</v>
      </c>
      <c r="V92" t="b">
        <v>1</v>
      </c>
      <c r="W92" t="s">
        <v>298</v>
      </c>
      <c r="X92">
        <v>2596</v>
      </c>
      <c r="Z92" t="s">
        <v>955</v>
      </c>
      <c r="AA92" t="s">
        <v>960</v>
      </c>
      <c r="AB92" t="s">
        <v>1281</v>
      </c>
      <c r="AC92" t="s">
        <v>1272</v>
      </c>
      <c r="AP92">
        <f>COUNTA(AR92:BA92)</f>
        <v>2</v>
      </c>
      <c r="AQ92">
        <v>1</v>
      </c>
      <c r="AR92" t="str">
        <f t="shared" ref="AR92:AS94" si="21">$D93</f>
        <v>ALL_SOC_VMIN_K_ENDTFM_TITO_SAQ_MIN_TFM_2133_ALL</v>
      </c>
      <c r="AS92" t="str">
        <f t="shared" si="21"/>
        <v>ALL_SOC_VMIN_K_ENDTFM_TITO_SAQ_MIN_TFM_2133_ALL</v>
      </c>
    </row>
    <row r="93" spans="1:53" x14ac:dyDescent="0.35">
      <c r="A93" s="26" t="s">
        <v>1041</v>
      </c>
      <c r="B93" s="26" t="s">
        <v>67</v>
      </c>
      <c r="C93" s="26" t="str">
        <f>VLOOKUP(B93,templateLookup!A:B,2,0)</f>
        <v>PrimeVminSearchTestMethod</v>
      </c>
      <c r="D93" t="str">
        <f>E93&amp;"_"&amp;F93&amp;"_"&amp;G93&amp;"_"&amp;H93&amp;"_"&amp;A93&amp;"_"&amp;I93&amp;"_"&amp;J93&amp;"_"&amp;K93&amp;"_"&amp;L93&amp;"_"&amp;M93&amp;"_"&amp;N93</f>
        <v>ALL_SOC_VMIN_K_ENDTFM_TITO_SAQ_MIN_TFM_2133_ALL</v>
      </c>
      <c r="E93" t="s">
        <v>7</v>
      </c>
      <c r="F93" t="s">
        <v>27</v>
      </c>
      <c r="G93" t="s">
        <v>951</v>
      </c>
      <c r="H93" t="s">
        <v>253</v>
      </c>
      <c r="I93" t="s">
        <v>260</v>
      </c>
      <c r="J93" t="s">
        <v>558</v>
      </c>
      <c r="K93" t="s">
        <v>952</v>
      </c>
      <c r="L93" t="s">
        <v>1042</v>
      </c>
      <c r="M93" t="str">
        <f>TEXT(2133,"0000")</f>
        <v>2133</v>
      </c>
      <c r="N93" t="s">
        <v>7</v>
      </c>
      <c r="O93" t="s">
        <v>267</v>
      </c>
      <c r="P93" t="s">
        <v>268</v>
      </c>
      <c r="Q93" s="46" t="s">
        <v>1273</v>
      </c>
      <c r="R93">
        <v>61</v>
      </c>
      <c r="S93">
        <v>54</v>
      </c>
      <c r="T93">
        <v>656</v>
      </c>
      <c r="U93">
        <v>-1</v>
      </c>
      <c r="V93" t="b">
        <v>1</v>
      </c>
      <c r="W93" t="s">
        <v>298</v>
      </c>
      <c r="X93">
        <v>2597</v>
      </c>
      <c r="Z93" t="s">
        <v>955</v>
      </c>
      <c r="AA93" t="s">
        <v>960</v>
      </c>
      <c r="AB93" t="s">
        <v>1282</v>
      </c>
      <c r="AC93" t="s">
        <v>1275</v>
      </c>
      <c r="AP93">
        <f>COUNTA(AR93:BA93)</f>
        <v>2</v>
      </c>
      <c r="AQ93">
        <v>1</v>
      </c>
      <c r="AR93" t="str">
        <f t="shared" si="21"/>
        <v>ALL_SOC_PATMOD_K_ENDTFM_X_X_X_X_X_SET_TFM</v>
      </c>
      <c r="AS93" t="str">
        <f t="shared" si="21"/>
        <v>ALL_SOC_PATMOD_K_ENDTFM_X_X_X_X_X_SET_TFM</v>
      </c>
    </row>
    <row r="94" spans="1:53" x14ac:dyDescent="0.35">
      <c r="A94" s="26" t="s">
        <v>1041</v>
      </c>
      <c r="B94" s="26" t="s">
        <v>61</v>
      </c>
      <c r="C94" s="26" t="str">
        <f>VLOOKUP(B94,templateLookup!A:B,2,0)</f>
        <v>PrimePatConfigTestMethod</v>
      </c>
      <c r="D94" t="str">
        <f>E94&amp;"_"&amp;F94&amp;"_"&amp;G94&amp;"_"&amp;H94&amp;"_"&amp;A94&amp;"_"&amp;I94&amp;"_"&amp;J94&amp;"_"&amp;K94&amp;"_"&amp;L94&amp;"_"&amp;M94&amp;"_"&amp;N94</f>
        <v>ALL_SOC_PATMOD_K_ENDTFM_X_X_X_X_X_SET_TFM</v>
      </c>
      <c r="E94" t="s">
        <v>7</v>
      </c>
      <c r="F94" t="s">
        <v>27</v>
      </c>
      <c r="G94" t="s">
        <v>252</v>
      </c>
      <c r="H94" t="s">
        <v>253</v>
      </c>
      <c r="I94" t="s">
        <v>208</v>
      </c>
      <c r="J94" t="s">
        <v>208</v>
      </c>
      <c r="K94" t="s">
        <v>208</v>
      </c>
      <c r="L94" t="s">
        <v>208</v>
      </c>
      <c r="M94" t="s">
        <v>208</v>
      </c>
      <c r="N94" t="s">
        <v>1283</v>
      </c>
      <c r="O94" t="s">
        <v>211</v>
      </c>
      <c r="P94" t="s">
        <v>211</v>
      </c>
      <c r="Q94" t="s">
        <v>212</v>
      </c>
      <c r="R94">
        <v>90</v>
      </c>
      <c r="S94">
        <v>54</v>
      </c>
      <c r="T94">
        <v>657</v>
      </c>
      <c r="U94" s="26">
        <v>-1</v>
      </c>
      <c r="V94" t="b">
        <v>1</v>
      </c>
      <c r="AA94" t="s">
        <v>960</v>
      </c>
      <c r="AL94" t="s">
        <v>1204</v>
      </c>
      <c r="AM94" t="s">
        <v>1205</v>
      </c>
      <c r="AN94" t="s">
        <v>1284</v>
      </c>
      <c r="AP94">
        <v>2</v>
      </c>
      <c r="AQ94">
        <v>1</v>
      </c>
      <c r="AR94" t="str">
        <f t="shared" si="21"/>
        <v>LSA_SOC_VMIN_K_ENDTFM_TITO_SAN_MIN_TFM_F4_ONDDCCF</v>
      </c>
      <c r="AS94" t="str">
        <f t="shared" si="21"/>
        <v>LSA_SOC_VMIN_K_ENDTFM_TITO_SAN_MIN_TFM_F4_ONDDCCF</v>
      </c>
    </row>
    <row r="95" spans="1:53" x14ac:dyDescent="0.35">
      <c r="A95" s="26" t="s">
        <v>1041</v>
      </c>
      <c r="B95" s="26" t="s">
        <v>67</v>
      </c>
      <c r="C95" s="26" t="str">
        <f>VLOOKUP(B95,templateLookup!A:B,2,0)</f>
        <v>PrimeVminSearchTestMethod</v>
      </c>
      <c r="D95" t="str">
        <f>E95&amp;"_"&amp;F95&amp;"_"&amp;G95&amp;"_"&amp;H95&amp;"_"&amp;A95&amp;"_"&amp;I95&amp;"_"&amp;J95&amp;"_"&amp;K95&amp;"_"&amp;L95&amp;"_"&amp;M95&amp;"_"&amp;N95</f>
        <v>LSA_SOC_VMIN_K_ENDTFM_TITO_SAN_MIN_TFM_F4_ONDDCCF</v>
      </c>
      <c r="E95" t="s">
        <v>5</v>
      </c>
      <c r="F95" t="s">
        <v>27</v>
      </c>
      <c r="G95" t="s">
        <v>951</v>
      </c>
      <c r="H95" t="s">
        <v>253</v>
      </c>
      <c r="I95" t="s">
        <v>260</v>
      </c>
      <c r="J95" t="s">
        <v>295</v>
      </c>
      <c r="K95" t="s">
        <v>952</v>
      </c>
      <c r="L95" t="s">
        <v>1042</v>
      </c>
      <c r="M95" t="s">
        <v>1285</v>
      </c>
      <c r="N95" t="s">
        <v>1279</v>
      </c>
      <c r="O95" t="s">
        <v>267</v>
      </c>
      <c r="P95" t="s">
        <v>268</v>
      </c>
      <c r="Q95" s="46" t="s">
        <v>1280</v>
      </c>
      <c r="R95">
        <v>21</v>
      </c>
      <c r="S95">
        <v>54</v>
      </c>
      <c r="T95">
        <v>658</v>
      </c>
      <c r="U95">
        <v>-1</v>
      </c>
      <c r="V95" t="b">
        <v>0</v>
      </c>
      <c r="W95" t="s">
        <v>298</v>
      </c>
      <c r="X95">
        <v>2598</v>
      </c>
      <c r="Z95" t="s">
        <v>955</v>
      </c>
      <c r="AA95" t="s">
        <v>960</v>
      </c>
      <c r="AP95">
        <f>COUNTA(AR95:BA95)</f>
        <v>2</v>
      </c>
      <c r="AQ95">
        <v>1</v>
      </c>
      <c r="AR95" t="str">
        <f>$D96</f>
        <v>LSA_SOC_FUNC_K_ENDTFM_TITO_SAN_NOM_TFM_F4_ONDD</v>
      </c>
      <c r="AS95" t="str">
        <f>$D96</f>
        <v>LSA_SOC_FUNC_K_ENDTFM_TITO_SAN_NOM_TFM_F4_ONDD</v>
      </c>
    </row>
    <row r="96" spans="1:53" x14ac:dyDescent="0.35">
      <c r="A96" s="26" t="s">
        <v>1041</v>
      </c>
      <c r="B96" s="26" t="s">
        <v>112</v>
      </c>
      <c r="C96" s="26" t="str">
        <f>VLOOKUP(B96,templateLookup!A:B,2,0)</f>
        <v>PrimeFunctionalTestMethod</v>
      </c>
      <c r="D96" t="str">
        <f>E96&amp;"_"&amp;F96&amp;"_"&amp;G96&amp;"_"&amp;H96&amp;"_"&amp;A96&amp;"_"&amp;I96&amp;"_"&amp;J96&amp;"_"&amp;K96&amp;"_"&amp;L96&amp;"_"&amp;M96&amp;"_"&amp;N96</f>
        <v>LSA_SOC_FUNC_K_ENDTFM_TITO_SAN_NOM_TFM_F4_ONDD</v>
      </c>
      <c r="E96" t="s">
        <v>5</v>
      </c>
      <c r="F96" t="s">
        <v>27</v>
      </c>
      <c r="G96" t="s">
        <v>112</v>
      </c>
      <c r="H96" t="s">
        <v>253</v>
      </c>
      <c r="I96" t="s">
        <v>260</v>
      </c>
      <c r="J96" t="s">
        <v>295</v>
      </c>
      <c r="K96" t="s">
        <v>284</v>
      </c>
      <c r="L96" t="s">
        <v>1042</v>
      </c>
      <c r="M96" t="s">
        <v>1285</v>
      </c>
      <c r="N96" t="s">
        <v>1207</v>
      </c>
      <c r="O96" s="28" t="s">
        <v>1214</v>
      </c>
      <c r="P96" t="s">
        <v>268</v>
      </c>
      <c r="Q96" s="46" t="s">
        <v>1208</v>
      </c>
      <c r="R96">
        <v>21</v>
      </c>
      <c r="S96">
        <v>54</v>
      </c>
      <c r="T96">
        <v>659</v>
      </c>
      <c r="U96">
        <v>-1</v>
      </c>
      <c r="V96" t="b">
        <v>0</v>
      </c>
      <c r="AP96">
        <f>COUNTA(AR96:BA96)</f>
        <v>2</v>
      </c>
      <c r="AQ96">
        <v>1</v>
      </c>
      <c r="AR96">
        <v>1</v>
      </c>
      <c r="AS96">
        <v>1</v>
      </c>
    </row>
    <row r="97" spans="1:48" s="26" customFormat="1" x14ac:dyDescent="0.35">
      <c r="A97" s="25" t="s">
        <v>1041</v>
      </c>
      <c r="B97" s="25" t="s">
        <v>50</v>
      </c>
      <c r="C97" s="25" t="str">
        <f>VLOOKUP(B97,templateLookup!A:B,2,0)</f>
        <v>COMPOSITE</v>
      </c>
      <c r="D97" s="25"/>
    </row>
    <row r="98" spans="1:48" s="28" customFormat="1" x14ac:dyDescent="0.35">
      <c r="A98" s="27" t="s">
        <v>1044</v>
      </c>
      <c r="B98" s="27" t="s">
        <v>49</v>
      </c>
      <c r="C98" s="27" t="str">
        <f>VLOOKUP(B98,templateLookup!A:B,2,0)</f>
        <v>COMPOSITE</v>
      </c>
      <c r="D98" s="27" t="s">
        <v>1044</v>
      </c>
      <c r="F98" s="28" t="s">
        <v>27</v>
      </c>
      <c r="Q98" s="46"/>
    </row>
    <row r="99" spans="1:48" s="28" customFormat="1" x14ac:dyDescent="0.35">
      <c r="A99" s="28" t="s">
        <v>1044</v>
      </c>
      <c r="B99" s="28" t="s">
        <v>79</v>
      </c>
      <c r="C99" s="28" t="str">
        <f>VLOOKUP(B99,templateLookup!A:B,2,0)</f>
        <v>iCHVQKTest</v>
      </c>
      <c r="D99" s="28" t="str">
        <f>E99&amp;"_"&amp;F99&amp;"_"&amp;G99&amp;"_"&amp;H99&amp;"_"&amp;A99&amp;"_"&amp;I99&amp;"_"&amp;J99&amp;"_"&amp;K99&amp;"_"&amp;L99&amp;"_"&amp;M99&amp;"_"&amp;N99</f>
        <v>ALL_SOC_HVQK_K_HOTSTRESS_TITO_SAX_MAX_LFM_0400_0600_ALL</v>
      </c>
      <c r="E99" s="28" t="s">
        <v>7</v>
      </c>
      <c r="F99" s="28" t="s">
        <v>27</v>
      </c>
      <c r="G99" s="28" t="s">
        <v>1005</v>
      </c>
      <c r="H99" s="28" t="s">
        <v>253</v>
      </c>
      <c r="I99" s="28" t="s">
        <v>260</v>
      </c>
      <c r="J99" s="28" t="s">
        <v>660</v>
      </c>
      <c r="K99" s="28" t="s">
        <v>357</v>
      </c>
      <c r="L99" s="28" t="s">
        <v>285</v>
      </c>
      <c r="M99" t="s">
        <v>1198</v>
      </c>
      <c r="N99" s="28" t="s">
        <v>7</v>
      </c>
      <c r="O99" s="28" t="s">
        <v>1189</v>
      </c>
      <c r="P99" s="28" t="s">
        <v>268</v>
      </c>
      <c r="Q99" s="46" t="s">
        <v>1199</v>
      </c>
      <c r="R99" s="28">
        <v>17</v>
      </c>
      <c r="S99" s="28">
        <v>61</v>
      </c>
      <c r="T99" s="28">
        <v>700</v>
      </c>
      <c r="U99" s="28">
        <v>-1</v>
      </c>
      <c r="V99" s="28" t="b">
        <v>0</v>
      </c>
      <c r="W99" s="28" t="s">
        <v>298</v>
      </c>
      <c r="AG99" s="28" t="s">
        <v>1286</v>
      </c>
      <c r="AO99" s="28" t="s">
        <v>1287</v>
      </c>
      <c r="AP99" s="28">
        <f>COUNTA(AR99:BA99)</f>
        <v>5</v>
      </c>
      <c r="AQ99" s="28" t="s">
        <v>218</v>
      </c>
      <c r="AR99" s="28" t="str">
        <f>$D100</f>
        <v>LSA_SOC_HVQK_K_HOTSTRESS_TITO_SAQ_MAX_LFM_0600_FUSE</v>
      </c>
      <c r="AS99" s="28" t="str">
        <f t="shared" ref="AS99:AU99" si="22">$D100</f>
        <v>LSA_SOC_HVQK_K_HOTSTRESS_TITO_SAQ_MAX_LFM_0600_FUSE</v>
      </c>
      <c r="AT99" s="28" t="str">
        <f t="shared" si="22"/>
        <v>LSA_SOC_HVQK_K_HOTSTRESS_TITO_SAQ_MAX_LFM_0600_FUSE</v>
      </c>
      <c r="AU99" s="28" t="str">
        <f t="shared" si="22"/>
        <v>LSA_SOC_HVQK_K_HOTSTRESS_TITO_SAQ_MAX_LFM_0600_FUSE</v>
      </c>
      <c r="AV99" s="28" t="str">
        <f>$D100</f>
        <v>LSA_SOC_HVQK_K_HOTSTRESS_TITO_SAQ_MAX_LFM_0600_FUSE</v>
      </c>
    </row>
    <row r="100" spans="1:48" s="28" customFormat="1" x14ac:dyDescent="0.35">
      <c r="A100" s="28" t="s">
        <v>1044</v>
      </c>
      <c r="B100" s="28" t="s">
        <v>79</v>
      </c>
      <c r="C100" s="28" t="str">
        <f>VLOOKUP(B100,templateLookup!A:B,2,0)</f>
        <v>iCHVQKTest</v>
      </c>
      <c r="D100" s="28" t="str">
        <f>E100&amp;"_"&amp;F100&amp;"_"&amp;G100&amp;"_"&amp;H100&amp;"_"&amp;A100&amp;"_"&amp;I100&amp;"_"&amp;J100&amp;"_"&amp;K100&amp;"_"&amp;L100&amp;"_"&amp;M100&amp;"_"&amp;N100</f>
        <v>LSA_SOC_HVQK_K_HOTSTRESS_TITO_SAQ_MAX_LFM_0600_FUSE</v>
      </c>
      <c r="E100" s="28" t="s">
        <v>5</v>
      </c>
      <c r="F100" s="28" t="s">
        <v>27</v>
      </c>
      <c r="G100" s="28" t="s">
        <v>1005</v>
      </c>
      <c r="H100" s="28" t="s">
        <v>253</v>
      </c>
      <c r="I100" s="28" t="s">
        <v>260</v>
      </c>
      <c r="J100" s="28" t="s">
        <v>558</v>
      </c>
      <c r="K100" s="28" t="s">
        <v>357</v>
      </c>
      <c r="L100" s="28" t="s">
        <v>285</v>
      </c>
      <c r="M100" s="28" t="str">
        <f>TEXT(600,"0000")</f>
        <v>0600</v>
      </c>
      <c r="N100" s="28" t="s">
        <v>1200</v>
      </c>
      <c r="O100" s="28" t="s">
        <v>1189</v>
      </c>
      <c r="P100" s="28" t="s">
        <v>268</v>
      </c>
      <c r="Q100" s="46" t="s">
        <v>1201</v>
      </c>
      <c r="R100" s="28">
        <v>17</v>
      </c>
      <c r="S100" s="28">
        <v>21</v>
      </c>
      <c r="T100" s="28">
        <v>702</v>
      </c>
      <c r="U100" s="28">
        <v>-1</v>
      </c>
      <c r="V100" s="28" t="b">
        <v>0</v>
      </c>
      <c r="W100" s="28" t="s">
        <v>1202</v>
      </c>
      <c r="AG100" s="28" t="s">
        <v>1288</v>
      </c>
      <c r="AO100" s="28" t="s">
        <v>1289</v>
      </c>
      <c r="AP100" s="28">
        <f>COUNTA(AR100:BA100)</f>
        <v>5</v>
      </c>
      <c r="AQ100" s="28" t="s">
        <v>218</v>
      </c>
      <c r="AR100" s="28" t="str">
        <f t="shared" ref="AR100:AV100" si="23">$D101</f>
        <v>LSA_SOC_HVQK_K_HOTSTRESS_TITO_SAN_MAX_LFM_0600_ONDD</v>
      </c>
      <c r="AS100" s="28" t="str">
        <f t="shared" si="23"/>
        <v>LSA_SOC_HVQK_K_HOTSTRESS_TITO_SAN_MAX_LFM_0600_ONDD</v>
      </c>
      <c r="AT100" s="28" t="str">
        <f t="shared" si="23"/>
        <v>LSA_SOC_HVQK_K_HOTSTRESS_TITO_SAN_MAX_LFM_0600_ONDD</v>
      </c>
      <c r="AU100" s="28" t="str">
        <f t="shared" si="23"/>
        <v>LSA_SOC_HVQK_K_HOTSTRESS_TITO_SAN_MAX_LFM_0600_ONDD</v>
      </c>
      <c r="AV100" s="28" t="str">
        <f t="shared" si="23"/>
        <v>LSA_SOC_HVQK_K_HOTSTRESS_TITO_SAN_MAX_LFM_0600_ONDD</v>
      </c>
    </row>
    <row r="101" spans="1:48" s="28" customFormat="1" x14ac:dyDescent="0.35">
      <c r="A101" s="28" t="s">
        <v>1044</v>
      </c>
      <c r="B101" s="28" t="s">
        <v>79</v>
      </c>
      <c r="C101" s="28" t="str">
        <f>VLOOKUP(B101,templateLookup!A:B,2,0)</f>
        <v>iCHVQKTest</v>
      </c>
      <c r="D101" s="28" t="str">
        <f>E101&amp;"_"&amp;F101&amp;"_"&amp;G101&amp;"_"&amp;H101&amp;"_"&amp;A101&amp;"_"&amp;I101&amp;"_"&amp;J101&amp;"_"&amp;K101&amp;"_"&amp;L101&amp;"_"&amp;M101&amp;"_"&amp;N101</f>
        <v>LSA_SOC_HVQK_K_HOTSTRESS_TITO_SAN_MAX_LFM_0600_ONDD</v>
      </c>
      <c r="E101" s="28" t="s">
        <v>5</v>
      </c>
      <c r="F101" s="28" t="s">
        <v>27</v>
      </c>
      <c r="G101" s="28" t="s">
        <v>1005</v>
      </c>
      <c r="H101" s="28" t="s">
        <v>253</v>
      </c>
      <c r="I101" s="28" t="s">
        <v>260</v>
      </c>
      <c r="J101" s="28" t="s">
        <v>295</v>
      </c>
      <c r="K101" s="28" t="s">
        <v>357</v>
      </c>
      <c r="L101" s="28" t="s">
        <v>285</v>
      </c>
      <c r="M101" s="28" t="str">
        <f>TEXT(600,"0000")</f>
        <v>0600</v>
      </c>
      <c r="N101" s="28" t="s">
        <v>1207</v>
      </c>
      <c r="O101" s="28" t="s">
        <v>1214</v>
      </c>
      <c r="P101" s="28" t="s">
        <v>268</v>
      </c>
      <c r="Q101" s="46" t="s">
        <v>1208</v>
      </c>
      <c r="R101" s="28">
        <v>17</v>
      </c>
      <c r="S101" s="28">
        <v>61</v>
      </c>
      <c r="T101" s="28">
        <v>703</v>
      </c>
      <c r="U101" s="28">
        <v>-1</v>
      </c>
      <c r="V101" s="28" t="b">
        <v>0</v>
      </c>
      <c r="W101" s="28" t="s">
        <v>1209</v>
      </c>
      <c r="AG101" s="28" t="s">
        <v>1290</v>
      </c>
      <c r="AO101" s="28" t="s">
        <v>1291</v>
      </c>
      <c r="AP101" s="28">
        <f>COUNTA(AR101:BA101)</f>
        <v>5</v>
      </c>
      <c r="AQ101" s="28" t="s">
        <v>218</v>
      </c>
      <c r="AR101" s="28">
        <v>1</v>
      </c>
      <c r="AS101" s="28">
        <v>1</v>
      </c>
      <c r="AT101" s="28">
        <v>1</v>
      </c>
      <c r="AU101" s="28">
        <v>1</v>
      </c>
      <c r="AV101" s="28">
        <v>1</v>
      </c>
    </row>
    <row r="102" spans="1:48" s="28" customFormat="1" x14ac:dyDescent="0.35">
      <c r="A102" s="27" t="s">
        <v>1044</v>
      </c>
      <c r="B102" s="27" t="s">
        <v>50</v>
      </c>
      <c r="C102" s="27" t="str">
        <f>VLOOKUP(B102,templateLookup!A:B,2,0)</f>
        <v>COMPOSITE</v>
      </c>
      <c r="D102" s="27"/>
      <c r="Q102" s="46"/>
    </row>
    <row r="103" spans="1:48" s="1" customFormat="1" x14ac:dyDescent="0.35">
      <c r="A103" s="29" t="s">
        <v>1049</v>
      </c>
      <c r="B103" s="29" t="s">
        <v>49</v>
      </c>
      <c r="C103" s="29" t="str">
        <f>VLOOKUP(B103,templateLookup!A:B,2,0)</f>
        <v>COMPOSITE</v>
      </c>
      <c r="D103" s="29" t="s">
        <v>1049</v>
      </c>
      <c r="F103" t="s">
        <v>27</v>
      </c>
    </row>
    <row r="104" spans="1:48" x14ac:dyDescent="0.35">
      <c r="A104" s="1" t="s">
        <v>1049</v>
      </c>
      <c r="B104" s="1" t="s">
        <v>68</v>
      </c>
      <c r="C104" s="1" t="str">
        <f>VLOOKUP(B104,templateLookup!A:B,2,0)</f>
        <v>LNLVminSearch</v>
      </c>
      <c r="D104" t="str">
        <f>E104&amp;"_"&amp;F104&amp;"_"&amp;G104&amp;"_"&amp;H104&amp;"_"&amp;A104&amp;"_"&amp;I104&amp;"_"&amp;J104&amp;"_"&amp;K104&amp;"_"&amp;L104&amp;"_"&amp;M104&amp;"_"&amp;N104</f>
        <v>ALL_SOC_VMIN_K_SDTEND_TITO_SAX_MIN_LFM_0400_0600_ALL</v>
      </c>
      <c r="E104" t="s">
        <v>7</v>
      </c>
      <c r="F104" t="s">
        <v>27</v>
      </c>
      <c r="G104" t="s">
        <v>951</v>
      </c>
      <c r="H104" t="s">
        <v>253</v>
      </c>
      <c r="I104" t="s">
        <v>260</v>
      </c>
      <c r="J104" t="s">
        <v>660</v>
      </c>
      <c r="K104" t="s">
        <v>952</v>
      </c>
      <c r="L104" t="s">
        <v>285</v>
      </c>
      <c r="M104" t="s">
        <v>1198</v>
      </c>
      <c r="N104" t="s">
        <v>7</v>
      </c>
      <c r="O104" t="s">
        <v>267</v>
      </c>
      <c r="P104" t="s">
        <v>268</v>
      </c>
      <c r="Q104" s="46" t="s">
        <v>1199</v>
      </c>
      <c r="R104">
        <v>61</v>
      </c>
      <c r="S104">
        <v>57</v>
      </c>
      <c r="T104">
        <v>660</v>
      </c>
      <c r="U104">
        <v>-1</v>
      </c>
      <c r="V104" t="b">
        <v>1</v>
      </c>
      <c r="W104" t="s">
        <v>298</v>
      </c>
      <c r="X104">
        <v>2600</v>
      </c>
      <c r="Z104" t="s">
        <v>955</v>
      </c>
      <c r="AA104" t="s">
        <v>960</v>
      </c>
      <c r="AJ104" t="s">
        <v>7</v>
      </c>
      <c r="AK104">
        <v>39505</v>
      </c>
      <c r="AP104">
        <f>COUNTA(AR104:BA104)</f>
        <v>2</v>
      </c>
      <c r="AQ104">
        <v>1</v>
      </c>
      <c r="AR104" t="str">
        <f>$D105</f>
        <v>LSA_SOC_VMIN_K_SDTEND_TITO_SAQ_MIN_LFM_0600_FUSE</v>
      </c>
      <c r="AS104" t="str">
        <f>$D105</f>
        <v>LSA_SOC_VMIN_K_SDTEND_TITO_SAQ_MIN_LFM_0600_FUSE</v>
      </c>
    </row>
    <row r="105" spans="1:48" x14ac:dyDescent="0.35">
      <c r="A105" s="1" t="s">
        <v>1049</v>
      </c>
      <c r="B105" s="1" t="s">
        <v>68</v>
      </c>
      <c r="C105" s="1" t="str">
        <f>VLOOKUP(B105,templateLookup!A:B,2,0)</f>
        <v>LNLVminSearch</v>
      </c>
      <c r="D105" t="str">
        <f>E105&amp;"_"&amp;F105&amp;"_"&amp;G105&amp;"_"&amp;H105&amp;"_"&amp;A105&amp;"_"&amp;I105&amp;"_"&amp;J105&amp;"_"&amp;K105&amp;"_"&amp;L105&amp;"_"&amp;M105&amp;"_"&amp;N105</f>
        <v>LSA_SOC_VMIN_K_SDTEND_TITO_SAQ_MIN_LFM_0600_FUSE</v>
      </c>
      <c r="E105" t="s">
        <v>5</v>
      </c>
      <c r="F105" t="s">
        <v>27</v>
      </c>
      <c r="G105" t="s">
        <v>951</v>
      </c>
      <c r="H105" t="s">
        <v>253</v>
      </c>
      <c r="I105" t="s">
        <v>260</v>
      </c>
      <c r="J105" t="s">
        <v>558</v>
      </c>
      <c r="K105" t="s">
        <v>952</v>
      </c>
      <c r="L105" t="s">
        <v>285</v>
      </c>
      <c r="M105" t="str">
        <f>TEXT(600,"0000")</f>
        <v>0600</v>
      </c>
      <c r="N105" t="s">
        <v>1200</v>
      </c>
      <c r="O105" t="s">
        <v>267</v>
      </c>
      <c r="P105" t="s">
        <v>268</v>
      </c>
      <c r="Q105" s="46" t="s">
        <v>1201</v>
      </c>
      <c r="R105">
        <v>21</v>
      </c>
      <c r="S105">
        <v>57</v>
      </c>
      <c r="T105">
        <v>662</v>
      </c>
      <c r="U105">
        <v>-1</v>
      </c>
      <c r="V105" t="b">
        <v>1</v>
      </c>
      <c r="W105" t="s">
        <v>1202</v>
      </c>
      <c r="X105">
        <v>2602</v>
      </c>
      <c r="Z105" t="s">
        <v>955</v>
      </c>
      <c r="AA105" t="s">
        <v>960</v>
      </c>
      <c r="AJ105" t="s">
        <v>7</v>
      </c>
      <c r="AK105">
        <v>1636</v>
      </c>
      <c r="AP105">
        <f>COUNTA(AR105:BA105)</f>
        <v>2</v>
      </c>
      <c r="AQ105">
        <v>1</v>
      </c>
      <c r="AR105" t="str">
        <f t="shared" ref="AR105:AS105" si="24">$D106</f>
        <v>LSA_SOC_VMIN_K_SDTEND_TITO_SAN_MIN_LFM_0600_ONDD</v>
      </c>
      <c r="AS105" t="str">
        <f t="shared" si="24"/>
        <v>LSA_SOC_VMIN_K_SDTEND_TITO_SAN_MIN_LFM_0600_ONDD</v>
      </c>
    </row>
    <row r="106" spans="1:48" x14ac:dyDescent="0.35">
      <c r="A106" s="1" t="s">
        <v>1049</v>
      </c>
      <c r="B106" s="1" t="s">
        <v>68</v>
      </c>
      <c r="C106" s="1" t="str">
        <f>VLOOKUP(B106,templateLookup!A:B,2,0)</f>
        <v>LNLVminSearch</v>
      </c>
      <c r="D106" t="str">
        <f>E106&amp;"_"&amp;F106&amp;"_"&amp;G106&amp;"_"&amp;H106&amp;"_"&amp;A106&amp;"_"&amp;I106&amp;"_"&amp;J106&amp;"_"&amp;K106&amp;"_"&amp;L106&amp;"_"&amp;M106&amp;"_"&amp;N106</f>
        <v>LSA_SOC_VMIN_K_SDTEND_TITO_SAN_MIN_LFM_0600_ONDD</v>
      </c>
      <c r="E106" t="s">
        <v>5</v>
      </c>
      <c r="F106" t="s">
        <v>27</v>
      </c>
      <c r="G106" t="s">
        <v>951</v>
      </c>
      <c r="H106" t="s">
        <v>253</v>
      </c>
      <c r="I106" t="s">
        <v>260</v>
      </c>
      <c r="J106" t="s">
        <v>295</v>
      </c>
      <c r="K106" t="s">
        <v>952</v>
      </c>
      <c r="L106" t="s">
        <v>285</v>
      </c>
      <c r="M106" t="str">
        <f>TEXT(600,"0000")</f>
        <v>0600</v>
      </c>
      <c r="N106" t="s">
        <v>1207</v>
      </c>
      <c r="O106" t="s">
        <v>267</v>
      </c>
      <c r="P106" t="s">
        <v>268</v>
      </c>
      <c r="Q106" s="46" t="s">
        <v>1208</v>
      </c>
      <c r="R106">
        <v>21</v>
      </c>
      <c r="S106">
        <v>57</v>
      </c>
      <c r="T106">
        <v>663</v>
      </c>
      <c r="U106">
        <v>-1</v>
      </c>
      <c r="V106" t="b">
        <v>1</v>
      </c>
      <c r="W106" t="s">
        <v>1209</v>
      </c>
      <c r="X106">
        <v>2603</v>
      </c>
      <c r="Z106" t="s">
        <v>955</v>
      </c>
      <c r="AA106" t="s">
        <v>960</v>
      </c>
      <c r="AJ106" t="s">
        <v>7</v>
      </c>
      <c r="AK106">
        <v>292</v>
      </c>
      <c r="AP106">
        <f>COUNTA(AR106:BA106)</f>
        <v>2</v>
      </c>
      <c r="AQ106">
        <v>1</v>
      </c>
      <c r="AR106">
        <v>1</v>
      </c>
      <c r="AS106">
        <v>1</v>
      </c>
    </row>
    <row r="107" spans="1:48" s="1" customFormat="1" x14ac:dyDescent="0.35">
      <c r="A107" s="29" t="s">
        <v>1049</v>
      </c>
      <c r="B107" s="29" t="s">
        <v>49</v>
      </c>
      <c r="C107" s="29" t="str">
        <f>VLOOKUP(B107,templateLookup!A:B,2,0)</f>
        <v>COMPOSITE</v>
      </c>
      <c r="D107" s="29" t="s">
        <v>1050</v>
      </c>
      <c r="F107" s="1" t="s">
        <v>27</v>
      </c>
      <c r="AP107" s="1">
        <v>2</v>
      </c>
      <c r="AQ107" s="1">
        <v>1</v>
      </c>
      <c r="AR107" s="1">
        <v>1</v>
      </c>
      <c r="AS107" s="1">
        <v>1</v>
      </c>
    </row>
    <row r="108" spans="1:48" x14ac:dyDescent="0.35">
      <c r="A108" s="1" t="s">
        <v>1049</v>
      </c>
      <c r="B108" s="1" t="s">
        <v>102</v>
      </c>
      <c r="C108" s="1" t="str">
        <f>VLOOKUP(B108,templateLookup!A:B,2,0)</f>
        <v>PrimeShmooTestMethod</v>
      </c>
      <c r="D108" t="str">
        <f>E108&amp;"_"&amp;F108&amp;"_"&amp;G108&amp;"_"&amp;H108&amp;"_"&amp;A108&amp;"_"&amp;I108&amp;"_"&amp;J108&amp;"_"&amp;K108&amp;"_"&amp;L108&amp;"_"&amp;M108&amp;"_"&amp;N108</f>
        <v>ALL_SOC_SHMOO_E_SDTEND_TITO_SAQ_MAX_LFM_0400_0600_SAN_SAQ</v>
      </c>
      <c r="E108" t="s">
        <v>7</v>
      </c>
      <c r="F108" t="s">
        <v>27</v>
      </c>
      <c r="G108" t="s">
        <v>1011</v>
      </c>
      <c r="H108" t="s">
        <v>207</v>
      </c>
      <c r="I108" t="s">
        <v>260</v>
      </c>
      <c r="J108" t="s">
        <v>558</v>
      </c>
      <c r="K108" t="s">
        <v>357</v>
      </c>
      <c r="L108" t="s">
        <v>285</v>
      </c>
      <c r="M108" t="s">
        <v>1198</v>
      </c>
      <c r="N108" t="s">
        <v>1292</v>
      </c>
      <c r="O108" t="s">
        <v>267</v>
      </c>
      <c r="P108" t="s">
        <v>268</v>
      </c>
      <c r="Q108" s="46" t="s">
        <v>1199</v>
      </c>
      <c r="R108">
        <v>17</v>
      </c>
      <c r="S108">
        <v>61</v>
      </c>
      <c r="T108">
        <v>666</v>
      </c>
      <c r="U108">
        <v>1</v>
      </c>
      <c r="V108" t="b">
        <v>0</v>
      </c>
      <c r="W108" t="s">
        <v>298</v>
      </c>
      <c r="Y108" t="s">
        <v>1062</v>
      </c>
      <c r="AP108">
        <v>4</v>
      </c>
      <c r="AQ108" t="s">
        <v>920</v>
      </c>
      <c r="AR108" t="str">
        <f t="shared" ref="AR108:AU109" si="25">$D109</f>
        <v>LSA_SOC_SHMOO_E_SDTEND_TITO_SAQ_MAX_LFM_0600_FUSE</v>
      </c>
      <c r="AS108" t="str">
        <f t="shared" si="25"/>
        <v>LSA_SOC_SHMOO_E_SDTEND_TITO_SAQ_MAX_LFM_0600_FUSE</v>
      </c>
      <c r="AT108" t="str">
        <f t="shared" si="25"/>
        <v>LSA_SOC_SHMOO_E_SDTEND_TITO_SAQ_MAX_LFM_0600_FUSE</v>
      </c>
      <c r="AU108" t="str">
        <f t="shared" si="25"/>
        <v>LSA_SOC_SHMOO_E_SDTEND_TITO_SAQ_MAX_LFM_0600_FUSE</v>
      </c>
    </row>
    <row r="109" spans="1:48" x14ac:dyDescent="0.35">
      <c r="A109" s="1" t="s">
        <v>1049</v>
      </c>
      <c r="B109" s="1" t="s">
        <v>102</v>
      </c>
      <c r="C109" s="1" t="str">
        <f>VLOOKUP(B109,templateLookup!A:B,2,0)</f>
        <v>PrimeShmooTestMethod</v>
      </c>
      <c r="D109" t="str">
        <f>E109&amp;"_"&amp;F109&amp;"_"&amp;G109&amp;"_"&amp;H109&amp;"_"&amp;A109&amp;"_"&amp;I109&amp;"_"&amp;J109&amp;"_"&amp;K109&amp;"_"&amp;L109&amp;"_"&amp;M109&amp;"_"&amp;N109</f>
        <v>LSA_SOC_SHMOO_E_SDTEND_TITO_SAQ_MAX_LFM_0600_FUSE</v>
      </c>
      <c r="E109" t="s">
        <v>5</v>
      </c>
      <c r="F109" t="s">
        <v>27</v>
      </c>
      <c r="G109" t="s">
        <v>1011</v>
      </c>
      <c r="H109" t="s">
        <v>207</v>
      </c>
      <c r="I109" t="s">
        <v>260</v>
      </c>
      <c r="J109" t="s">
        <v>558</v>
      </c>
      <c r="K109" t="s">
        <v>357</v>
      </c>
      <c r="L109" t="s">
        <v>285</v>
      </c>
      <c r="M109" t="s">
        <v>559</v>
      </c>
      <c r="N109" t="s">
        <v>1200</v>
      </c>
      <c r="O109" t="s">
        <v>267</v>
      </c>
      <c r="P109" t="s">
        <v>268</v>
      </c>
      <c r="Q109" s="46" t="s">
        <v>1201</v>
      </c>
      <c r="R109">
        <v>17</v>
      </c>
      <c r="S109">
        <v>61</v>
      </c>
      <c r="T109">
        <v>667</v>
      </c>
      <c r="U109">
        <v>1</v>
      </c>
      <c r="V109" t="b">
        <v>0</v>
      </c>
      <c r="W109" t="s">
        <v>1202</v>
      </c>
      <c r="Y109" t="s">
        <v>1210</v>
      </c>
      <c r="AP109">
        <v>4</v>
      </c>
      <c r="AQ109" t="s">
        <v>920</v>
      </c>
      <c r="AR109" t="str">
        <f t="shared" si="25"/>
        <v>LSA_SOC_SHMOO_E_SDTEND_TITO_SAN_MAX_LFM_0600_ONDD</v>
      </c>
      <c r="AS109" t="str">
        <f t="shared" si="25"/>
        <v>LSA_SOC_SHMOO_E_SDTEND_TITO_SAN_MAX_LFM_0600_ONDD</v>
      </c>
      <c r="AT109" t="str">
        <f t="shared" si="25"/>
        <v>LSA_SOC_SHMOO_E_SDTEND_TITO_SAN_MAX_LFM_0600_ONDD</v>
      </c>
      <c r="AU109" t="str">
        <f t="shared" si="25"/>
        <v>LSA_SOC_SHMOO_E_SDTEND_TITO_SAN_MAX_LFM_0600_ONDD</v>
      </c>
    </row>
    <row r="110" spans="1:48" x14ac:dyDescent="0.35">
      <c r="A110" s="1" t="s">
        <v>1049</v>
      </c>
      <c r="B110" s="1" t="s">
        <v>102</v>
      </c>
      <c r="C110" s="1" t="str">
        <f>VLOOKUP(B110,templateLookup!A:B,2,0)</f>
        <v>PrimeShmooTestMethod</v>
      </c>
      <c r="D110" t="str">
        <f>E110&amp;"_"&amp;F110&amp;"_"&amp;G110&amp;"_"&amp;H110&amp;"_"&amp;A110&amp;"_"&amp;I110&amp;"_"&amp;J110&amp;"_"&amp;K110&amp;"_"&amp;L110&amp;"_"&amp;M110&amp;"_"&amp;N110</f>
        <v>LSA_SOC_SHMOO_E_SDTEND_TITO_SAN_MAX_LFM_0600_ONDD</v>
      </c>
      <c r="E110" t="s">
        <v>5</v>
      </c>
      <c r="F110" t="s">
        <v>27</v>
      </c>
      <c r="G110" t="s">
        <v>1011</v>
      </c>
      <c r="H110" t="s">
        <v>207</v>
      </c>
      <c r="I110" t="s">
        <v>260</v>
      </c>
      <c r="J110" t="s">
        <v>295</v>
      </c>
      <c r="K110" t="s">
        <v>357</v>
      </c>
      <c r="L110" t="s">
        <v>285</v>
      </c>
      <c r="M110" t="s">
        <v>559</v>
      </c>
      <c r="N110" t="s">
        <v>1207</v>
      </c>
      <c r="O110" t="s">
        <v>267</v>
      </c>
      <c r="P110" t="s">
        <v>268</v>
      </c>
      <c r="Q110" s="46" t="s">
        <v>1208</v>
      </c>
      <c r="R110">
        <v>17</v>
      </c>
      <c r="S110">
        <v>61</v>
      </c>
      <c r="T110">
        <v>668</v>
      </c>
      <c r="U110">
        <v>1</v>
      </c>
      <c r="V110" t="b">
        <v>0</v>
      </c>
      <c r="W110" t="s">
        <v>1216</v>
      </c>
      <c r="Y110" t="s">
        <v>1217</v>
      </c>
      <c r="AP110">
        <v>4</v>
      </c>
      <c r="AQ110" t="s">
        <v>920</v>
      </c>
      <c r="AR110">
        <v>1</v>
      </c>
      <c r="AS110">
        <v>1</v>
      </c>
      <c r="AT110">
        <v>1</v>
      </c>
      <c r="AU110">
        <v>1</v>
      </c>
    </row>
    <row r="111" spans="1:48" s="1" customFormat="1" x14ac:dyDescent="0.35">
      <c r="A111" s="29" t="s">
        <v>1049</v>
      </c>
      <c r="B111" s="29" t="s">
        <v>50</v>
      </c>
      <c r="C111" s="29" t="str">
        <f>VLOOKUP(B111,templateLookup!A:B,2,0)</f>
        <v>COMPOSITE</v>
      </c>
      <c r="D111" s="29"/>
    </row>
    <row r="112" spans="1:48" s="1" customFormat="1" x14ac:dyDescent="0.35">
      <c r="A112" s="29" t="s">
        <v>1049</v>
      </c>
      <c r="B112" s="29" t="s">
        <v>50</v>
      </c>
      <c r="C112" s="29" t="str">
        <f>VLOOKUP(B112,templateLookup!A:B,2,0)</f>
        <v>COMPOSITE</v>
      </c>
      <c r="D112" s="29"/>
    </row>
    <row r="113" spans="1:4" x14ac:dyDescent="0.35">
      <c r="A113" t="s">
        <v>203</v>
      </c>
      <c r="B113" t="s">
        <v>51</v>
      </c>
      <c r="C113" t="str">
        <f>VLOOKUP(B113,templateLookup!A:B,2,0)</f>
        <v>COMPOSITE</v>
      </c>
      <c r="D113" t="s">
        <v>203</v>
      </c>
    </row>
  </sheetData>
  <autoFilter ref="A1:BA113" xr:uid="{9B5B5114-9EFB-40C3-87F2-B31088A4DC05}"/>
  <conditionalFormatting sqref="T95:T1048576 T1:T5 T7:T86 T88:T93">
    <cfRule type="duplicateValues" dxfId="99" priority="32"/>
    <cfRule type="duplicateValues" dxfId="98" priority="33"/>
  </conditionalFormatting>
  <conditionalFormatting sqref="T8:T11">
    <cfRule type="duplicateValues" dxfId="97" priority="65"/>
  </conditionalFormatting>
  <conditionalFormatting sqref="T16">
    <cfRule type="duplicateValues" dxfId="96" priority="49"/>
  </conditionalFormatting>
  <conditionalFormatting sqref="T17">
    <cfRule type="duplicateValues" dxfId="95" priority="62"/>
  </conditionalFormatting>
  <conditionalFormatting sqref="T18">
    <cfRule type="duplicateValues" dxfId="94" priority="60"/>
  </conditionalFormatting>
  <conditionalFormatting sqref="T19:T20">
    <cfRule type="duplicateValues" dxfId="93" priority="58"/>
  </conditionalFormatting>
  <conditionalFormatting sqref="T21">
    <cfRule type="duplicateValues" dxfId="92" priority="55"/>
  </conditionalFormatting>
  <conditionalFormatting sqref="T22:T64 T12:T15 T1:T5 T7">
    <cfRule type="duplicateValues" dxfId="91" priority="72"/>
  </conditionalFormatting>
  <conditionalFormatting sqref="T66:T82">
    <cfRule type="duplicateValues" dxfId="90" priority="67"/>
  </conditionalFormatting>
  <conditionalFormatting sqref="T85:T86">
    <cfRule type="duplicateValues" dxfId="89" priority="53"/>
  </conditionalFormatting>
  <conditionalFormatting sqref="T92:T93">
    <cfRule type="duplicateValues" dxfId="88" priority="51"/>
  </conditionalFormatting>
  <conditionalFormatting sqref="T101">
    <cfRule type="duplicateValues" dxfId="87" priority="36"/>
  </conditionalFormatting>
  <conditionalFormatting sqref="T107 T111">
    <cfRule type="duplicateValues" dxfId="86" priority="45"/>
  </conditionalFormatting>
  <conditionalFormatting sqref="T108">
    <cfRule type="duplicateValues" dxfId="85" priority="43"/>
  </conditionalFormatting>
  <conditionalFormatting sqref="T109:T110">
    <cfRule type="duplicateValues" dxfId="84" priority="41"/>
  </conditionalFormatting>
  <conditionalFormatting sqref="T113 T83 T65">
    <cfRule type="duplicateValues" dxfId="83" priority="69"/>
  </conditionalFormatting>
  <conditionalFormatting sqref="U1:U5 U7:U86 U88:U93 U95:U1048576">
    <cfRule type="cellIs" dxfId="82" priority="30" operator="equal">
      <formula>1</formula>
    </cfRule>
    <cfRule type="cellIs" dxfId="81" priority="31" operator="equal">
      <formula>-1</formula>
    </cfRule>
  </conditionalFormatting>
  <conditionalFormatting sqref="V1:V5 V7:V86 V88:V93 V95:V1048576">
    <cfRule type="cellIs" dxfId="80" priority="28" operator="equal">
      <formula>TRUE</formula>
    </cfRule>
    <cfRule type="cellIs" dxfId="79" priority="29" operator="equal">
      <formula>FALSE</formula>
    </cfRule>
  </conditionalFormatting>
  <conditionalFormatting sqref="W3">
    <cfRule type="duplicateValues" dxfId="78" priority="74"/>
  </conditionalFormatting>
  <conditionalFormatting sqref="X16">
    <cfRule type="duplicateValues" dxfId="77" priority="48"/>
  </conditionalFormatting>
  <conditionalFormatting sqref="X19:X20">
    <cfRule type="duplicateValues" dxfId="76" priority="57"/>
  </conditionalFormatting>
  <conditionalFormatting sqref="X101">
    <cfRule type="duplicateValues" dxfId="75" priority="35"/>
  </conditionalFormatting>
  <conditionalFormatting sqref="X109:X110">
    <cfRule type="duplicateValues" dxfId="74" priority="40"/>
  </conditionalFormatting>
  <conditionalFormatting sqref="X8:Y11">
    <cfRule type="duplicateValues" dxfId="73" priority="64"/>
  </conditionalFormatting>
  <conditionalFormatting sqref="X17:Y17">
    <cfRule type="duplicateValues" dxfId="72" priority="61"/>
  </conditionalFormatting>
  <conditionalFormatting sqref="X18:Y18">
    <cfRule type="duplicateValues" dxfId="71" priority="59"/>
  </conditionalFormatting>
  <conditionalFormatting sqref="X21:Y21">
    <cfRule type="duplicateValues" dxfId="70" priority="54"/>
  </conditionalFormatting>
  <conditionalFormatting sqref="X22:Y64 X12:Y15 X1:Y5 X7:Y7">
    <cfRule type="duplicateValues" dxfId="69" priority="71"/>
  </conditionalFormatting>
  <conditionalFormatting sqref="X66:Y82">
    <cfRule type="duplicateValues" dxfId="68" priority="66"/>
  </conditionalFormatting>
  <conditionalFormatting sqref="X85:Y86">
    <cfRule type="duplicateValues" dxfId="67" priority="52"/>
  </conditionalFormatting>
  <conditionalFormatting sqref="X92:Y93">
    <cfRule type="duplicateValues" dxfId="66" priority="50"/>
  </conditionalFormatting>
  <conditionalFormatting sqref="X107:Y107 X111:Y111">
    <cfRule type="duplicateValues" dxfId="65" priority="44"/>
  </conditionalFormatting>
  <conditionalFormatting sqref="X108:Y108">
    <cfRule type="duplicateValues" dxfId="64" priority="42"/>
  </conditionalFormatting>
  <conditionalFormatting sqref="X113:Y113 X83:Y83 X65:Y65">
    <cfRule type="duplicateValues" dxfId="63" priority="70"/>
  </conditionalFormatting>
  <conditionalFormatting sqref="X113:Z113 X83:Z83 X65:Z65">
    <cfRule type="duplicateValues" dxfId="62" priority="68"/>
  </conditionalFormatting>
  <conditionalFormatting sqref="Y16">
    <cfRule type="duplicateValues" dxfId="61" priority="47"/>
  </conditionalFormatting>
  <conditionalFormatting sqref="Y19:Y20">
    <cfRule type="duplicateValues" dxfId="60" priority="56"/>
  </conditionalFormatting>
  <conditionalFormatting sqref="Y101">
    <cfRule type="duplicateValues" dxfId="59" priority="34"/>
  </conditionalFormatting>
  <conditionalFormatting sqref="Y109:Y110">
    <cfRule type="duplicateValues" dxfId="58" priority="39"/>
  </conditionalFormatting>
  <conditionalFormatting sqref="Z1">
    <cfRule type="duplicateValues" dxfId="57" priority="63"/>
  </conditionalFormatting>
  <conditionalFormatting sqref="T87">
    <cfRule type="duplicateValues" dxfId="56" priority="27"/>
  </conditionalFormatting>
  <conditionalFormatting sqref="U87">
    <cfRule type="cellIs" dxfId="55" priority="21" operator="equal">
      <formula>1</formula>
    </cfRule>
    <cfRule type="cellIs" dxfId="54" priority="22" operator="equal">
      <formula>-1</formula>
    </cfRule>
  </conditionalFormatting>
  <conditionalFormatting sqref="V87">
    <cfRule type="cellIs" dxfId="53" priority="24" operator="equal">
      <formula>TRUE</formula>
    </cfRule>
    <cfRule type="cellIs" dxfId="52" priority="25" operator="equal">
      <formula>FALSE</formula>
    </cfRule>
  </conditionalFormatting>
  <conditionalFormatting sqref="V87:AQ87 AT87:BE87">
    <cfRule type="expression" dxfId="51" priority="23">
      <formula>EXACT($U87,1)</formula>
    </cfRule>
  </conditionalFormatting>
  <conditionalFormatting sqref="T94">
    <cfRule type="duplicateValues" dxfId="50" priority="20"/>
  </conditionalFormatting>
  <conditionalFormatting sqref="U94">
    <cfRule type="cellIs" dxfId="49" priority="14" operator="equal">
      <formula>1</formula>
    </cfRule>
    <cfRule type="cellIs" dxfId="48" priority="15" operator="equal">
      <formula>-1</formula>
    </cfRule>
  </conditionalFormatting>
  <conditionalFormatting sqref="V94">
    <cfRule type="cellIs" dxfId="47" priority="17" operator="equal">
      <formula>TRUE</formula>
    </cfRule>
    <cfRule type="cellIs" dxfId="46" priority="18" operator="equal">
      <formula>FALSE</formula>
    </cfRule>
  </conditionalFormatting>
  <conditionalFormatting sqref="V94:AQ94 AT94:BE94">
    <cfRule type="expression" dxfId="45" priority="16">
      <formula>EXACT($U94,1)</formula>
    </cfRule>
  </conditionalFormatting>
  <conditionalFormatting sqref="T88">
    <cfRule type="duplicateValues" dxfId="44" priority="13"/>
  </conditionalFormatting>
  <conditionalFormatting sqref="X88:Y88">
    <cfRule type="duplicateValues" dxfId="43" priority="12"/>
  </conditionalFormatting>
  <conditionalFormatting sqref="T95:T96">
    <cfRule type="duplicateValues" dxfId="42" priority="11"/>
  </conditionalFormatting>
  <conditionalFormatting sqref="X95:Y96">
    <cfRule type="duplicateValues" dxfId="41" priority="10"/>
  </conditionalFormatting>
  <conditionalFormatting sqref="X1:X1048576">
    <cfRule type="duplicateValues" dxfId="40" priority="9"/>
  </conditionalFormatting>
  <conditionalFormatting sqref="T6">
    <cfRule type="duplicateValues" dxfId="39" priority="8"/>
  </conditionalFormatting>
  <conditionalFormatting sqref="U6">
    <cfRule type="cellIs" dxfId="38" priority="3" operator="equal">
      <formula>1</formula>
    </cfRule>
    <cfRule type="cellIs" dxfId="37" priority="4" operator="equal">
      <formula>-1</formula>
    </cfRule>
  </conditionalFormatting>
  <conditionalFormatting sqref="V6">
    <cfRule type="cellIs" dxfId="36" priority="6" operator="equal">
      <formula>TRUE</formula>
    </cfRule>
    <cfRule type="cellIs" dxfId="35" priority="7" operator="equal">
      <formula>FALSE</formula>
    </cfRule>
  </conditionalFormatting>
  <conditionalFormatting sqref="V6:AQ6 AT6:BE6">
    <cfRule type="expression" dxfId="34" priority="5">
      <formula>EXACT($U6,1)</formula>
    </cfRule>
  </conditionalFormatting>
  <conditionalFormatting sqref="T89">
    <cfRule type="duplicateValues" dxfId="33" priority="2"/>
  </conditionalFormatting>
  <conditionalFormatting sqref="X89:Y89">
    <cfRule type="duplicateValues" dxfId="32" priority="1"/>
  </conditionalFormatting>
  <conditionalFormatting sqref="T104:T106">
    <cfRule type="duplicateValues" dxfId="31" priority="350"/>
  </conditionalFormatting>
  <conditionalFormatting sqref="X104:Y106">
    <cfRule type="duplicateValues" dxfId="30" priority="367"/>
  </conditionalFormatting>
  <conditionalFormatting sqref="T99:T100">
    <cfRule type="duplicateValues" dxfId="29" priority="380"/>
  </conditionalFormatting>
  <conditionalFormatting sqref="X99:Y100">
    <cfRule type="duplicateValues" dxfId="28" priority="397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BEF36-961B-4B93-8E78-4F197E00AF29}">
  <dimension ref="A1:CV266"/>
  <sheetViews>
    <sheetView topLeftCell="D1" zoomScale="70" zoomScaleNormal="70" workbookViewId="0">
      <pane xSplit="1" topLeftCell="E1" activePane="topRight" state="frozen"/>
      <selection activeCell="D199" sqref="D199"/>
      <selection pane="topRight" activeCell="Z215" sqref="Z215"/>
    </sheetView>
  </sheetViews>
  <sheetFormatPr defaultRowHeight="14.5" x14ac:dyDescent="0.35"/>
  <cols>
    <col min="1" max="1" width="16" bestFit="1" customWidth="1"/>
    <col min="2" max="2" width="31.54296875" customWidth="1"/>
    <col min="3" max="3" width="35.453125" bestFit="1" customWidth="1"/>
    <col min="4" max="4" width="68.1796875" bestFit="1" customWidth="1"/>
    <col min="5" max="8" width="8.54296875" customWidth="1"/>
    <col min="9" max="10" width="9.1796875" customWidth="1"/>
    <col min="11" max="11" width="8" customWidth="1"/>
    <col min="12" max="12" width="17.54296875" customWidth="1"/>
    <col min="13" max="13" width="17.1796875" customWidth="1"/>
    <col min="14" max="14" width="35.54296875" customWidth="1"/>
    <col min="15" max="15" width="37.1796875" customWidth="1"/>
    <col min="16" max="16" width="48.54296875" customWidth="1"/>
    <col min="17" max="17" width="53" customWidth="1"/>
    <col min="18" max="19" width="9.1796875" customWidth="1"/>
    <col min="20" max="20" width="23.54296875" customWidth="1"/>
    <col min="21" max="21" width="20.54296875" customWidth="1"/>
    <col min="22" max="24" width="9.1796875" customWidth="1"/>
    <col min="25" max="25" width="16.453125" customWidth="1"/>
    <col min="26" max="26" width="8.54296875" customWidth="1"/>
    <col min="27" max="27" width="16" customWidth="1"/>
    <col min="28" max="28" width="59.54296875" customWidth="1"/>
    <col min="29" max="29" width="23.1796875" customWidth="1"/>
    <col min="30" max="31" width="57.453125" customWidth="1"/>
    <col min="32" max="34" width="22.453125" customWidth="1"/>
    <col min="35" max="35" width="76" customWidth="1"/>
    <col min="36" max="37" width="19" customWidth="1"/>
    <col min="38" max="39" width="48.453125" customWidth="1"/>
    <col min="40" max="40" width="22.453125" customWidth="1"/>
    <col min="41" max="41" width="48.453125" customWidth="1"/>
    <col min="42" max="42" width="29.453125" customWidth="1"/>
    <col min="43" max="44" width="22.54296875" customWidth="1"/>
    <col min="45" max="46" width="17.453125" customWidth="1"/>
    <col min="47" max="47" width="77.81640625" bestFit="1" customWidth="1"/>
    <col min="48" max="48" width="68.54296875" bestFit="1" customWidth="1"/>
    <col min="49" max="49" width="69.453125" customWidth="1"/>
  </cols>
  <sheetData>
    <row r="1" spans="1:56" x14ac:dyDescent="0.3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11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2</v>
      </c>
      <c r="S1" t="s">
        <v>32</v>
      </c>
      <c r="T1" t="s">
        <v>33</v>
      </c>
      <c r="U1" t="s">
        <v>1098</v>
      </c>
      <c r="V1" t="s">
        <v>167</v>
      </c>
      <c r="W1" t="s">
        <v>168</v>
      </c>
      <c r="X1" t="s">
        <v>902</v>
      </c>
      <c r="Y1" t="s">
        <v>903</v>
      </c>
      <c r="Z1" t="s">
        <v>184</v>
      </c>
      <c r="AA1" t="s">
        <v>898</v>
      </c>
      <c r="AB1" t="s">
        <v>169</v>
      </c>
      <c r="AC1" t="s">
        <v>189</v>
      </c>
      <c r="AD1" t="s">
        <v>190</v>
      </c>
      <c r="AE1" t="s">
        <v>899</v>
      </c>
      <c r="AF1" t="s">
        <v>176</v>
      </c>
      <c r="AG1" t="s">
        <v>177</v>
      </c>
      <c r="AH1" t="s">
        <v>908</v>
      </c>
      <c r="AI1" t="s">
        <v>182</v>
      </c>
      <c r="AJ1" t="s">
        <v>900</v>
      </c>
      <c r="AK1" t="s">
        <v>901</v>
      </c>
      <c r="AL1" t="s">
        <v>187</v>
      </c>
      <c r="AM1" t="s">
        <v>188</v>
      </c>
      <c r="AN1" t="s">
        <v>909</v>
      </c>
      <c r="AO1" t="s">
        <v>910</v>
      </c>
      <c r="AP1" t="s">
        <v>911</v>
      </c>
      <c r="AQ1" t="s">
        <v>1293</v>
      </c>
      <c r="AR1" t="s">
        <v>1294</v>
      </c>
      <c r="AS1" t="s">
        <v>191</v>
      </c>
      <c r="AT1" t="s">
        <v>192</v>
      </c>
      <c r="AU1" t="s">
        <v>193</v>
      </c>
      <c r="AV1" t="s">
        <v>194</v>
      </c>
      <c r="AW1" t="s">
        <v>195</v>
      </c>
      <c r="AX1" t="s">
        <v>196</v>
      </c>
      <c r="AY1" t="s">
        <v>197</v>
      </c>
      <c r="AZ1" t="s">
        <v>198</v>
      </c>
      <c r="BA1" t="s">
        <v>199</v>
      </c>
      <c r="BB1" t="s">
        <v>200</v>
      </c>
      <c r="BC1" t="s">
        <v>201</v>
      </c>
      <c r="BD1" t="s">
        <v>202</v>
      </c>
    </row>
    <row r="2" spans="1:56" x14ac:dyDescent="0.35">
      <c r="A2" t="s">
        <v>203</v>
      </c>
      <c r="B2" t="s">
        <v>47</v>
      </c>
      <c r="C2" t="str">
        <f>VLOOKUP(B2,templateLookup!A:B,2,0)</f>
        <v>COMPOSITE</v>
      </c>
      <c r="D2" t="s">
        <v>203</v>
      </c>
      <c r="F2" t="s">
        <v>25</v>
      </c>
    </row>
    <row r="3" spans="1:56" x14ac:dyDescent="0.35">
      <c r="A3" s="5" t="s">
        <v>871</v>
      </c>
      <c r="B3" s="5" t="s">
        <v>49</v>
      </c>
      <c r="C3" s="5" t="str">
        <f>VLOOKUP(B3,templateLookup!A:B,2,0)</f>
        <v>COMPOSITE</v>
      </c>
      <c r="D3" s="5" t="s">
        <v>871</v>
      </c>
      <c r="E3" s="5"/>
      <c r="F3" s="5" t="s">
        <v>25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 t="str">
        <f>R3&amp;S3&amp;T3</f>
        <v/>
      </c>
      <c r="W3" s="12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V3" s="5"/>
      <c r="AW3" s="5"/>
      <c r="AX3" s="5"/>
      <c r="AY3" s="5"/>
      <c r="AZ3" s="5"/>
      <c r="BA3" s="5"/>
      <c r="BB3" s="5"/>
      <c r="BC3" s="5"/>
      <c r="BD3" s="5"/>
    </row>
    <row r="4" spans="1:56" x14ac:dyDescent="0.35">
      <c r="A4" s="11" t="s">
        <v>871</v>
      </c>
      <c r="B4" s="11" t="s">
        <v>65</v>
      </c>
      <c r="C4" s="11" t="str">
        <f>VLOOKUP(B4,templateLookup!A:B,2,0)</f>
        <v>PrimeVminSearchTestMethod</v>
      </c>
      <c r="D4" s="11" t="str">
        <f>E4&amp;"_"&amp;F4&amp;"_"&amp;G4&amp;"_"&amp;H4&amp;"_"&amp;A4&amp;"_"&amp;I4&amp;"_"&amp;J4&amp;"_"&amp;K4&amp;"_"&amp;L4&amp;"_"&amp;M4&amp;"_"&amp;N4</f>
        <v>XSA_VPU_VMIN_K_PREHVQK_TITO_VPU_NOM_LFM_1900_ALL</v>
      </c>
      <c r="E4" t="s">
        <v>205</v>
      </c>
      <c r="F4" t="s">
        <v>25</v>
      </c>
      <c r="G4" t="s">
        <v>951</v>
      </c>
      <c r="H4" t="s">
        <v>253</v>
      </c>
      <c r="I4" t="s">
        <v>260</v>
      </c>
      <c r="J4" t="s">
        <v>25</v>
      </c>
      <c r="K4" t="s">
        <v>284</v>
      </c>
      <c r="L4" t="s">
        <v>285</v>
      </c>
      <c r="M4">
        <v>1900</v>
      </c>
      <c r="N4" t="s">
        <v>7</v>
      </c>
      <c r="O4" t="s">
        <v>267</v>
      </c>
      <c r="P4" t="s">
        <v>268</v>
      </c>
      <c r="Q4" t="s">
        <v>1295</v>
      </c>
      <c r="R4">
        <v>61</v>
      </c>
      <c r="S4">
        <v>31</v>
      </c>
      <c r="T4">
        <v>0</v>
      </c>
      <c r="U4" t="str">
        <f>R4&amp;S4&amp;T4</f>
        <v>61310</v>
      </c>
      <c r="V4">
        <v>-1</v>
      </c>
      <c r="W4" t="b">
        <v>1</v>
      </c>
      <c r="X4">
        <v>2200</v>
      </c>
      <c r="Y4" t="s">
        <v>955</v>
      </c>
      <c r="AB4" t="s">
        <v>298</v>
      </c>
      <c r="AC4" t="s">
        <v>257</v>
      </c>
      <c r="AD4" t="s">
        <v>696</v>
      </c>
      <c r="AS4">
        <f>COUNTA(AU4:BD4)</f>
        <v>2</v>
      </c>
      <c r="AT4">
        <v>1</v>
      </c>
      <c r="AU4" t="str">
        <f>$D5</f>
        <v>XSA_NON_RECOVERY_PRE</v>
      </c>
      <c r="AV4">
        <v>1</v>
      </c>
    </row>
    <row r="5" spans="1:56" x14ac:dyDescent="0.35">
      <c r="A5" s="5" t="s">
        <v>871</v>
      </c>
      <c r="B5" s="5" t="s">
        <v>49</v>
      </c>
      <c r="C5" s="5" t="str">
        <f>VLOOKUP(B5,templateLookup!A:B,2,0)</f>
        <v>COMPOSITE</v>
      </c>
      <c r="D5" s="5" t="s">
        <v>1296</v>
      </c>
      <c r="E5" s="5"/>
      <c r="F5" s="5" t="s">
        <v>25</v>
      </c>
      <c r="AS5">
        <v>2</v>
      </c>
      <c r="AT5">
        <v>1</v>
      </c>
      <c r="AU5" t="str">
        <f>$D10</f>
        <v>LSA_RECOVERY_PRE</v>
      </c>
      <c r="AV5" t="str">
        <f>$D10</f>
        <v>LSA_RECOVERY_PRE</v>
      </c>
    </row>
    <row r="6" spans="1:56" x14ac:dyDescent="0.35">
      <c r="A6" s="11" t="s">
        <v>871</v>
      </c>
      <c r="B6" s="11" t="s">
        <v>65</v>
      </c>
      <c r="C6" s="11" t="str">
        <f>VLOOKUP(B6,templateLookup!A:B,2,0)</f>
        <v>PrimeVminSearchTestMethod</v>
      </c>
      <c r="D6" s="11" t="str">
        <f>E6&amp;"_"&amp;F6&amp;"_"&amp;G6&amp;"_"&amp;H6&amp;"_"&amp;A6&amp;"_"&amp;I6&amp;"_"&amp;J6&amp;"_"&amp;K6&amp;"_"&amp;L6&amp;"_"&amp;M6&amp;"_"&amp;N6</f>
        <v>LSA_VPU_VMIN_K_PREHVQK_TITO_VPU_NOM_LFM_1900_CPU</v>
      </c>
      <c r="E6" t="s">
        <v>5</v>
      </c>
      <c r="F6" t="s">
        <v>25</v>
      </c>
      <c r="G6" t="s">
        <v>951</v>
      </c>
      <c r="H6" t="s">
        <v>253</v>
      </c>
      <c r="I6" t="s">
        <v>260</v>
      </c>
      <c r="J6" t="s">
        <v>25</v>
      </c>
      <c r="K6" t="s">
        <v>284</v>
      </c>
      <c r="L6" t="s">
        <v>285</v>
      </c>
      <c r="M6">
        <v>1900</v>
      </c>
      <c r="N6" t="s">
        <v>1297</v>
      </c>
      <c r="O6" t="s">
        <v>267</v>
      </c>
      <c r="P6" t="s">
        <v>268</v>
      </c>
      <c r="Q6" t="s">
        <v>1298</v>
      </c>
      <c r="R6">
        <v>21</v>
      </c>
      <c r="S6">
        <v>31</v>
      </c>
      <c r="T6">
        <v>13</v>
      </c>
      <c r="U6" t="str">
        <f>R6&amp;S6&amp;T6</f>
        <v>213113</v>
      </c>
      <c r="V6">
        <v>1</v>
      </c>
      <c r="W6" t="b">
        <v>1</v>
      </c>
      <c r="Y6" t="s">
        <v>955</v>
      </c>
      <c r="AB6" t="s">
        <v>298</v>
      </c>
      <c r="AC6" t="s">
        <v>960</v>
      </c>
      <c r="AS6">
        <f>COUNTA(AU6:BD6)</f>
        <v>2</v>
      </c>
      <c r="AT6">
        <v>1</v>
      </c>
      <c r="AU6" t="str">
        <f>$D7</f>
        <v>LSA_VPU_VMIN_K_PREHVQK_TITO_VPU_NOM_LFM_1900_BTR</v>
      </c>
      <c r="AV6" t="str">
        <f>$D7</f>
        <v>LSA_VPU_VMIN_K_PREHVQK_TITO_VPU_NOM_LFM_1900_BTR</v>
      </c>
    </row>
    <row r="7" spans="1:56" x14ac:dyDescent="0.35">
      <c r="A7" s="11" t="s">
        <v>871</v>
      </c>
      <c r="B7" s="11" t="s">
        <v>65</v>
      </c>
      <c r="C7" s="11" t="str">
        <f>VLOOKUP(B7,templateLookup!A:B,2,0)</f>
        <v>PrimeVminSearchTestMethod</v>
      </c>
      <c r="D7" s="11" t="str">
        <f>E7&amp;"_"&amp;F7&amp;"_"&amp;G7&amp;"_"&amp;H7&amp;"_"&amp;A7&amp;"_"&amp;I7&amp;"_"&amp;J7&amp;"_"&amp;K7&amp;"_"&amp;L7&amp;"_"&amp;M7&amp;"_"&amp;N7</f>
        <v>LSA_VPU_VMIN_K_PREHVQK_TITO_VPU_NOM_LFM_1900_BTR</v>
      </c>
      <c r="E7" t="s">
        <v>5</v>
      </c>
      <c r="F7" t="s">
        <v>25</v>
      </c>
      <c r="G7" t="s">
        <v>951</v>
      </c>
      <c r="H7" t="s">
        <v>253</v>
      </c>
      <c r="I7" t="s">
        <v>260</v>
      </c>
      <c r="J7" t="s">
        <v>25</v>
      </c>
      <c r="K7" t="s">
        <v>284</v>
      </c>
      <c r="L7" t="s">
        <v>285</v>
      </c>
      <c r="M7">
        <v>1900</v>
      </c>
      <c r="N7" t="s">
        <v>1299</v>
      </c>
      <c r="O7" t="s">
        <v>267</v>
      </c>
      <c r="P7" t="s">
        <v>268</v>
      </c>
      <c r="Q7" t="s">
        <v>1300</v>
      </c>
      <c r="R7">
        <v>21</v>
      </c>
      <c r="S7">
        <v>31</v>
      </c>
      <c r="T7">
        <v>14</v>
      </c>
      <c r="U7" t="str">
        <f>R7&amp;S7&amp;T7</f>
        <v>213114</v>
      </c>
      <c r="V7">
        <v>1</v>
      </c>
      <c r="W7" t="b">
        <v>1</v>
      </c>
      <c r="Y7" t="s">
        <v>955</v>
      </c>
      <c r="AB7" t="s">
        <v>298</v>
      </c>
      <c r="AC7" t="s">
        <v>960</v>
      </c>
      <c r="AS7">
        <f>COUNTA(AU7:BD7)</f>
        <v>2</v>
      </c>
      <c r="AT7">
        <v>1</v>
      </c>
      <c r="AU7" t="str">
        <f>$D8</f>
        <v>SSA_VPU_VMIN_K_PREHVQK_TITO_VPU_NOM_LFM_1900_CPU</v>
      </c>
      <c r="AV7" t="str">
        <f>$D8</f>
        <v>SSA_VPU_VMIN_K_PREHVQK_TITO_VPU_NOM_LFM_1900_CPU</v>
      </c>
    </row>
    <row r="8" spans="1:56" x14ac:dyDescent="0.35">
      <c r="A8" s="11" t="s">
        <v>871</v>
      </c>
      <c r="B8" s="11" t="s">
        <v>65</v>
      </c>
      <c r="C8" s="11" t="str">
        <f>VLOOKUP(B8,templateLookup!A:B,2,0)</f>
        <v>PrimeVminSearchTestMethod</v>
      </c>
      <c r="D8" s="11" t="str">
        <f>E8&amp;"_"&amp;F8&amp;"_"&amp;G8&amp;"_"&amp;H8&amp;"_"&amp;A8&amp;"_"&amp;I8&amp;"_"&amp;J8&amp;"_"&amp;K8&amp;"_"&amp;L8&amp;"_"&amp;M8&amp;"_"&amp;N8</f>
        <v>SSA_VPU_VMIN_K_PREHVQK_TITO_VPU_NOM_LFM_1900_CPU</v>
      </c>
      <c r="E8" t="s">
        <v>4</v>
      </c>
      <c r="F8" t="s">
        <v>25</v>
      </c>
      <c r="G8" t="s">
        <v>951</v>
      </c>
      <c r="H8" t="s">
        <v>253</v>
      </c>
      <c r="I8" t="s">
        <v>260</v>
      </c>
      <c r="J8" t="s">
        <v>25</v>
      </c>
      <c r="K8" t="s">
        <v>284</v>
      </c>
      <c r="L8" t="s">
        <v>285</v>
      </c>
      <c r="M8">
        <v>1900</v>
      </c>
      <c r="N8" t="s">
        <v>1297</v>
      </c>
      <c r="O8" t="s">
        <v>267</v>
      </c>
      <c r="P8" t="s">
        <v>268</v>
      </c>
      <c r="Q8" t="s">
        <v>1301</v>
      </c>
      <c r="R8">
        <v>61</v>
      </c>
      <c r="S8">
        <v>31</v>
      </c>
      <c r="T8">
        <v>15</v>
      </c>
      <c r="U8" t="str">
        <f>R8&amp;S8&amp;T8</f>
        <v>613115</v>
      </c>
      <c r="V8">
        <v>1</v>
      </c>
      <c r="W8" t="b">
        <v>1</v>
      </c>
      <c r="Y8" t="s">
        <v>955</v>
      </c>
      <c r="AB8" t="s">
        <v>298</v>
      </c>
      <c r="AC8" t="s">
        <v>960</v>
      </c>
      <c r="AS8">
        <f>COUNTA(AU8:BD8)</f>
        <v>2</v>
      </c>
      <c r="AT8">
        <v>1</v>
      </c>
      <c r="AU8">
        <v>1</v>
      </c>
      <c r="AV8">
        <v>1</v>
      </c>
    </row>
    <row r="9" spans="1:56" x14ac:dyDescent="0.35">
      <c r="A9" s="5" t="s">
        <v>871</v>
      </c>
      <c r="B9" s="5" t="s">
        <v>50</v>
      </c>
      <c r="C9" s="5" t="str">
        <f>VLOOKUP(B9,templateLookup!A:B,2,0)</f>
        <v>COMPOSITE</v>
      </c>
      <c r="D9" s="6"/>
    </row>
    <row r="10" spans="1:56" x14ac:dyDescent="0.35">
      <c r="A10" s="5" t="s">
        <v>871</v>
      </c>
      <c r="B10" s="5" t="s">
        <v>49</v>
      </c>
      <c r="C10" s="5" t="str">
        <f>VLOOKUP(B10,templateLookup!A:B,2,0)</f>
        <v>COMPOSITE</v>
      </c>
      <c r="D10" s="5" t="s">
        <v>1302</v>
      </c>
      <c r="E10" s="5"/>
      <c r="F10" s="5" t="s">
        <v>25</v>
      </c>
      <c r="AS10">
        <v>2</v>
      </c>
      <c r="AT10">
        <v>1</v>
      </c>
      <c r="AU10" t="str">
        <f>$D24</f>
        <v>SSA_RECOVERY_PRE</v>
      </c>
      <c r="AV10" t="str">
        <f>$D24</f>
        <v>SSA_RECOVERY_PRE</v>
      </c>
    </row>
    <row r="11" spans="1:56" x14ac:dyDescent="0.35">
      <c r="A11" s="11" t="s">
        <v>871</v>
      </c>
      <c r="B11" s="11" t="s">
        <v>65</v>
      </c>
      <c r="C11" s="11" t="str">
        <f>VLOOKUP(B11,templateLookup!A:B,2,0)</f>
        <v>PrimeVminSearchTestMethod</v>
      </c>
      <c r="D11" s="11" t="str">
        <f t="shared" ref="D11:D22" si="0">E11&amp;"_"&amp;F11&amp;"_"&amp;G11&amp;"_"&amp;H11&amp;"_"&amp;A11&amp;"_"&amp;I11&amp;"_"&amp;J11&amp;"_"&amp;K11&amp;"_"&amp;L11&amp;"_"&amp;M11&amp;"_"&amp;N11</f>
        <v>LSA_VPU_VMIN_K_PREHVQK_TITO_VPU_NOM_LFM_1900_TILE0</v>
      </c>
      <c r="E11" t="s">
        <v>5</v>
      </c>
      <c r="F11" t="s">
        <v>25</v>
      </c>
      <c r="G11" t="s">
        <v>951</v>
      </c>
      <c r="H11" t="s">
        <v>253</v>
      </c>
      <c r="I11" t="s">
        <v>260</v>
      </c>
      <c r="J11" t="s">
        <v>25</v>
      </c>
      <c r="K11" t="s">
        <v>284</v>
      </c>
      <c r="L11" t="s">
        <v>285</v>
      </c>
      <c r="M11">
        <v>1900</v>
      </c>
      <c r="N11" t="s">
        <v>1303</v>
      </c>
      <c r="O11" t="s">
        <v>267</v>
      </c>
      <c r="P11" t="s">
        <v>268</v>
      </c>
      <c r="Q11" t="s">
        <v>1304</v>
      </c>
      <c r="R11">
        <v>21</v>
      </c>
      <c r="S11">
        <v>31</v>
      </c>
      <c r="T11">
        <v>100</v>
      </c>
      <c r="U11" t="str">
        <f t="shared" ref="U11:U22" si="1">R11&amp;S11&amp;T11</f>
        <v>2131100</v>
      </c>
      <c r="V11">
        <v>1</v>
      </c>
      <c r="W11" t="b">
        <v>1</v>
      </c>
      <c r="Y11" t="s">
        <v>955</v>
      </c>
      <c r="AB11" t="s">
        <v>298</v>
      </c>
      <c r="AC11" t="s">
        <v>960</v>
      </c>
      <c r="AS11">
        <f t="shared" ref="AS11:AS22" si="2">COUNTA(AU11:BD11)</f>
        <v>2</v>
      </c>
      <c r="AT11">
        <v>1</v>
      </c>
      <c r="AU11" t="str">
        <f t="shared" ref="AU11:AU21" si="3">$D12</f>
        <v>LSA_VPU_VMIN_K_PREHVQK_TITO_VPU_NOM_LFM_1900_TILEREC0</v>
      </c>
      <c r="AV11" t="str">
        <f>$D13</f>
        <v>LSA_VPU_VMIN_K_PREHVQK_TITO_VPU_NOM_LFM_1900_TILE1</v>
      </c>
    </row>
    <row r="12" spans="1:56" x14ac:dyDescent="0.35">
      <c r="A12" s="11" t="s">
        <v>871</v>
      </c>
      <c r="B12" s="11" t="s">
        <v>72</v>
      </c>
      <c r="C12" s="11" t="str">
        <f>VLOOKUP(B12,templateLookup!A:B,2,0)</f>
        <v>RecoveryUpdate</v>
      </c>
      <c r="D12" s="11" t="str">
        <f t="shared" si="0"/>
        <v>LSA_VPU_VMIN_K_PREHVQK_TITO_VPU_NOM_LFM_1900_TILEREC0</v>
      </c>
      <c r="E12" t="s">
        <v>5</v>
      </c>
      <c r="F12" t="s">
        <v>25</v>
      </c>
      <c r="G12" t="s">
        <v>951</v>
      </c>
      <c r="H12" t="s">
        <v>253</v>
      </c>
      <c r="I12" t="s">
        <v>260</v>
      </c>
      <c r="J12" t="s">
        <v>25</v>
      </c>
      <c r="K12" t="s">
        <v>284</v>
      </c>
      <c r="L12" t="s">
        <v>285</v>
      </c>
      <c r="M12">
        <v>1900</v>
      </c>
      <c r="N12" t="s">
        <v>1305</v>
      </c>
      <c r="R12">
        <v>21</v>
      </c>
      <c r="S12">
        <v>31</v>
      </c>
      <c r="T12">
        <f t="shared" ref="T12:T22" si="4">T11+1</f>
        <v>101</v>
      </c>
      <c r="U12" t="str">
        <f t="shared" si="1"/>
        <v>2131101</v>
      </c>
      <c r="V12">
        <v>1</v>
      </c>
      <c r="W12" t="b">
        <v>1</v>
      </c>
      <c r="AC12" t="s">
        <v>960</v>
      </c>
      <c r="AR12" t="s">
        <v>1306</v>
      </c>
      <c r="AS12">
        <f t="shared" si="2"/>
        <v>2</v>
      </c>
      <c r="AT12">
        <v>1</v>
      </c>
      <c r="AU12" t="str">
        <f t="shared" si="3"/>
        <v>LSA_VPU_VMIN_K_PREHVQK_TITO_VPU_NOM_LFM_1900_TILE1</v>
      </c>
      <c r="AV12" t="str">
        <f>$D13</f>
        <v>LSA_VPU_VMIN_K_PREHVQK_TITO_VPU_NOM_LFM_1900_TILE1</v>
      </c>
    </row>
    <row r="13" spans="1:56" x14ac:dyDescent="0.35">
      <c r="A13" s="11" t="s">
        <v>871</v>
      </c>
      <c r="B13" s="11" t="s">
        <v>65</v>
      </c>
      <c r="C13" s="11" t="str">
        <f>VLOOKUP(B13,templateLookup!A:B,2,0)</f>
        <v>PrimeVminSearchTestMethod</v>
      </c>
      <c r="D13" s="11" t="str">
        <f t="shared" si="0"/>
        <v>LSA_VPU_VMIN_K_PREHVQK_TITO_VPU_NOM_LFM_1900_TILE1</v>
      </c>
      <c r="E13" t="s">
        <v>5</v>
      </c>
      <c r="F13" t="s">
        <v>25</v>
      </c>
      <c r="G13" t="s">
        <v>951</v>
      </c>
      <c r="H13" t="s">
        <v>253</v>
      </c>
      <c r="I13" t="s">
        <v>260</v>
      </c>
      <c r="J13" t="s">
        <v>25</v>
      </c>
      <c r="K13" t="s">
        <v>284</v>
      </c>
      <c r="L13" t="s">
        <v>285</v>
      </c>
      <c r="M13">
        <v>1900</v>
      </c>
      <c r="N13" t="s">
        <v>1307</v>
      </c>
      <c r="O13" t="s">
        <v>267</v>
      </c>
      <c r="P13" t="s">
        <v>268</v>
      </c>
      <c r="Q13" t="s">
        <v>1308</v>
      </c>
      <c r="R13">
        <v>21</v>
      </c>
      <c r="S13">
        <v>31</v>
      </c>
      <c r="T13">
        <f t="shared" si="4"/>
        <v>102</v>
      </c>
      <c r="U13" t="str">
        <f t="shared" si="1"/>
        <v>2131102</v>
      </c>
      <c r="V13">
        <v>1</v>
      </c>
      <c r="W13" t="b">
        <v>1</v>
      </c>
      <c r="Y13" t="s">
        <v>955</v>
      </c>
      <c r="AB13" t="s">
        <v>298</v>
      </c>
      <c r="AC13" t="s">
        <v>960</v>
      </c>
      <c r="AS13">
        <f t="shared" si="2"/>
        <v>2</v>
      </c>
      <c r="AT13">
        <v>1</v>
      </c>
      <c r="AU13" t="str">
        <f t="shared" si="3"/>
        <v>LSA_VPU_VMIN_K_PREHVQK_TITO_VPU_NOM_LFM_1900_TILEREC1</v>
      </c>
      <c r="AV13" t="str">
        <f>$D15</f>
        <v>LSA_VPU_VMIN_K_PREHVQK_TITO_VPU_NOM_LFM_1900_TILE2</v>
      </c>
    </row>
    <row r="14" spans="1:56" x14ac:dyDescent="0.35">
      <c r="A14" s="11" t="s">
        <v>871</v>
      </c>
      <c r="B14" s="11" t="s">
        <v>72</v>
      </c>
      <c r="C14" s="11" t="str">
        <f>VLOOKUP(B14,templateLookup!A:B,2,0)</f>
        <v>RecoveryUpdate</v>
      </c>
      <c r="D14" s="11" t="str">
        <f t="shared" si="0"/>
        <v>LSA_VPU_VMIN_K_PREHVQK_TITO_VPU_NOM_LFM_1900_TILEREC1</v>
      </c>
      <c r="E14" t="s">
        <v>5</v>
      </c>
      <c r="F14" t="s">
        <v>25</v>
      </c>
      <c r="G14" t="s">
        <v>951</v>
      </c>
      <c r="H14" t="s">
        <v>253</v>
      </c>
      <c r="I14" t="s">
        <v>260</v>
      </c>
      <c r="J14" t="s">
        <v>25</v>
      </c>
      <c r="K14" t="s">
        <v>284</v>
      </c>
      <c r="L14" t="s">
        <v>285</v>
      </c>
      <c r="M14">
        <v>1900</v>
      </c>
      <c r="N14" t="s">
        <v>1309</v>
      </c>
      <c r="R14">
        <v>21</v>
      </c>
      <c r="S14">
        <v>31</v>
      </c>
      <c r="T14">
        <f t="shared" si="4"/>
        <v>103</v>
      </c>
      <c r="U14" t="str">
        <f t="shared" si="1"/>
        <v>2131103</v>
      </c>
      <c r="V14">
        <v>1</v>
      </c>
      <c r="W14" t="b">
        <v>1</v>
      </c>
      <c r="AC14" t="s">
        <v>960</v>
      </c>
      <c r="AR14" t="s">
        <v>1310</v>
      </c>
      <c r="AS14">
        <f t="shared" si="2"/>
        <v>2</v>
      </c>
      <c r="AT14">
        <v>1</v>
      </c>
      <c r="AU14" t="str">
        <f t="shared" si="3"/>
        <v>LSA_VPU_VMIN_K_PREHVQK_TITO_VPU_NOM_LFM_1900_TILE2</v>
      </c>
      <c r="AV14" t="str">
        <f>$D15</f>
        <v>LSA_VPU_VMIN_K_PREHVQK_TITO_VPU_NOM_LFM_1900_TILE2</v>
      </c>
    </row>
    <row r="15" spans="1:56" x14ac:dyDescent="0.35">
      <c r="A15" s="11" t="s">
        <v>871</v>
      </c>
      <c r="B15" s="11" t="s">
        <v>65</v>
      </c>
      <c r="C15" s="11" t="str">
        <f>VLOOKUP(B15,templateLookup!A:B,2,0)</f>
        <v>PrimeVminSearchTestMethod</v>
      </c>
      <c r="D15" s="11" t="str">
        <f t="shared" si="0"/>
        <v>LSA_VPU_VMIN_K_PREHVQK_TITO_VPU_NOM_LFM_1900_TILE2</v>
      </c>
      <c r="E15" t="s">
        <v>5</v>
      </c>
      <c r="F15" t="s">
        <v>25</v>
      </c>
      <c r="G15" t="s">
        <v>951</v>
      </c>
      <c r="H15" t="s">
        <v>253</v>
      </c>
      <c r="I15" t="s">
        <v>260</v>
      </c>
      <c r="J15" t="s">
        <v>25</v>
      </c>
      <c r="K15" t="s">
        <v>284</v>
      </c>
      <c r="L15" t="s">
        <v>285</v>
      </c>
      <c r="M15">
        <v>1900</v>
      </c>
      <c r="N15" t="s">
        <v>1311</v>
      </c>
      <c r="O15" t="s">
        <v>267</v>
      </c>
      <c r="P15" t="s">
        <v>268</v>
      </c>
      <c r="Q15" t="s">
        <v>1312</v>
      </c>
      <c r="R15">
        <v>21</v>
      </c>
      <c r="S15">
        <v>31</v>
      </c>
      <c r="T15">
        <f t="shared" si="4"/>
        <v>104</v>
      </c>
      <c r="U15" t="str">
        <f t="shared" si="1"/>
        <v>2131104</v>
      </c>
      <c r="V15">
        <v>1</v>
      </c>
      <c r="W15" t="b">
        <v>1</v>
      </c>
      <c r="Y15" t="s">
        <v>955</v>
      </c>
      <c r="AB15" t="s">
        <v>298</v>
      </c>
      <c r="AC15" t="s">
        <v>960</v>
      </c>
      <c r="AS15">
        <f t="shared" si="2"/>
        <v>2</v>
      </c>
      <c r="AT15">
        <v>1</v>
      </c>
      <c r="AU15" t="str">
        <f t="shared" si="3"/>
        <v>LSA_VPU_VMIN_K_PREHVQK_TITO_VPU_NOM_LFM_1900_TILEREC2</v>
      </c>
      <c r="AV15" t="str">
        <f>$D17</f>
        <v>LSA_VPU_VMIN_K_PREHVQK_TITO_VPU_NOM_LFM_1900_TILE3</v>
      </c>
    </row>
    <row r="16" spans="1:56" x14ac:dyDescent="0.35">
      <c r="A16" s="11" t="s">
        <v>871</v>
      </c>
      <c r="B16" s="11" t="s">
        <v>72</v>
      </c>
      <c r="C16" s="11" t="str">
        <f>VLOOKUP(B16,templateLookup!A:B,2,0)</f>
        <v>RecoveryUpdate</v>
      </c>
      <c r="D16" s="11" t="str">
        <f t="shared" si="0"/>
        <v>LSA_VPU_VMIN_K_PREHVQK_TITO_VPU_NOM_LFM_1900_TILEREC2</v>
      </c>
      <c r="E16" t="s">
        <v>5</v>
      </c>
      <c r="F16" t="s">
        <v>25</v>
      </c>
      <c r="G16" t="s">
        <v>951</v>
      </c>
      <c r="H16" t="s">
        <v>253</v>
      </c>
      <c r="I16" t="s">
        <v>260</v>
      </c>
      <c r="J16" t="s">
        <v>25</v>
      </c>
      <c r="K16" t="s">
        <v>284</v>
      </c>
      <c r="L16" t="s">
        <v>285</v>
      </c>
      <c r="M16">
        <v>1900</v>
      </c>
      <c r="N16" t="s">
        <v>1313</v>
      </c>
      <c r="R16">
        <v>21</v>
      </c>
      <c r="S16">
        <v>31</v>
      </c>
      <c r="T16">
        <f t="shared" si="4"/>
        <v>105</v>
      </c>
      <c r="U16" t="str">
        <f t="shared" si="1"/>
        <v>2131105</v>
      </c>
      <c r="V16">
        <v>1</v>
      </c>
      <c r="W16" t="b">
        <v>1</v>
      </c>
      <c r="AC16" t="s">
        <v>960</v>
      </c>
      <c r="AR16" t="s">
        <v>1314</v>
      </c>
      <c r="AS16">
        <f t="shared" si="2"/>
        <v>2</v>
      </c>
      <c r="AT16">
        <v>1</v>
      </c>
      <c r="AU16" t="str">
        <f t="shared" si="3"/>
        <v>LSA_VPU_VMIN_K_PREHVQK_TITO_VPU_NOM_LFM_1900_TILE3</v>
      </c>
      <c r="AV16" t="str">
        <f>$D17</f>
        <v>LSA_VPU_VMIN_K_PREHVQK_TITO_VPU_NOM_LFM_1900_TILE3</v>
      </c>
    </row>
    <row r="17" spans="1:48" x14ac:dyDescent="0.35">
      <c r="A17" s="11" t="s">
        <v>871</v>
      </c>
      <c r="B17" s="11" t="s">
        <v>65</v>
      </c>
      <c r="C17" s="11" t="str">
        <f>VLOOKUP(B17,templateLookup!A:B,2,0)</f>
        <v>PrimeVminSearchTestMethod</v>
      </c>
      <c r="D17" s="11" t="str">
        <f t="shared" si="0"/>
        <v>LSA_VPU_VMIN_K_PREHVQK_TITO_VPU_NOM_LFM_1900_TILE3</v>
      </c>
      <c r="E17" t="s">
        <v>5</v>
      </c>
      <c r="F17" t="s">
        <v>25</v>
      </c>
      <c r="G17" t="s">
        <v>951</v>
      </c>
      <c r="H17" t="s">
        <v>253</v>
      </c>
      <c r="I17" t="s">
        <v>260</v>
      </c>
      <c r="J17" t="s">
        <v>25</v>
      </c>
      <c r="K17" t="s">
        <v>284</v>
      </c>
      <c r="L17" t="s">
        <v>285</v>
      </c>
      <c r="M17">
        <v>1900</v>
      </c>
      <c r="N17" t="s">
        <v>1315</v>
      </c>
      <c r="O17" t="s">
        <v>267</v>
      </c>
      <c r="P17" t="s">
        <v>268</v>
      </c>
      <c r="Q17" t="s">
        <v>1316</v>
      </c>
      <c r="R17">
        <v>21</v>
      </c>
      <c r="S17">
        <v>31</v>
      </c>
      <c r="T17">
        <f t="shared" si="4"/>
        <v>106</v>
      </c>
      <c r="U17" t="str">
        <f t="shared" si="1"/>
        <v>2131106</v>
      </c>
      <c r="V17">
        <v>1</v>
      </c>
      <c r="W17" t="b">
        <v>1</v>
      </c>
      <c r="Y17" t="s">
        <v>955</v>
      </c>
      <c r="AB17" t="s">
        <v>298</v>
      </c>
      <c r="AC17" t="s">
        <v>960</v>
      </c>
      <c r="AS17">
        <f t="shared" si="2"/>
        <v>2</v>
      </c>
      <c r="AT17">
        <v>1</v>
      </c>
      <c r="AU17" t="str">
        <f t="shared" si="3"/>
        <v>LSA_VPU_VMIN_K_PREHVQK_TITO_VPU_NOM_LFM_1900_TILEREC3</v>
      </c>
      <c r="AV17" t="str">
        <f>$D19</f>
        <v>LSA_VPU_VMIN_K_PREHVQK_TITO_VPU_NOM_LFM_1900_TILE4</v>
      </c>
    </row>
    <row r="18" spans="1:48" x14ac:dyDescent="0.35">
      <c r="A18" s="11" t="s">
        <v>871</v>
      </c>
      <c r="B18" s="11" t="s">
        <v>72</v>
      </c>
      <c r="C18" s="11" t="str">
        <f>VLOOKUP(B18,templateLookup!A:B,2,0)</f>
        <v>RecoveryUpdate</v>
      </c>
      <c r="D18" s="11" t="str">
        <f t="shared" si="0"/>
        <v>LSA_VPU_VMIN_K_PREHVQK_TITO_VPU_NOM_LFM_1900_TILEREC3</v>
      </c>
      <c r="E18" t="s">
        <v>5</v>
      </c>
      <c r="F18" t="s">
        <v>25</v>
      </c>
      <c r="G18" t="s">
        <v>951</v>
      </c>
      <c r="H18" t="s">
        <v>253</v>
      </c>
      <c r="I18" t="s">
        <v>260</v>
      </c>
      <c r="J18" t="s">
        <v>25</v>
      </c>
      <c r="K18" t="s">
        <v>284</v>
      </c>
      <c r="L18" t="s">
        <v>285</v>
      </c>
      <c r="M18">
        <v>1900</v>
      </c>
      <c r="N18" t="s">
        <v>1317</v>
      </c>
      <c r="R18">
        <v>21</v>
      </c>
      <c r="S18">
        <v>31</v>
      </c>
      <c r="T18">
        <f t="shared" si="4"/>
        <v>107</v>
      </c>
      <c r="U18" t="str">
        <f t="shared" si="1"/>
        <v>2131107</v>
      </c>
      <c r="V18">
        <v>1</v>
      </c>
      <c r="W18" t="b">
        <v>1</v>
      </c>
      <c r="AC18" t="s">
        <v>960</v>
      </c>
      <c r="AR18" t="s">
        <v>1318</v>
      </c>
      <c r="AS18">
        <f t="shared" si="2"/>
        <v>2</v>
      </c>
      <c r="AT18">
        <v>1</v>
      </c>
      <c r="AU18" t="str">
        <f t="shared" si="3"/>
        <v>LSA_VPU_VMIN_K_PREHVQK_TITO_VPU_NOM_LFM_1900_TILE4</v>
      </c>
      <c r="AV18" t="str">
        <f>$D19</f>
        <v>LSA_VPU_VMIN_K_PREHVQK_TITO_VPU_NOM_LFM_1900_TILE4</v>
      </c>
    </row>
    <row r="19" spans="1:48" x14ac:dyDescent="0.35">
      <c r="A19" s="11" t="s">
        <v>871</v>
      </c>
      <c r="B19" s="11" t="s">
        <v>65</v>
      </c>
      <c r="C19" s="11" t="str">
        <f>VLOOKUP(B19,templateLookup!A:B,2,0)</f>
        <v>PrimeVminSearchTestMethod</v>
      </c>
      <c r="D19" s="11" t="str">
        <f t="shared" si="0"/>
        <v>LSA_VPU_VMIN_K_PREHVQK_TITO_VPU_NOM_LFM_1900_TILE4</v>
      </c>
      <c r="E19" t="s">
        <v>5</v>
      </c>
      <c r="F19" t="s">
        <v>25</v>
      </c>
      <c r="G19" t="s">
        <v>951</v>
      </c>
      <c r="H19" t="s">
        <v>253</v>
      </c>
      <c r="I19" t="s">
        <v>260</v>
      </c>
      <c r="J19" t="s">
        <v>25</v>
      </c>
      <c r="K19" t="s">
        <v>284</v>
      </c>
      <c r="L19" t="s">
        <v>285</v>
      </c>
      <c r="M19">
        <v>1900</v>
      </c>
      <c r="N19" t="s">
        <v>1319</v>
      </c>
      <c r="O19" t="s">
        <v>267</v>
      </c>
      <c r="P19" t="s">
        <v>268</v>
      </c>
      <c r="Q19" t="s">
        <v>1320</v>
      </c>
      <c r="R19">
        <v>21</v>
      </c>
      <c r="S19">
        <v>31</v>
      </c>
      <c r="T19">
        <f t="shared" si="4"/>
        <v>108</v>
      </c>
      <c r="U19" t="str">
        <f t="shared" si="1"/>
        <v>2131108</v>
      </c>
      <c r="V19">
        <v>1</v>
      </c>
      <c r="W19" t="b">
        <v>1</v>
      </c>
      <c r="Y19" t="s">
        <v>955</v>
      </c>
      <c r="AB19" t="s">
        <v>298</v>
      </c>
      <c r="AC19" t="s">
        <v>960</v>
      </c>
      <c r="AS19">
        <f t="shared" si="2"/>
        <v>2</v>
      </c>
      <c r="AT19">
        <v>1</v>
      </c>
      <c r="AU19" t="str">
        <f t="shared" si="3"/>
        <v>LSA_VPU_VMIN_K_PREHVQK_TITO_VPU_NOM_LFM_1900_TILEREC4</v>
      </c>
      <c r="AV19" t="str">
        <f>$D21</f>
        <v>LSA_VPU_VMIN_K_PREHVQK_TITO_VPU_NOM_LFM_1900_TILE5</v>
      </c>
    </row>
    <row r="20" spans="1:48" x14ac:dyDescent="0.35">
      <c r="A20" s="11" t="s">
        <v>871</v>
      </c>
      <c r="B20" s="11" t="s">
        <v>72</v>
      </c>
      <c r="C20" s="11" t="str">
        <f>VLOOKUP(B20,templateLookup!A:B,2,0)</f>
        <v>RecoveryUpdate</v>
      </c>
      <c r="D20" s="11" t="str">
        <f t="shared" si="0"/>
        <v>LSA_VPU_VMIN_K_PREHVQK_TITO_VPU_NOM_LFM_1900_TILEREC4</v>
      </c>
      <c r="E20" t="s">
        <v>5</v>
      </c>
      <c r="F20" t="s">
        <v>25</v>
      </c>
      <c r="G20" t="s">
        <v>951</v>
      </c>
      <c r="H20" t="s">
        <v>253</v>
      </c>
      <c r="I20" t="s">
        <v>260</v>
      </c>
      <c r="J20" t="s">
        <v>25</v>
      </c>
      <c r="K20" t="s">
        <v>284</v>
      </c>
      <c r="L20" t="s">
        <v>285</v>
      </c>
      <c r="M20">
        <v>1900</v>
      </c>
      <c r="N20" t="s">
        <v>1321</v>
      </c>
      <c r="R20">
        <v>21</v>
      </c>
      <c r="S20">
        <v>31</v>
      </c>
      <c r="T20">
        <f t="shared" si="4"/>
        <v>109</v>
      </c>
      <c r="U20" t="str">
        <f t="shared" si="1"/>
        <v>2131109</v>
      </c>
      <c r="V20">
        <v>1</v>
      </c>
      <c r="W20" t="b">
        <v>1</v>
      </c>
      <c r="AC20" t="s">
        <v>960</v>
      </c>
      <c r="AR20" t="s">
        <v>1322</v>
      </c>
      <c r="AS20">
        <f t="shared" si="2"/>
        <v>2</v>
      </c>
      <c r="AT20">
        <v>1</v>
      </c>
      <c r="AU20" t="str">
        <f t="shared" si="3"/>
        <v>LSA_VPU_VMIN_K_PREHVQK_TITO_VPU_NOM_LFM_1900_TILE5</v>
      </c>
      <c r="AV20" t="str">
        <f>$D21</f>
        <v>LSA_VPU_VMIN_K_PREHVQK_TITO_VPU_NOM_LFM_1900_TILE5</v>
      </c>
    </row>
    <row r="21" spans="1:48" x14ac:dyDescent="0.35">
      <c r="A21" s="11" t="s">
        <v>871</v>
      </c>
      <c r="B21" s="11" t="s">
        <v>65</v>
      </c>
      <c r="C21" s="11" t="str">
        <f>VLOOKUP(B21,templateLookup!A:B,2,0)</f>
        <v>PrimeVminSearchTestMethod</v>
      </c>
      <c r="D21" s="11" t="str">
        <f t="shared" si="0"/>
        <v>LSA_VPU_VMIN_K_PREHVQK_TITO_VPU_NOM_LFM_1900_TILE5</v>
      </c>
      <c r="E21" t="s">
        <v>5</v>
      </c>
      <c r="F21" t="s">
        <v>25</v>
      </c>
      <c r="G21" t="s">
        <v>951</v>
      </c>
      <c r="H21" t="s">
        <v>253</v>
      </c>
      <c r="I21" t="s">
        <v>260</v>
      </c>
      <c r="J21" t="s">
        <v>25</v>
      </c>
      <c r="K21" t="s">
        <v>284</v>
      </c>
      <c r="L21" t="s">
        <v>285</v>
      </c>
      <c r="M21">
        <v>1900</v>
      </c>
      <c r="N21" t="s">
        <v>1323</v>
      </c>
      <c r="O21" t="s">
        <v>267</v>
      </c>
      <c r="P21" t="s">
        <v>268</v>
      </c>
      <c r="Q21" t="s">
        <v>1324</v>
      </c>
      <c r="R21">
        <v>21</v>
      </c>
      <c r="S21">
        <v>31</v>
      </c>
      <c r="T21">
        <f t="shared" si="4"/>
        <v>110</v>
      </c>
      <c r="U21" t="str">
        <f t="shared" si="1"/>
        <v>2131110</v>
      </c>
      <c r="V21">
        <v>1</v>
      </c>
      <c r="W21" t="b">
        <v>1</v>
      </c>
      <c r="Y21" t="s">
        <v>955</v>
      </c>
      <c r="AB21" t="s">
        <v>298</v>
      </c>
      <c r="AC21" t="s">
        <v>960</v>
      </c>
      <c r="AS21">
        <f t="shared" si="2"/>
        <v>2</v>
      </c>
      <c r="AT21">
        <v>1</v>
      </c>
      <c r="AU21" t="str">
        <f t="shared" si="3"/>
        <v>LSA_VPU_VMIN_K_PREHVQK_TITO_VPU_NOM_LFM_1900_TILEREC5</v>
      </c>
      <c r="AV21">
        <v>1</v>
      </c>
    </row>
    <row r="22" spans="1:48" x14ac:dyDescent="0.35">
      <c r="A22" s="11" t="s">
        <v>871</v>
      </c>
      <c r="B22" s="11" t="s">
        <v>72</v>
      </c>
      <c r="C22" s="11" t="str">
        <f>VLOOKUP(B22,templateLookup!A:B,2,0)</f>
        <v>RecoveryUpdate</v>
      </c>
      <c r="D22" s="11" t="str">
        <f t="shared" si="0"/>
        <v>LSA_VPU_VMIN_K_PREHVQK_TITO_VPU_NOM_LFM_1900_TILEREC5</v>
      </c>
      <c r="E22" t="s">
        <v>5</v>
      </c>
      <c r="F22" t="s">
        <v>25</v>
      </c>
      <c r="G22" t="s">
        <v>951</v>
      </c>
      <c r="H22" t="s">
        <v>253</v>
      </c>
      <c r="I22" t="s">
        <v>260</v>
      </c>
      <c r="J22" t="s">
        <v>25</v>
      </c>
      <c r="K22" t="s">
        <v>284</v>
      </c>
      <c r="L22" t="s">
        <v>285</v>
      </c>
      <c r="M22">
        <v>1900</v>
      </c>
      <c r="N22" t="s">
        <v>1325</v>
      </c>
      <c r="R22">
        <v>21</v>
      </c>
      <c r="S22">
        <v>31</v>
      </c>
      <c r="T22">
        <f t="shared" si="4"/>
        <v>111</v>
      </c>
      <c r="U22" t="str">
        <f t="shared" si="1"/>
        <v>2131111</v>
      </c>
      <c r="V22">
        <v>1</v>
      </c>
      <c r="W22" t="b">
        <v>1</v>
      </c>
      <c r="AC22" t="s">
        <v>960</v>
      </c>
      <c r="AR22" t="s">
        <v>1326</v>
      </c>
      <c r="AS22">
        <f t="shared" si="2"/>
        <v>2</v>
      </c>
      <c r="AT22">
        <v>1</v>
      </c>
      <c r="AU22">
        <v>1</v>
      </c>
      <c r="AV22">
        <v>1</v>
      </c>
    </row>
    <row r="23" spans="1:48" x14ac:dyDescent="0.35">
      <c r="A23" s="5" t="s">
        <v>871</v>
      </c>
      <c r="B23" s="5" t="s">
        <v>50</v>
      </c>
      <c r="C23" s="5" t="str">
        <f>VLOOKUP(B23,templateLookup!A:B,2,0)</f>
        <v>COMPOSITE</v>
      </c>
      <c r="D23" s="6"/>
    </row>
    <row r="24" spans="1:48" x14ac:dyDescent="0.35">
      <c r="A24" s="5" t="s">
        <v>871</v>
      </c>
      <c r="B24" s="5" t="s">
        <v>49</v>
      </c>
      <c r="C24" s="5" t="str">
        <f>VLOOKUP(B24,templateLookup!A:B,2,0)</f>
        <v>COMPOSITE</v>
      </c>
      <c r="D24" s="5" t="s">
        <v>1327</v>
      </c>
      <c r="E24" s="5"/>
      <c r="F24" s="5" t="s">
        <v>25</v>
      </c>
      <c r="AS24">
        <v>2</v>
      </c>
      <c r="AT24">
        <v>1</v>
      </c>
      <c r="AU24">
        <v>1</v>
      </c>
      <c r="AV24">
        <v>1</v>
      </c>
    </row>
    <row r="25" spans="1:48" x14ac:dyDescent="0.35">
      <c r="A25" s="11" t="s">
        <v>871</v>
      </c>
      <c r="B25" s="11" t="s">
        <v>65</v>
      </c>
      <c r="C25" s="11" t="str">
        <f>VLOOKUP(B25,templateLookup!A:B,2,0)</f>
        <v>PrimeVminSearchTestMethod</v>
      </c>
      <c r="D25" s="11" t="str">
        <f t="shared" ref="D25:D36" si="5">E25&amp;"_"&amp;F25&amp;"_"&amp;G25&amp;"_"&amp;H25&amp;"_"&amp;A25&amp;"_"&amp;I25&amp;"_"&amp;J25&amp;"_"&amp;K25&amp;"_"&amp;L25&amp;"_"&amp;M25&amp;"_"&amp;N25</f>
        <v>SSA_VPU_VMIN_K_PREHVQK_TITO_VPU_NOM_LFM_1900_TILE0</v>
      </c>
      <c r="E25" t="s">
        <v>4</v>
      </c>
      <c r="F25" t="s">
        <v>25</v>
      </c>
      <c r="G25" t="s">
        <v>951</v>
      </c>
      <c r="H25" t="s">
        <v>253</v>
      </c>
      <c r="I25" t="s">
        <v>260</v>
      </c>
      <c r="J25" t="s">
        <v>25</v>
      </c>
      <c r="K25" t="s">
        <v>284</v>
      </c>
      <c r="L25" t="s">
        <v>285</v>
      </c>
      <c r="M25">
        <v>1900</v>
      </c>
      <c r="N25" t="s">
        <v>1303</v>
      </c>
      <c r="O25" t="s">
        <v>267</v>
      </c>
      <c r="P25" t="s">
        <v>268</v>
      </c>
      <c r="Q25" t="s">
        <v>1328</v>
      </c>
      <c r="R25">
        <v>61</v>
      </c>
      <c r="S25">
        <v>31</v>
      </c>
      <c r="T25">
        <v>200</v>
      </c>
      <c r="U25" t="str">
        <f t="shared" ref="U25:U36" si="6">R25&amp;S25&amp;T25</f>
        <v>6131200</v>
      </c>
      <c r="V25">
        <v>1</v>
      </c>
      <c r="W25" t="b">
        <v>1</v>
      </c>
      <c r="Y25" t="s">
        <v>955</v>
      </c>
      <c r="AB25" t="s">
        <v>298</v>
      </c>
      <c r="AC25" t="s">
        <v>960</v>
      </c>
      <c r="AS25">
        <f t="shared" ref="AS25:AS36" si="7">COUNTA(AU25:BD25)</f>
        <v>2</v>
      </c>
      <c r="AT25">
        <v>1</v>
      </c>
      <c r="AU25" t="str">
        <f t="shared" ref="AU25:AU35" si="8">$D26</f>
        <v>SSA_VPU_VMIN_K_PREHVQK_TITO_VPU_NOM_LFM_1900_TILEREC0</v>
      </c>
      <c r="AV25" t="str">
        <f>$D27</f>
        <v>SSA_VPU_VMIN_K_PREHVQK_TITO_VPU_NOM_LFM_1900_TILE1</v>
      </c>
    </row>
    <row r="26" spans="1:48" x14ac:dyDescent="0.35">
      <c r="A26" s="11" t="s">
        <v>871</v>
      </c>
      <c r="B26" s="11" t="s">
        <v>72</v>
      </c>
      <c r="C26" s="11" t="str">
        <f>VLOOKUP(B26,templateLookup!A:B,2,0)</f>
        <v>RecoveryUpdate</v>
      </c>
      <c r="D26" s="11" t="str">
        <f t="shared" si="5"/>
        <v>SSA_VPU_VMIN_K_PREHVQK_TITO_VPU_NOM_LFM_1900_TILEREC0</v>
      </c>
      <c r="E26" t="s">
        <v>4</v>
      </c>
      <c r="F26" t="s">
        <v>25</v>
      </c>
      <c r="G26" t="s">
        <v>951</v>
      </c>
      <c r="H26" t="s">
        <v>253</v>
      </c>
      <c r="I26" t="s">
        <v>260</v>
      </c>
      <c r="J26" t="s">
        <v>25</v>
      </c>
      <c r="K26" t="s">
        <v>284</v>
      </c>
      <c r="L26" t="s">
        <v>285</v>
      </c>
      <c r="M26">
        <v>1900</v>
      </c>
      <c r="N26" t="s">
        <v>1305</v>
      </c>
      <c r="R26">
        <v>61</v>
      </c>
      <c r="S26">
        <v>31</v>
      </c>
      <c r="T26">
        <f t="shared" ref="T26:T36" si="9">T25+1</f>
        <v>201</v>
      </c>
      <c r="U26" t="str">
        <f t="shared" si="6"/>
        <v>6131201</v>
      </c>
      <c r="V26">
        <v>1</v>
      </c>
      <c r="W26" t="b">
        <v>1</v>
      </c>
      <c r="AC26" t="s">
        <v>960</v>
      </c>
      <c r="AR26" t="s">
        <v>1306</v>
      </c>
      <c r="AS26">
        <f t="shared" si="7"/>
        <v>2</v>
      </c>
      <c r="AT26">
        <v>1</v>
      </c>
      <c r="AU26" t="str">
        <f t="shared" si="8"/>
        <v>SSA_VPU_VMIN_K_PREHVQK_TITO_VPU_NOM_LFM_1900_TILE1</v>
      </c>
      <c r="AV26" t="str">
        <f>$D27</f>
        <v>SSA_VPU_VMIN_K_PREHVQK_TITO_VPU_NOM_LFM_1900_TILE1</v>
      </c>
    </row>
    <row r="27" spans="1:48" x14ac:dyDescent="0.35">
      <c r="A27" s="11" t="s">
        <v>871</v>
      </c>
      <c r="B27" s="11" t="s">
        <v>65</v>
      </c>
      <c r="C27" s="11" t="str">
        <f>VLOOKUP(B27,templateLookup!A:B,2,0)</f>
        <v>PrimeVminSearchTestMethod</v>
      </c>
      <c r="D27" s="11" t="str">
        <f t="shared" si="5"/>
        <v>SSA_VPU_VMIN_K_PREHVQK_TITO_VPU_NOM_LFM_1900_TILE1</v>
      </c>
      <c r="E27" t="s">
        <v>4</v>
      </c>
      <c r="F27" t="s">
        <v>25</v>
      </c>
      <c r="G27" t="s">
        <v>951</v>
      </c>
      <c r="H27" t="s">
        <v>253</v>
      </c>
      <c r="I27" t="s">
        <v>260</v>
      </c>
      <c r="J27" t="s">
        <v>25</v>
      </c>
      <c r="K27" t="s">
        <v>284</v>
      </c>
      <c r="L27" t="s">
        <v>285</v>
      </c>
      <c r="M27">
        <v>1900</v>
      </c>
      <c r="N27" t="s">
        <v>1307</v>
      </c>
      <c r="O27" t="s">
        <v>267</v>
      </c>
      <c r="P27" t="s">
        <v>268</v>
      </c>
      <c r="Q27" t="s">
        <v>1329</v>
      </c>
      <c r="R27">
        <v>61</v>
      </c>
      <c r="S27">
        <v>31</v>
      </c>
      <c r="T27">
        <f t="shared" si="9"/>
        <v>202</v>
      </c>
      <c r="U27" t="str">
        <f t="shared" si="6"/>
        <v>6131202</v>
      </c>
      <c r="V27">
        <v>1</v>
      </c>
      <c r="W27" t="b">
        <v>1</v>
      </c>
      <c r="Y27" t="s">
        <v>955</v>
      </c>
      <c r="AB27" t="s">
        <v>298</v>
      </c>
      <c r="AC27" t="s">
        <v>960</v>
      </c>
      <c r="AS27">
        <f t="shared" si="7"/>
        <v>2</v>
      </c>
      <c r="AT27">
        <v>1</v>
      </c>
      <c r="AU27" t="str">
        <f t="shared" si="8"/>
        <v>SSA_VPU_VMIN_K_PREHVQK_TITO_VPU_NOM_LFM_1900_TILEREC1</v>
      </c>
      <c r="AV27" t="str">
        <f>$D29</f>
        <v>SSA_VPU_VMIN_K_PREHVQK_TITO_VPU_NOM_LFM_1900_TILE2</v>
      </c>
    </row>
    <row r="28" spans="1:48" x14ac:dyDescent="0.35">
      <c r="A28" s="11" t="s">
        <v>871</v>
      </c>
      <c r="B28" s="11" t="s">
        <v>72</v>
      </c>
      <c r="C28" s="11" t="str">
        <f>VLOOKUP(B28,templateLookup!A:B,2,0)</f>
        <v>RecoveryUpdate</v>
      </c>
      <c r="D28" s="11" t="str">
        <f t="shared" si="5"/>
        <v>SSA_VPU_VMIN_K_PREHVQK_TITO_VPU_NOM_LFM_1900_TILEREC1</v>
      </c>
      <c r="E28" t="s">
        <v>4</v>
      </c>
      <c r="F28" t="s">
        <v>25</v>
      </c>
      <c r="G28" t="s">
        <v>951</v>
      </c>
      <c r="H28" t="s">
        <v>253</v>
      </c>
      <c r="I28" t="s">
        <v>260</v>
      </c>
      <c r="J28" t="s">
        <v>25</v>
      </c>
      <c r="K28" t="s">
        <v>284</v>
      </c>
      <c r="L28" t="s">
        <v>285</v>
      </c>
      <c r="M28">
        <v>1900</v>
      </c>
      <c r="N28" t="s">
        <v>1309</v>
      </c>
      <c r="R28">
        <v>61</v>
      </c>
      <c r="S28">
        <v>31</v>
      </c>
      <c r="T28">
        <f t="shared" si="9"/>
        <v>203</v>
      </c>
      <c r="U28" t="str">
        <f t="shared" si="6"/>
        <v>6131203</v>
      </c>
      <c r="V28">
        <v>1</v>
      </c>
      <c r="W28" t="b">
        <v>1</v>
      </c>
      <c r="AC28" t="s">
        <v>960</v>
      </c>
      <c r="AR28" t="s">
        <v>1310</v>
      </c>
      <c r="AS28">
        <f t="shared" si="7"/>
        <v>2</v>
      </c>
      <c r="AT28">
        <v>1</v>
      </c>
      <c r="AU28" t="str">
        <f t="shared" si="8"/>
        <v>SSA_VPU_VMIN_K_PREHVQK_TITO_VPU_NOM_LFM_1900_TILE2</v>
      </c>
      <c r="AV28" t="str">
        <f>$D29</f>
        <v>SSA_VPU_VMIN_K_PREHVQK_TITO_VPU_NOM_LFM_1900_TILE2</v>
      </c>
    </row>
    <row r="29" spans="1:48" x14ac:dyDescent="0.35">
      <c r="A29" s="11" t="s">
        <v>871</v>
      </c>
      <c r="B29" s="11" t="s">
        <v>65</v>
      </c>
      <c r="C29" s="11" t="str">
        <f>VLOOKUP(B29,templateLookup!A:B,2,0)</f>
        <v>PrimeVminSearchTestMethod</v>
      </c>
      <c r="D29" s="11" t="str">
        <f t="shared" si="5"/>
        <v>SSA_VPU_VMIN_K_PREHVQK_TITO_VPU_NOM_LFM_1900_TILE2</v>
      </c>
      <c r="E29" t="s">
        <v>4</v>
      </c>
      <c r="F29" t="s">
        <v>25</v>
      </c>
      <c r="G29" t="s">
        <v>951</v>
      </c>
      <c r="H29" t="s">
        <v>253</v>
      </c>
      <c r="I29" t="s">
        <v>260</v>
      </c>
      <c r="J29" t="s">
        <v>25</v>
      </c>
      <c r="K29" t="s">
        <v>284</v>
      </c>
      <c r="L29" t="s">
        <v>285</v>
      </c>
      <c r="M29">
        <v>1900</v>
      </c>
      <c r="N29" t="s">
        <v>1311</v>
      </c>
      <c r="O29" t="s">
        <v>267</v>
      </c>
      <c r="P29" t="s">
        <v>268</v>
      </c>
      <c r="Q29" t="s">
        <v>1330</v>
      </c>
      <c r="R29">
        <v>61</v>
      </c>
      <c r="S29">
        <v>31</v>
      </c>
      <c r="T29">
        <f t="shared" si="9"/>
        <v>204</v>
      </c>
      <c r="U29" t="str">
        <f t="shared" si="6"/>
        <v>6131204</v>
      </c>
      <c r="V29">
        <v>1</v>
      </c>
      <c r="W29" t="b">
        <v>1</v>
      </c>
      <c r="Y29" t="s">
        <v>955</v>
      </c>
      <c r="AB29" t="s">
        <v>298</v>
      </c>
      <c r="AC29" t="s">
        <v>960</v>
      </c>
      <c r="AS29">
        <f t="shared" si="7"/>
        <v>2</v>
      </c>
      <c r="AT29">
        <v>1</v>
      </c>
      <c r="AU29" t="str">
        <f t="shared" si="8"/>
        <v>SSA_VPU_VMIN_K_PREHVQK_TITO_VPU_NOM_LFM_1900_TILEREC2</v>
      </c>
      <c r="AV29" t="str">
        <f>$D31</f>
        <v>SSA_VPU_VMIN_K_PREHVQK_TITO_VPU_NOM_LFM_1900_TILE3</v>
      </c>
    </row>
    <row r="30" spans="1:48" x14ac:dyDescent="0.35">
      <c r="A30" s="11" t="s">
        <v>871</v>
      </c>
      <c r="B30" s="11" t="s">
        <v>72</v>
      </c>
      <c r="C30" s="11" t="str">
        <f>VLOOKUP(B30,templateLookup!A:B,2,0)</f>
        <v>RecoveryUpdate</v>
      </c>
      <c r="D30" s="11" t="str">
        <f t="shared" si="5"/>
        <v>SSA_VPU_VMIN_K_PREHVQK_TITO_VPU_NOM_LFM_1900_TILEREC2</v>
      </c>
      <c r="E30" t="s">
        <v>4</v>
      </c>
      <c r="F30" t="s">
        <v>25</v>
      </c>
      <c r="G30" t="s">
        <v>951</v>
      </c>
      <c r="H30" t="s">
        <v>253</v>
      </c>
      <c r="I30" t="s">
        <v>260</v>
      </c>
      <c r="J30" t="s">
        <v>25</v>
      </c>
      <c r="K30" t="s">
        <v>284</v>
      </c>
      <c r="L30" t="s">
        <v>285</v>
      </c>
      <c r="M30">
        <v>1900</v>
      </c>
      <c r="N30" t="s">
        <v>1313</v>
      </c>
      <c r="R30">
        <v>61</v>
      </c>
      <c r="S30">
        <v>31</v>
      </c>
      <c r="T30">
        <f t="shared" si="9"/>
        <v>205</v>
      </c>
      <c r="U30" t="str">
        <f t="shared" si="6"/>
        <v>6131205</v>
      </c>
      <c r="V30">
        <v>1</v>
      </c>
      <c r="W30" t="b">
        <v>1</v>
      </c>
      <c r="AC30" t="s">
        <v>960</v>
      </c>
      <c r="AR30" t="s">
        <v>1314</v>
      </c>
      <c r="AS30">
        <f t="shared" si="7"/>
        <v>2</v>
      </c>
      <c r="AT30">
        <v>1</v>
      </c>
      <c r="AU30" t="str">
        <f t="shared" si="8"/>
        <v>SSA_VPU_VMIN_K_PREHVQK_TITO_VPU_NOM_LFM_1900_TILE3</v>
      </c>
      <c r="AV30" t="str">
        <f>$D31</f>
        <v>SSA_VPU_VMIN_K_PREHVQK_TITO_VPU_NOM_LFM_1900_TILE3</v>
      </c>
    </row>
    <row r="31" spans="1:48" x14ac:dyDescent="0.35">
      <c r="A31" s="11" t="s">
        <v>871</v>
      </c>
      <c r="B31" s="11" t="s">
        <v>65</v>
      </c>
      <c r="C31" s="11" t="str">
        <f>VLOOKUP(B31,templateLookup!A:B,2,0)</f>
        <v>PrimeVminSearchTestMethod</v>
      </c>
      <c r="D31" s="11" t="str">
        <f t="shared" si="5"/>
        <v>SSA_VPU_VMIN_K_PREHVQK_TITO_VPU_NOM_LFM_1900_TILE3</v>
      </c>
      <c r="E31" t="s">
        <v>4</v>
      </c>
      <c r="F31" t="s">
        <v>25</v>
      </c>
      <c r="G31" t="s">
        <v>951</v>
      </c>
      <c r="H31" t="s">
        <v>253</v>
      </c>
      <c r="I31" t="s">
        <v>260</v>
      </c>
      <c r="J31" t="s">
        <v>25</v>
      </c>
      <c r="K31" t="s">
        <v>284</v>
      </c>
      <c r="L31" t="s">
        <v>285</v>
      </c>
      <c r="M31">
        <v>1900</v>
      </c>
      <c r="N31" t="s">
        <v>1315</v>
      </c>
      <c r="O31" t="s">
        <v>267</v>
      </c>
      <c r="P31" t="s">
        <v>268</v>
      </c>
      <c r="Q31" t="s">
        <v>1331</v>
      </c>
      <c r="R31">
        <v>61</v>
      </c>
      <c r="S31">
        <v>31</v>
      </c>
      <c r="T31">
        <f t="shared" si="9"/>
        <v>206</v>
      </c>
      <c r="U31" t="str">
        <f t="shared" si="6"/>
        <v>6131206</v>
      </c>
      <c r="V31">
        <v>1</v>
      </c>
      <c r="W31" t="b">
        <v>1</v>
      </c>
      <c r="Y31" t="s">
        <v>955</v>
      </c>
      <c r="AB31" t="s">
        <v>298</v>
      </c>
      <c r="AC31" t="s">
        <v>960</v>
      </c>
      <c r="AS31">
        <f t="shared" si="7"/>
        <v>2</v>
      </c>
      <c r="AT31">
        <v>1</v>
      </c>
      <c r="AU31" t="str">
        <f t="shared" si="8"/>
        <v>SSA_VPU_VMIN_K_PREHVQK_TITO_VPU_NOM_LFM_1900_TILEREC3</v>
      </c>
      <c r="AV31" t="str">
        <f>$D33</f>
        <v>SSA_VPU_VMIN_K_PREHVQK_TITO_VPU_NOM_LFM_1900_TILE4</v>
      </c>
    </row>
    <row r="32" spans="1:48" x14ac:dyDescent="0.35">
      <c r="A32" s="11" t="s">
        <v>871</v>
      </c>
      <c r="B32" s="11" t="s">
        <v>72</v>
      </c>
      <c r="C32" s="11" t="str">
        <f>VLOOKUP(B32,templateLookup!A:B,2,0)</f>
        <v>RecoveryUpdate</v>
      </c>
      <c r="D32" s="11" t="str">
        <f t="shared" si="5"/>
        <v>SSA_VPU_VMIN_K_PREHVQK_TITO_VPU_NOM_LFM_1900_TILEREC3</v>
      </c>
      <c r="E32" t="s">
        <v>4</v>
      </c>
      <c r="F32" t="s">
        <v>25</v>
      </c>
      <c r="G32" t="s">
        <v>951</v>
      </c>
      <c r="H32" t="s">
        <v>253</v>
      </c>
      <c r="I32" t="s">
        <v>260</v>
      </c>
      <c r="J32" t="s">
        <v>25</v>
      </c>
      <c r="K32" t="s">
        <v>284</v>
      </c>
      <c r="L32" t="s">
        <v>285</v>
      </c>
      <c r="M32">
        <v>1900</v>
      </c>
      <c r="N32" t="s">
        <v>1317</v>
      </c>
      <c r="R32">
        <v>61</v>
      </c>
      <c r="S32">
        <v>31</v>
      </c>
      <c r="T32">
        <f t="shared" si="9"/>
        <v>207</v>
      </c>
      <c r="U32" t="str">
        <f t="shared" si="6"/>
        <v>6131207</v>
      </c>
      <c r="V32">
        <v>1</v>
      </c>
      <c r="W32" t="b">
        <v>1</v>
      </c>
      <c r="AC32" t="s">
        <v>960</v>
      </c>
      <c r="AR32" t="s">
        <v>1318</v>
      </c>
      <c r="AS32">
        <f t="shared" si="7"/>
        <v>2</v>
      </c>
      <c r="AT32">
        <v>1</v>
      </c>
      <c r="AU32" t="str">
        <f t="shared" si="8"/>
        <v>SSA_VPU_VMIN_K_PREHVQK_TITO_VPU_NOM_LFM_1900_TILE4</v>
      </c>
      <c r="AV32" t="str">
        <f>$D33</f>
        <v>SSA_VPU_VMIN_K_PREHVQK_TITO_VPU_NOM_LFM_1900_TILE4</v>
      </c>
    </row>
    <row r="33" spans="1:100" x14ac:dyDescent="0.35">
      <c r="A33" s="11" t="s">
        <v>871</v>
      </c>
      <c r="B33" s="11" t="s">
        <v>65</v>
      </c>
      <c r="C33" s="11" t="str">
        <f>VLOOKUP(B33,templateLookup!A:B,2,0)</f>
        <v>PrimeVminSearchTestMethod</v>
      </c>
      <c r="D33" s="11" t="str">
        <f t="shared" si="5"/>
        <v>SSA_VPU_VMIN_K_PREHVQK_TITO_VPU_NOM_LFM_1900_TILE4</v>
      </c>
      <c r="E33" t="s">
        <v>4</v>
      </c>
      <c r="F33" t="s">
        <v>25</v>
      </c>
      <c r="G33" t="s">
        <v>951</v>
      </c>
      <c r="H33" t="s">
        <v>253</v>
      </c>
      <c r="I33" t="s">
        <v>260</v>
      </c>
      <c r="J33" t="s">
        <v>25</v>
      </c>
      <c r="K33" t="s">
        <v>284</v>
      </c>
      <c r="L33" t="s">
        <v>285</v>
      </c>
      <c r="M33">
        <v>1900</v>
      </c>
      <c r="N33" t="s">
        <v>1319</v>
      </c>
      <c r="O33" t="s">
        <v>267</v>
      </c>
      <c r="P33" t="s">
        <v>268</v>
      </c>
      <c r="Q33" t="s">
        <v>1332</v>
      </c>
      <c r="R33">
        <v>61</v>
      </c>
      <c r="S33">
        <v>31</v>
      </c>
      <c r="T33">
        <f t="shared" si="9"/>
        <v>208</v>
      </c>
      <c r="U33" t="str">
        <f t="shared" si="6"/>
        <v>6131208</v>
      </c>
      <c r="V33">
        <v>1</v>
      </c>
      <c r="W33" t="b">
        <v>1</v>
      </c>
      <c r="Y33" t="s">
        <v>955</v>
      </c>
      <c r="AB33" t="s">
        <v>298</v>
      </c>
      <c r="AC33" t="s">
        <v>960</v>
      </c>
      <c r="AS33">
        <f t="shared" si="7"/>
        <v>2</v>
      </c>
      <c r="AT33">
        <v>1</v>
      </c>
      <c r="AU33" t="str">
        <f t="shared" si="8"/>
        <v>SSA_VPU_VMIN_K_PREHVQK_TITO_VPU_NOM_LFM_1900_TILEREC4</v>
      </c>
      <c r="AV33" t="str">
        <f>$D35</f>
        <v>SSA_VPU_VMIN_K_PREHVQK_TITO_VPU_NOM_LFM_1900_TILE5</v>
      </c>
    </row>
    <row r="34" spans="1:100" x14ac:dyDescent="0.35">
      <c r="A34" s="11" t="s">
        <v>871</v>
      </c>
      <c r="B34" s="11" t="s">
        <v>72</v>
      </c>
      <c r="C34" s="11" t="str">
        <f>VLOOKUP(B34,templateLookup!A:B,2,0)</f>
        <v>RecoveryUpdate</v>
      </c>
      <c r="D34" s="11" t="str">
        <f t="shared" si="5"/>
        <v>SSA_VPU_VMIN_K_PREHVQK_TITO_VPU_NOM_LFM_1900_TILEREC4</v>
      </c>
      <c r="E34" t="s">
        <v>4</v>
      </c>
      <c r="F34" t="s">
        <v>25</v>
      </c>
      <c r="G34" t="s">
        <v>951</v>
      </c>
      <c r="H34" t="s">
        <v>253</v>
      </c>
      <c r="I34" t="s">
        <v>260</v>
      </c>
      <c r="J34" t="s">
        <v>25</v>
      </c>
      <c r="K34" t="s">
        <v>284</v>
      </c>
      <c r="L34" t="s">
        <v>285</v>
      </c>
      <c r="M34">
        <v>1900</v>
      </c>
      <c r="N34" t="s">
        <v>1321</v>
      </c>
      <c r="R34">
        <v>61</v>
      </c>
      <c r="S34">
        <v>31</v>
      </c>
      <c r="T34">
        <f t="shared" si="9"/>
        <v>209</v>
      </c>
      <c r="U34" t="str">
        <f t="shared" si="6"/>
        <v>6131209</v>
      </c>
      <c r="V34">
        <v>1</v>
      </c>
      <c r="W34" t="b">
        <v>1</v>
      </c>
      <c r="AC34" t="s">
        <v>960</v>
      </c>
      <c r="AR34" t="s">
        <v>1322</v>
      </c>
      <c r="AS34">
        <f t="shared" si="7"/>
        <v>2</v>
      </c>
      <c r="AT34">
        <v>1</v>
      </c>
      <c r="AU34" t="str">
        <f t="shared" si="8"/>
        <v>SSA_VPU_VMIN_K_PREHVQK_TITO_VPU_NOM_LFM_1900_TILE5</v>
      </c>
      <c r="AV34" t="str">
        <f>$D35</f>
        <v>SSA_VPU_VMIN_K_PREHVQK_TITO_VPU_NOM_LFM_1900_TILE5</v>
      </c>
    </row>
    <row r="35" spans="1:100" x14ac:dyDescent="0.35">
      <c r="A35" s="11" t="s">
        <v>871</v>
      </c>
      <c r="B35" s="11" t="s">
        <v>65</v>
      </c>
      <c r="C35" s="11" t="str">
        <f>VLOOKUP(B35,templateLookup!A:B,2,0)</f>
        <v>PrimeVminSearchTestMethod</v>
      </c>
      <c r="D35" s="11" t="str">
        <f t="shared" si="5"/>
        <v>SSA_VPU_VMIN_K_PREHVQK_TITO_VPU_NOM_LFM_1900_TILE5</v>
      </c>
      <c r="E35" t="s">
        <v>4</v>
      </c>
      <c r="F35" t="s">
        <v>25</v>
      </c>
      <c r="G35" t="s">
        <v>951</v>
      </c>
      <c r="H35" t="s">
        <v>253</v>
      </c>
      <c r="I35" t="s">
        <v>260</v>
      </c>
      <c r="J35" t="s">
        <v>25</v>
      </c>
      <c r="K35" t="s">
        <v>284</v>
      </c>
      <c r="L35" t="s">
        <v>285</v>
      </c>
      <c r="M35">
        <v>1900</v>
      </c>
      <c r="N35" t="s">
        <v>1323</v>
      </c>
      <c r="O35" t="s">
        <v>267</v>
      </c>
      <c r="P35" t="s">
        <v>268</v>
      </c>
      <c r="Q35" t="s">
        <v>1333</v>
      </c>
      <c r="R35">
        <v>61</v>
      </c>
      <c r="S35">
        <v>31</v>
      </c>
      <c r="T35">
        <f t="shared" si="9"/>
        <v>210</v>
      </c>
      <c r="U35" t="str">
        <f t="shared" si="6"/>
        <v>6131210</v>
      </c>
      <c r="V35">
        <v>1</v>
      </c>
      <c r="W35" t="b">
        <v>1</v>
      </c>
      <c r="Y35" t="s">
        <v>955</v>
      </c>
      <c r="AB35" t="s">
        <v>298</v>
      </c>
      <c r="AC35" t="s">
        <v>960</v>
      </c>
      <c r="AS35">
        <f t="shared" si="7"/>
        <v>2</v>
      </c>
      <c r="AT35">
        <v>1</v>
      </c>
      <c r="AU35" t="str">
        <f t="shared" si="8"/>
        <v>SSA_VPU_VMIN_K_PREHVQK_TITO_VPU_NOM_LFM_1900_TILEREC5</v>
      </c>
      <c r="AV35">
        <v>1</v>
      </c>
    </row>
    <row r="36" spans="1:100" x14ac:dyDescent="0.35">
      <c r="A36" s="11" t="s">
        <v>871</v>
      </c>
      <c r="B36" s="11" t="s">
        <v>72</v>
      </c>
      <c r="C36" s="11" t="str">
        <f>VLOOKUP(B36,templateLookup!A:B,2,0)</f>
        <v>RecoveryUpdate</v>
      </c>
      <c r="D36" s="11" t="str">
        <f t="shared" si="5"/>
        <v>SSA_VPU_VMIN_K_PREHVQK_TITO_VPU_NOM_LFM_1900_TILEREC5</v>
      </c>
      <c r="E36" t="s">
        <v>4</v>
      </c>
      <c r="F36" t="s">
        <v>25</v>
      </c>
      <c r="G36" t="s">
        <v>951</v>
      </c>
      <c r="H36" t="s">
        <v>253</v>
      </c>
      <c r="I36" t="s">
        <v>260</v>
      </c>
      <c r="J36" t="s">
        <v>25</v>
      </c>
      <c r="K36" t="s">
        <v>284</v>
      </c>
      <c r="L36" t="s">
        <v>285</v>
      </c>
      <c r="M36">
        <v>1900</v>
      </c>
      <c r="N36" t="s">
        <v>1325</v>
      </c>
      <c r="R36">
        <v>61</v>
      </c>
      <c r="S36">
        <v>31</v>
      </c>
      <c r="T36">
        <f t="shared" si="9"/>
        <v>211</v>
      </c>
      <c r="U36" t="str">
        <f t="shared" si="6"/>
        <v>6131211</v>
      </c>
      <c r="V36">
        <v>1</v>
      </c>
      <c r="W36" t="b">
        <v>1</v>
      </c>
      <c r="AC36" t="s">
        <v>960</v>
      </c>
      <c r="AR36" t="s">
        <v>1326</v>
      </c>
      <c r="AS36">
        <f t="shared" si="7"/>
        <v>2</v>
      </c>
      <c r="AT36">
        <v>1</v>
      </c>
      <c r="AU36">
        <v>1</v>
      </c>
      <c r="AV36">
        <v>1</v>
      </c>
    </row>
    <row r="37" spans="1:100" x14ac:dyDescent="0.35">
      <c r="A37" s="5" t="s">
        <v>871</v>
      </c>
      <c r="B37" s="5" t="s">
        <v>50</v>
      </c>
      <c r="C37" s="5" t="str">
        <f>VLOOKUP(B37,templateLookup!A:B,2,0)</f>
        <v>COMPOSITE</v>
      </c>
      <c r="D37" s="6"/>
    </row>
    <row r="38" spans="1:100" x14ac:dyDescent="0.35">
      <c r="A38" s="11" t="s">
        <v>871</v>
      </c>
      <c r="B38" s="21" t="s">
        <v>49</v>
      </c>
      <c r="C38" s="21" t="str">
        <f>VLOOKUP(B38,templateLookup!A:B,2,0)</f>
        <v>COMPOSITE</v>
      </c>
      <c r="D38" s="21" t="s">
        <v>1148</v>
      </c>
      <c r="E38" s="10"/>
      <c r="F38" s="5" t="s">
        <v>25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t="str">
        <f>R38&amp;S38&amp;T38</f>
        <v/>
      </c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L38" s="10"/>
      <c r="AM38" s="10"/>
      <c r="AN38" s="10"/>
      <c r="AO38" s="10"/>
      <c r="AP38" s="10"/>
      <c r="AQ38" s="10"/>
      <c r="AR38" s="10"/>
      <c r="AS38" s="10">
        <f>COUNTA(AU38:BD38)</f>
        <v>2</v>
      </c>
      <c r="AT38" s="10" t="s">
        <v>218</v>
      </c>
      <c r="AU38" s="10">
        <v>1</v>
      </c>
      <c r="AV38" s="10">
        <v>1</v>
      </c>
      <c r="AW38" s="10"/>
      <c r="AX38" s="10"/>
      <c r="AY38" s="10"/>
      <c r="AZ38" s="10"/>
      <c r="BA38" s="10"/>
      <c r="BB38" s="10"/>
      <c r="BC38" s="10"/>
      <c r="BD38" s="10"/>
    </row>
    <row r="39" spans="1:100" x14ac:dyDescent="0.35">
      <c r="A39" s="11" t="s">
        <v>871</v>
      </c>
      <c r="B39" s="22" t="s">
        <v>99</v>
      </c>
      <c r="C39" s="22" t="str">
        <f>VLOOKUP(B39,templateLookup!A:B,2,0)</f>
        <v>PrimeShmooTestMethod</v>
      </c>
      <c r="D39" s="22" t="str">
        <f>E39&amp;"_"&amp;F39&amp;"_"&amp;G39&amp;"_"&amp;H39&amp;"_"&amp;A39&amp;"_"&amp;I39&amp;"_"&amp;J39&amp;"_"&amp;K39&amp;"_"&amp;L39&amp;"_"&amp;M39&amp;"_"&amp;N39</f>
        <v>XSA_VPU_SHMOO_E_PREHVQK_TITO_VPU_NOM_LFM_1900_ALL</v>
      </c>
      <c r="E39" t="s">
        <v>205</v>
      </c>
      <c r="F39" t="s">
        <v>25</v>
      </c>
      <c r="G39" t="s">
        <v>1011</v>
      </c>
      <c r="H39" t="s">
        <v>207</v>
      </c>
      <c r="I39" t="s">
        <v>260</v>
      </c>
      <c r="J39" t="s">
        <v>25</v>
      </c>
      <c r="K39" t="s">
        <v>284</v>
      </c>
      <c r="L39" t="s">
        <v>285</v>
      </c>
      <c r="M39">
        <v>1900</v>
      </c>
      <c r="N39" t="s">
        <v>7</v>
      </c>
      <c r="O39" t="s">
        <v>1012</v>
      </c>
      <c r="P39" t="s">
        <v>268</v>
      </c>
      <c r="Q39" t="s">
        <v>1295</v>
      </c>
      <c r="R39">
        <v>61</v>
      </c>
      <c r="S39">
        <v>31</v>
      </c>
      <c r="T39">
        <v>14</v>
      </c>
      <c r="U39" t="str">
        <f>R39&amp;S39&amp;T39</f>
        <v>613114</v>
      </c>
      <c r="V39">
        <v>1</v>
      </c>
      <c r="W39" t="b">
        <v>0</v>
      </c>
      <c r="AA39" t="s">
        <v>1062</v>
      </c>
      <c r="AB39" t="s">
        <v>298</v>
      </c>
      <c r="AS39">
        <f>COUNTA(AU39:BD39)</f>
        <v>4</v>
      </c>
      <c r="AT39" t="s">
        <v>920</v>
      </c>
      <c r="AU39">
        <v>1</v>
      </c>
      <c r="AV39">
        <v>1</v>
      </c>
      <c r="AW39">
        <v>1</v>
      </c>
      <c r="AX39">
        <v>1</v>
      </c>
    </row>
    <row r="40" spans="1:100" x14ac:dyDescent="0.35">
      <c r="A40" s="11" t="s">
        <v>871</v>
      </c>
      <c r="B40" s="21" t="s">
        <v>50</v>
      </c>
      <c r="C40" s="21" t="str">
        <f>VLOOKUP(B40,templateLookup!A:B,2,0)</f>
        <v>COMPOSITE</v>
      </c>
      <c r="D40" s="21"/>
      <c r="E40" s="10"/>
      <c r="F40" s="10"/>
      <c r="G40" s="10"/>
      <c r="H40" s="10"/>
      <c r="I40" s="10"/>
      <c r="J40" s="10"/>
      <c r="K40" s="10"/>
      <c r="L40" s="10"/>
      <c r="M40" s="10"/>
      <c r="O40" s="10"/>
      <c r="P40" s="10"/>
      <c r="Q40" s="10"/>
      <c r="R40" s="10"/>
      <c r="S40" s="10"/>
      <c r="U40" t="str">
        <f>R40&amp;S40&amp;T40</f>
        <v/>
      </c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</row>
    <row r="41" spans="1:100" x14ac:dyDescent="0.35">
      <c r="A41" s="34" t="s">
        <v>871</v>
      </c>
      <c r="B41" s="34" t="s">
        <v>50</v>
      </c>
      <c r="C41" s="34" t="str">
        <f>VLOOKUP(B41,templateLookup!A:B,2,0)</f>
        <v>COMPOSITE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</row>
    <row r="42" spans="1:100" x14ac:dyDescent="0.35">
      <c r="A42" s="5" t="s">
        <v>14</v>
      </c>
      <c r="B42" s="5" t="s">
        <v>49</v>
      </c>
      <c r="C42" s="5" t="str">
        <f>VLOOKUP(B42,templateLookup!A:B,2,0)</f>
        <v>COMPOSITE</v>
      </c>
      <c r="D42" s="5" t="s">
        <v>14</v>
      </c>
      <c r="E42" s="5"/>
      <c r="F42" s="5" t="s">
        <v>25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</row>
    <row r="43" spans="1:100" x14ac:dyDescent="0.35">
      <c r="A43" s="13" t="s">
        <v>14</v>
      </c>
      <c r="B43" s="13" t="s">
        <v>77</v>
      </c>
      <c r="C43" s="13" t="str">
        <f>VLOOKUP(B43,templateLookup!A:B,2,0)</f>
        <v>iCHVQKTest</v>
      </c>
      <c r="D43" s="13" t="str">
        <f>E43&amp;"_"&amp;F43&amp;"_"&amp;G43&amp;"_"&amp;H43&amp;"_"&amp;A43&amp;"_"&amp;I43&amp;"_"&amp;J43&amp;"_"&amp;K43&amp;"_"&amp;L43&amp;"_"&amp;M43&amp;"_"&amp;N43</f>
        <v>XSA_VPU_HVQK_E_STRESS_TITO_VPU_NOM_LFM_1900_VPU_ALL</v>
      </c>
      <c r="E43" t="s">
        <v>205</v>
      </c>
      <c r="F43" t="s">
        <v>25</v>
      </c>
      <c r="G43" t="s">
        <v>1005</v>
      </c>
      <c r="H43" t="s">
        <v>207</v>
      </c>
      <c r="I43" t="s">
        <v>260</v>
      </c>
      <c r="J43" t="s">
        <v>25</v>
      </c>
      <c r="K43" t="s">
        <v>284</v>
      </c>
      <c r="L43" t="s">
        <v>285</v>
      </c>
      <c r="M43">
        <v>1900</v>
      </c>
      <c r="N43" t="s">
        <v>1334</v>
      </c>
      <c r="O43" t="s">
        <v>1149</v>
      </c>
      <c r="P43" t="s">
        <v>268</v>
      </c>
      <c r="Q43" t="s">
        <v>1295</v>
      </c>
      <c r="R43">
        <v>17</v>
      </c>
      <c r="S43">
        <v>61</v>
      </c>
      <c r="T43">
        <v>30</v>
      </c>
      <c r="U43" t="str">
        <f>R43&amp;S43&amp;T43</f>
        <v>176130</v>
      </c>
      <c r="V43">
        <v>-1</v>
      </c>
      <c r="W43" t="b">
        <v>0</v>
      </c>
      <c r="AB43" t="s">
        <v>298</v>
      </c>
      <c r="AP43" t="s">
        <v>1335</v>
      </c>
      <c r="AS43">
        <f>COUNTA(AU43:BD43)</f>
        <v>5</v>
      </c>
      <c r="AT43" t="s">
        <v>218</v>
      </c>
      <c r="AU43" t="str">
        <f>$D44</f>
        <v>XSA_NON_RECOVERY_STRESS</v>
      </c>
      <c r="AV43">
        <v>1</v>
      </c>
      <c r="AW43" t="str">
        <f>$D44</f>
        <v>XSA_NON_RECOVERY_STRESS</v>
      </c>
      <c r="AX43" t="str">
        <f>$D44</f>
        <v>XSA_NON_RECOVERY_STRESS</v>
      </c>
      <c r="AY43" t="str">
        <f>$D44</f>
        <v>XSA_NON_RECOVERY_STRESS</v>
      </c>
    </row>
    <row r="44" spans="1:100" s="28" customFormat="1" x14ac:dyDescent="0.35">
      <c r="A44" s="5" t="s">
        <v>14</v>
      </c>
      <c r="B44" s="27" t="s">
        <v>49</v>
      </c>
      <c r="C44" s="27" t="str">
        <f>VLOOKUP(B44,templateLookup!A:B,2,0)</f>
        <v>COMPOSITE</v>
      </c>
      <c r="D44" s="27" t="s">
        <v>1336</v>
      </c>
      <c r="E44"/>
      <c r="F44" t="s">
        <v>25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f>COUNTA(AU44:BD44)</f>
        <v>2</v>
      </c>
      <c r="AT44" t="s">
        <v>218</v>
      </c>
      <c r="AU44" t="str">
        <f>$D49</f>
        <v>LSA_RECOVERY_STRESS</v>
      </c>
      <c r="AV44" t="str">
        <f>$D49</f>
        <v>LSA_RECOVERY_STRESS</v>
      </c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</row>
    <row r="45" spans="1:100" s="28" customFormat="1" x14ac:dyDescent="0.35">
      <c r="A45" s="28" t="s">
        <v>14</v>
      </c>
      <c r="B45" s="28" t="s">
        <v>77</v>
      </c>
      <c r="C45" s="28" t="str">
        <f>VLOOKUP(B45,templateLookup!A:B,2,0)</f>
        <v>iCHVQKTest</v>
      </c>
      <c r="D45" s="28" t="str">
        <f>E45&amp;"_"&amp;F45&amp;"_"&amp;G45&amp;"_"&amp;H45&amp;"_"&amp;A45&amp;"_"&amp;I45&amp;"_"&amp;J45&amp;"_"&amp;K45&amp;"_"&amp;L45&amp;"_"&amp;M45&amp;"_"&amp;N45</f>
        <v>LSA_VPU_HVQK_E_STRESS_TITO_VPU_NOM_LFM_1900_CPU</v>
      </c>
      <c r="E45" t="s">
        <v>5</v>
      </c>
      <c r="F45" t="s">
        <v>25</v>
      </c>
      <c r="G45" t="s">
        <v>1005</v>
      </c>
      <c r="H45" t="s">
        <v>207</v>
      </c>
      <c r="I45" t="s">
        <v>260</v>
      </c>
      <c r="J45" t="s">
        <v>25</v>
      </c>
      <c r="K45" t="s">
        <v>284</v>
      </c>
      <c r="L45" t="s">
        <v>285</v>
      </c>
      <c r="M45">
        <v>1900</v>
      </c>
      <c r="N45" t="s">
        <v>1297</v>
      </c>
      <c r="O45" t="s">
        <v>1149</v>
      </c>
      <c r="P45" t="s">
        <v>268</v>
      </c>
      <c r="Q45" t="s">
        <v>1298</v>
      </c>
      <c r="R45">
        <v>17</v>
      </c>
      <c r="S45">
        <v>61</v>
      </c>
      <c r="T45">
        <v>19</v>
      </c>
      <c r="U45" t="str">
        <f>R45&amp;S45&amp;T45</f>
        <v>176119</v>
      </c>
      <c r="V45">
        <v>1</v>
      </c>
      <c r="W45" t="b">
        <v>0</v>
      </c>
      <c r="X45"/>
      <c r="Y45"/>
      <c r="Z45"/>
      <c r="AA45"/>
      <c r="AB45" t="s">
        <v>298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 t="s">
        <v>1335</v>
      </c>
      <c r="AQ45"/>
      <c r="AR45"/>
      <c r="AS45">
        <f>COUNTA(AU45:BD45)</f>
        <v>5</v>
      </c>
      <c r="AT45" t="s">
        <v>218</v>
      </c>
      <c r="AU45" t="str">
        <f t="shared" ref="AU45:AY46" si="10">$D46</f>
        <v>LSA_VPU_HVQK_E_STRESS_TITO_VPU_NOM_LFM_1900_BTR</v>
      </c>
      <c r="AV45" t="str">
        <f t="shared" si="10"/>
        <v>LSA_VPU_HVQK_E_STRESS_TITO_VPU_NOM_LFM_1900_BTR</v>
      </c>
      <c r="AW45" t="str">
        <f t="shared" si="10"/>
        <v>LSA_VPU_HVQK_E_STRESS_TITO_VPU_NOM_LFM_1900_BTR</v>
      </c>
      <c r="AX45" t="str">
        <f t="shared" si="10"/>
        <v>LSA_VPU_HVQK_E_STRESS_TITO_VPU_NOM_LFM_1900_BTR</v>
      </c>
      <c r="AY45" t="str">
        <f t="shared" si="10"/>
        <v>LSA_VPU_HVQK_E_STRESS_TITO_VPU_NOM_LFM_1900_BTR</v>
      </c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</row>
    <row r="46" spans="1:100" s="28" customFormat="1" x14ac:dyDescent="0.35">
      <c r="A46" s="28" t="s">
        <v>14</v>
      </c>
      <c r="B46" s="28" t="s">
        <v>77</v>
      </c>
      <c r="C46" s="28" t="str">
        <f>VLOOKUP(B46,templateLookup!A:B,2,0)</f>
        <v>iCHVQKTest</v>
      </c>
      <c r="D46" s="28" t="str">
        <f>E46&amp;"_"&amp;F46&amp;"_"&amp;G46&amp;"_"&amp;H46&amp;"_"&amp;A46&amp;"_"&amp;I46&amp;"_"&amp;J46&amp;"_"&amp;K46&amp;"_"&amp;L46&amp;"_"&amp;M46&amp;"_"&amp;N46</f>
        <v>LSA_VPU_HVQK_E_STRESS_TITO_VPU_NOM_LFM_1900_BTR</v>
      </c>
      <c r="E46" t="s">
        <v>5</v>
      </c>
      <c r="F46" t="s">
        <v>25</v>
      </c>
      <c r="G46" t="s">
        <v>1005</v>
      </c>
      <c r="H46" t="s">
        <v>207</v>
      </c>
      <c r="I46" t="s">
        <v>260</v>
      </c>
      <c r="J46" t="s">
        <v>25</v>
      </c>
      <c r="K46" t="s">
        <v>284</v>
      </c>
      <c r="L46" t="s">
        <v>285</v>
      </c>
      <c r="M46">
        <v>1900</v>
      </c>
      <c r="N46" t="s">
        <v>1299</v>
      </c>
      <c r="O46" t="s">
        <v>1149</v>
      </c>
      <c r="P46" t="s">
        <v>268</v>
      </c>
      <c r="Q46" t="s">
        <v>1300</v>
      </c>
      <c r="R46">
        <v>17</v>
      </c>
      <c r="S46">
        <v>61</v>
      </c>
      <c r="T46">
        <v>14</v>
      </c>
      <c r="U46" t="str">
        <f>R46&amp;S46&amp;T46</f>
        <v>176114</v>
      </c>
      <c r="V46">
        <v>1</v>
      </c>
      <c r="W46" t="b">
        <v>0</v>
      </c>
      <c r="X46"/>
      <c r="Y46"/>
      <c r="Z46"/>
      <c r="AA46"/>
      <c r="AB46" t="s">
        <v>298</v>
      </c>
      <c r="AC46"/>
      <c r="AD46"/>
      <c r="AE46"/>
      <c r="AF46"/>
      <c r="AG46"/>
      <c r="AH46"/>
      <c r="AI46"/>
      <c r="AJ46"/>
      <c r="AK46"/>
      <c r="AL46"/>
      <c r="AM46"/>
      <c r="AN46"/>
      <c r="AO46"/>
      <c r="AP46" t="s">
        <v>1335</v>
      </c>
      <c r="AQ46"/>
      <c r="AR46"/>
      <c r="AS46">
        <f>COUNTA(AU46:BD46)</f>
        <v>5</v>
      </c>
      <c r="AT46" t="s">
        <v>218</v>
      </c>
      <c r="AU46" t="str">
        <f t="shared" si="10"/>
        <v>SSA_VPU_HVQK_E_STRESS_TITO_VPU_NOM_LFM_1900_CPU</v>
      </c>
      <c r="AV46" t="str">
        <f t="shared" si="10"/>
        <v>SSA_VPU_HVQK_E_STRESS_TITO_VPU_NOM_LFM_1900_CPU</v>
      </c>
      <c r="AW46" t="str">
        <f t="shared" si="10"/>
        <v>SSA_VPU_HVQK_E_STRESS_TITO_VPU_NOM_LFM_1900_CPU</v>
      </c>
      <c r="AX46" t="str">
        <f t="shared" si="10"/>
        <v>SSA_VPU_HVQK_E_STRESS_TITO_VPU_NOM_LFM_1900_CPU</v>
      </c>
      <c r="AY46" t="str">
        <f t="shared" si="10"/>
        <v>SSA_VPU_HVQK_E_STRESS_TITO_VPU_NOM_LFM_1900_CPU</v>
      </c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</row>
    <row r="47" spans="1:100" s="28" customFormat="1" x14ac:dyDescent="0.35">
      <c r="A47" s="28" t="s">
        <v>14</v>
      </c>
      <c r="B47" s="28" t="s">
        <v>77</v>
      </c>
      <c r="C47" s="28" t="str">
        <f>VLOOKUP(B47,templateLookup!A:B,2,0)</f>
        <v>iCHVQKTest</v>
      </c>
      <c r="D47" s="28" t="str">
        <f>E47&amp;"_"&amp;F47&amp;"_"&amp;G47&amp;"_"&amp;H47&amp;"_"&amp;A47&amp;"_"&amp;I47&amp;"_"&amp;J47&amp;"_"&amp;K47&amp;"_"&amp;L47&amp;"_"&amp;M47&amp;"_"&amp;N47</f>
        <v>SSA_VPU_HVQK_E_STRESS_TITO_VPU_NOM_LFM_1900_CPU</v>
      </c>
      <c r="E47" t="s">
        <v>4</v>
      </c>
      <c r="F47" t="s">
        <v>25</v>
      </c>
      <c r="G47" t="s">
        <v>1005</v>
      </c>
      <c r="H47" t="s">
        <v>207</v>
      </c>
      <c r="I47" t="s">
        <v>260</v>
      </c>
      <c r="J47" t="s">
        <v>25</v>
      </c>
      <c r="K47" t="s">
        <v>284</v>
      </c>
      <c r="L47" t="s">
        <v>285</v>
      </c>
      <c r="M47">
        <v>1900</v>
      </c>
      <c r="N47" t="s">
        <v>1297</v>
      </c>
      <c r="O47" t="s">
        <v>1149</v>
      </c>
      <c r="P47" t="s">
        <v>268</v>
      </c>
      <c r="Q47" t="s">
        <v>1301</v>
      </c>
      <c r="R47">
        <v>17</v>
      </c>
      <c r="S47">
        <v>61</v>
      </c>
      <c r="T47">
        <v>15</v>
      </c>
      <c r="U47" t="str">
        <f>R47&amp;S47&amp;T47</f>
        <v>176115</v>
      </c>
      <c r="V47">
        <v>1</v>
      </c>
      <c r="W47" t="b">
        <v>0</v>
      </c>
      <c r="X47"/>
      <c r="Y47"/>
      <c r="Z47"/>
      <c r="AA47"/>
      <c r="AB47" t="s">
        <v>298</v>
      </c>
      <c r="AC47"/>
      <c r="AD47"/>
      <c r="AE47"/>
      <c r="AF47"/>
      <c r="AG47"/>
      <c r="AH47"/>
      <c r="AI47"/>
      <c r="AJ47"/>
      <c r="AK47"/>
      <c r="AL47"/>
      <c r="AM47"/>
      <c r="AN47"/>
      <c r="AO47"/>
      <c r="AP47" t="s">
        <v>1335</v>
      </c>
      <c r="AQ47"/>
      <c r="AR47"/>
      <c r="AS47">
        <f>COUNTA(AU47:AZ47)</f>
        <v>5</v>
      </c>
      <c r="AT47" t="s">
        <v>218</v>
      </c>
      <c r="AU47">
        <v>1</v>
      </c>
      <c r="AV47">
        <v>1</v>
      </c>
      <c r="AW47">
        <v>1</v>
      </c>
      <c r="AX47">
        <v>1</v>
      </c>
      <c r="AY47">
        <v>1</v>
      </c>
      <c r="AZ47"/>
      <c r="BA47" t="s">
        <v>1337</v>
      </c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</row>
    <row r="48" spans="1:100" s="28" customFormat="1" x14ac:dyDescent="0.35">
      <c r="A48" s="5" t="s">
        <v>14</v>
      </c>
      <c r="B48" s="27" t="s">
        <v>50</v>
      </c>
      <c r="C48" s="27" t="str">
        <f>VLOOKUP(B48,templateLookup!A:B,2,0)</f>
        <v>COMPOSITE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</row>
    <row r="49" spans="1:100" s="28" customFormat="1" x14ac:dyDescent="0.35">
      <c r="A49" s="5" t="s">
        <v>14</v>
      </c>
      <c r="B49" s="27" t="s">
        <v>49</v>
      </c>
      <c r="C49" s="27" t="str">
        <f>VLOOKUP(B49,templateLookup!A:B,2,0)</f>
        <v>COMPOSITE</v>
      </c>
      <c r="D49" s="27" t="s">
        <v>1338</v>
      </c>
      <c r="E49"/>
      <c r="F49" s="5" t="s">
        <v>25</v>
      </c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f t="shared" ref="AS49:AS61" si="11">COUNTA(AU49:BD49)</f>
        <v>2</v>
      </c>
      <c r="AT49" t="s">
        <v>218</v>
      </c>
      <c r="AU49" t="str">
        <f>$D63</f>
        <v>SSA_RECOVERY_STRESS</v>
      </c>
      <c r="AV49" t="str">
        <f>$D63</f>
        <v>SSA_RECOVERY_STRESS</v>
      </c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</row>
    <row r="50" spans="1:100" x14ac:dyDescent="0.35">
      <c r="A50" s="28" t="s">
        <v>14</v>
      </c>
      <c r="B50" s="28" t="s">
        <v>111</v>
      </c>
      <c r="C50" s="28" t="str">
        <f>VLOOKUP(B50,templateLookup!A:B,2,0)</f>
        <v>AuxiliaryTC</v>
      </c>
      <c r="D50" s="28" t="str">
        <f t="shared" ref="D50:D61" si="12">E50&amp;"_"&amp;F50&amp;"_"&amp;G50&amp;"_"&amp;H50&amp;"_"&amp;A50&amp;"_"&amp;I50&amp;"_"&amp;J50&amp;"_"&amp;K50&amp;"_"&amp;L50&amp;"_"&amp;M50&amp;"_"&amp;N50</f>
        <v>CTRL_X_AUX_E_STRESS_X_X_X_X_LSA_VPU0</v>
      </c>
      <c r="E50" t="s">
        <v>215</v>
      </c>
      <c r="F50" t="s">
        <v>208</v>
      </c>
      <c r="G50" t="s">
        <v>876</v>
      </c>
      <c r="H50" t="s">
        <v>207</v>
      </c>
      <c r="I50" t="s">
        <v>208</v>
      </c>
      <c r="J50" t="s">
        <v>208</v>
      </c>
      <c r="K50" t="s">
        <v>208</v>
      </c>
      <c r="L50" t="s">
        <v>208</v>
      </c>
      <c r="M50" t="s">
        <v>5</v>
      </c>
      <c r="N50" t="s">
        <v>1306</v>
      </c>
      <c r="O50" t="s">
        <v>211</v>
      </c>
      <c r="P50" t="s">
        <v>211</v>
      </c>
      <c r="Q50" t="s">
        <v>212</v>
      </c>
      <c r="R50">
        <v>17</v>
      </c>
      <c r="S50">
        <v>32</v>
      </c>
      <c r="T50">
        <v>123</v>
      </c>
      <c r="U50" t="str">
        <f t="shared" ref="U50:U61" si="13">R50&amp;S50&amp;T50</f>
        <v>1732123</v>
      </c>
      <c r="V50">
        <v>1</v>
      </c>
      <c r="W50" t="b">
        <v>0</v>
      </c>
      <c r="AQ50" t="s">
        <v>1339</v>
      </c>
      <c r="AS50">
        <f t="shared" si="11"/>
        <v>3</v>
      </c>
      <c r="AT50" t="s">
        <v>218</v>
      </c>
      <c r="AU50">
        <v>1</v>
      </c>
      <c r="AV50" t="str">
        <f t="shared" ref="AV50:AV60" si="14">$D51</f>
        <v>LSA_VPU_HVQK_E_STRESS_TITO_VPU_NOM_LFM_1900_TILE0</v>
      </c>
      <c r="AW50" t="str">
        <f>$D52</f>
        <v>CTRL_X_AUX_E_STRESS_X_X_X_X_LSA_VPU1</v>
      </c>
    </row>
    <row r="51" spans="1:100" s="28" customFormat="1" x14ac:dyDescent="0.35">
      <c r="A51" s="28" t="s">
        <v>14</v>
      </c>
      <c r="B51" s="28" t="s">
        <v>77</v>
      </c>
      <c r="C51" s="28" t="str">
        <f>VLOOKUP(B51,templateLookup!A:B,2,0)</f>
        <v>iCHVQKTest</v>
      </c>
      <c r="D51" s="28" t="str">
        <f t="shared" si="12"/>
        <v>LSA_VPU_HVQK_E_STRESS_TITO_VPU_NOM_LFM_1900_TILE0</v>
      </c>
      <c r="E51" t="s">
        <v>5</v>
      </c>
      <c r="F51" t="s">
        <v>25</v>
      </c>
      <c r="G51" t="s">
        <v>1005</v>
      </c>
      <c r="H51" t="s">
        <v>207</v>
      </c>
      <c r="I51" t="s">
        <v>260</v>
      </c>
      <c r="J51" t="s">
        <v>25</v>
      </c>
      <c r="K51" t="s">
        <v>284</v>
      </c>
      <c r="L51" t="s">
        <v>285</v>
      </c>
      <c r="M51">
        <v>1900</v>
      </c>
      <c r="N51" t="s">
        <v>1303</v>
      </c>
      <c r="O51" t="s">
        <v>1149</v>
      </c>
      <c r="P51" t="s">
        <v>268</v>
      </c>
      <c r="Q51" t="s">
        <v>1304</v>
      </c>
      <c r="R51">
        <v>17</v>
      </c>
      <c r="S51">
        <v>61</v>
      </c>
      <c r="T51">
        <v>100</v>
      </c>
      <c r="U51" t="str">
        <f t="shared" si="13"/>
        <v>1761100</v>
      </c>
      <c r="V51">
        <v>1</v>
      </c>
      <c r="W51" t="b">
        <v>0</v>
      </c>
      <c r="X51"/>
      <c r="Y51"/>
      <c r="Z51"/>
      <c r="AA51"/>
      <c r="AB51" t="s">
        <v>298</v>
      </c>
      <c r="AC51"/>
      <c r="AD51"/>
      <c r="AE51"/>
      <c r="AF51"/>
      <c r="AG51"/>
      <c r="AH51"/>
      <c r="AI51"/>
      <c r="AJ51"/>
      <c r="AK51"/>
      <c r="AL51"/>
      <c r="AM51"/>
      <c r="AN51"/>
      <c r="AO51"/>
      <c r="AP51" t="s">
        <v>1335</v>
      </c>
      <c r="AQ51"/>
      <c r="AR51"/>
      <c r="AS51">
        <f t="shared" si="11"/>
        <v>5</v>
      </c>
      <c r="AT51" t="s">
        <v>218</v>
      </c>
      <c r="AU51" t="str">
        <f>$D52</f>
        <v>CTRL_X_AUX_E_STRESS_X_X_X_X_LSA_VPU1</v>
      </c>
      <c r="AV51" t="str">
        <f t="shared" si="14"/>
        <v>CTRL_X_AUX_E_STRESS_X_X_X_X_LSA_VPU1</v>
      </c>
      <c r="AW51" t="str">
        <f>$D52</f>
        <v>CTRL_X_AUX_E_STRESS_X_X_X_X_LSA_VPU1</v>
      </c>
      <c r="AX51" t="str">
        <f>$D52</f>
        <v>CTRL_X_AUX_E_STRESS_X_X_X_X_LSA_VPU1</v>
      </c>
      <c r="AY51" t="str">
        <f>$D52</f>
        <v>CTRL_X_AUX_E_STRESS_X_X_X_X_LSA_VPU1</v>
      </c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</row>
    <row r="52" spans="1:100" x14ac:dyDescent="0.35">
      <c r="A52" s="28" t="s">
        <v>14</v>
      </c>
      <c r="B52" s="28" t="s">
        <v>111</v>
      </c>
      <c r="C52" s="28" t="str">
        <f>VLOOKUP(B52,templateLookup!A:B,2,0)</f>
        <v>AuxiliaryTC</v>
      </c>
      <c r="D52" s="28" t="str">
        <f t="shared" si="12"/>
        <v>CTRL_X_AUX_E_STRESS_X_X_X_X_LSA_VPU1</v>
      </c>
      <c r="E52" t="s">
        <v>215</v>
      </c>
      <c r="F52" t="s">
        <v>208</v>
      </c>
      <c r="G52" t="s">
        <v>876</v>
      </c>
      <c r="H52" t="s">
        <v>207</v>
      </c>
      <c r="I52" t="s">
        <v>208</v>
      </c>
      <c r="J52" t="s">
        <v>208</v>
      </c>
      <c r="K52" t="s">
        <v>208</v>
      </c>
      <c r="L52" t="s">
        <v>208</v>
      </c>
      <c r="M52" t="s">
        <v>5</v>
      </c>
      <c r="N52" t="s">
        <v>1310</v>
      </c>
      <c r="O52" t="s">
        <v>211</v>
      </c>
      <c r="P52" t="s">
        <v>211</v>
      </c>
      <c r="Q52" t="s">
        <v>212</v>
      </c>
      <c r="R52">
        <v>17</v>
      </c>
      <c r="S52">
        <v>32</v>
      </c>
      <c r="T52">
        <v>113</v>
      </c>
      <c r="U52" t="str">
        <f t="shared" si="13"/>
        <v>1732113</v>
      </c>
      <c r="V52">
        <v>1</v>
      </c>
      <c r="W52" t="b">
        <v>0</v>
      </c>
      <c r="AQ52" t="s">
        <v>1340</v>
      </c>
      <c r="AS52">
        <f t="shared" si="11"/>
        <v>3</v>
      </c>
      <c r="AT52" t="s">
        <v>218</v>
      </c>
      <c r="AU52">
        <v>1</v>
      </c>
      <c r="AV52" t="str">
        <f t="shared" si="14"/>
        <v>LSA_VPU_HVQK_E_STRESS_TITO_VPU_NOM_LFM_1900_TILE1</v>
      </c>
      <c r="AW52" t="str">
        <f>$D54</f>
        <v>CTRL_X_AUX_E_STRESS_X_X_X_X_LSA_VPU2</v>
      </c>
    </row>
    <row r="53" spans="1:100" s="28" customFormat="1" x14ac:dyDescent="0.35">
      <c r="A53" s="28" t="s">
        <v>14</v>
      </c>
      <c r="B53" s="28" t="s">
        <v>77</v>
      </c>
      <c r="C53" s="28" t="str">
        <f>VLOOKUP(B53,templateLookup!A:B,2,0)</f>
        <v>iCHVQKTest</v>
      </c>
      <c r="D53" s="28" t="str">
        <f t="shared" si="12"/>
        <v>LSA_VPU_HVQK_E_STRESS_TITO_VPU_NOM_LFM_1900_TILE1</v>
      </c>
      <c r="E53" t="s">
        <v>5</v>
      </c>
      <c r="F53" t="s">
        <v>25</v>
      </c>
      <c r="G53" t="s">
        <v>1005</v>
      </c>
      <c r="H53" t="s">
        <v>207</v>
      </c>
      <c r="I53" t="s">
        <v>260</v>
      </c>
      <c r="J53" t="s">
        <v>25</v>
      </c>
      <c r="K53" t="s">
        <v>284</v>
      </c>
      <c r="L53" t="s">
        <v>285</v>
      </c>
      <c r="M53">
        <v>1900</v>
      </c>
      <c r="N53" t="s">
        <v>1307</v>
      </c>
      <c r="O53" t="s">
        <v>1149</v>
      </c>
      <c r="P53" t="s">
        <v>268</v>
      </c>
      <c r="Q53" t="s">
        <v>1308</v>
      </c>
      <c r="R53">
        <v>17</v>
      </c>
      <c r="S53">
        <v>61</v>
      </c>
      <c r="T53">
        <f>T51+1</f>
        <v>101</v>
      </c>
      <c r="U53" t="str">
        <f t="shared" si="13"/>
        <v>1761101</v>
      </c>
      <c r="V53">
        <v>1</v>
      </c>
      <c r="W53" t="b">
        <v>0</v>
      </c>
      <c r="X53"/>
      <c r="Y53"/>
      <c r="Z53"/>
      <c r="AA53"/>
      <c r="AB53" t="s">
        <v>298</v>
      </c>
      <c r="AC53"/>
      <c r="AD53"/>
      <c r="AE53"/>
      <c r="AF53"/>
      <c r="AG53"/>
      <c r="AH53"/>
      <c r="AI53"/>
      <c r="AJ53"/>
      <c r="AK53"/>
      <c r="AL53"/>
      <c r="AM53"/>
      <c r="AN53"/>
      <c r="AO53"/>
      <c r="AP53" t="s">
        <v>1335</v>
      </c>
      <c r="AQ53"/>
      <c r="AR53"/>
      <c r="AS53">
        <f t="shared" si="11"/>
        <v>5</v>
      </c>
      <c r="AT53" t="s">
        <v>218</v>
      </c>
      <c r="AU53" t="str">
        <f>$D54</f>
        <v>CTRL_X_AUX_E_STRESS_X_X_X_X_LSA_VPU2</v>
      </c>
      <c r="AV53" t="str">
        <f t="shared" si="14"/>
        <v>CTRL_X_AUX_E_STRESS_X_X_X_X_LSA_VPU2</v>
      </c>
      <c r="AW53" t="str">
        <f>$D54</f>
        <v>CTRL_X_AUX_E_STRESS_X_X_X_X_LSA_VPU2</v>
      </c>
      <c r="AX53" t="str">
        <f>$D54</f>
        <v>CTRL_X_AUX_E_STRESS_X_X_X_X_LSA_VPU2</v>
      </c>
      <c r="AY53" t="str">
        <f>$D54</f>
        <v>CTRL_X_AUX_E_STRESS_X_X_X_X_LSA_VPU2</v>
      </c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</row>
    <row r="54" spans="1:100" x14ac:dyDescent="0.35">
      <c r="A54" s="28" t="s">
        <v>14</v>
      </c>
      <c r="B54" s="28" t="s">
        <v>111</v>
      </c>
      <c r="C54" s="28" t="str">
        <f>VLOOKUP(B54,templateLookup!A:B,2,0)</f>
        <v>AuxiliaryTC</v>
      </c>
      <c r="D54" s="28" t="str">
        <f t="shared" si="12"/>
        <v>CTRL_X_AUX_E_STRESS_X_X_X_X_LSA_VPU2</v>
      </c>
      <c r="E54" t="s">
        <v>215</v>
      </c>
      <c r="F54" t="s">
        <v>208</v>
      </c>
      <c r="G54" t="s">
        <v>876</v>
      </c>
      <c r="H54" t="s">
        <v>207</v>
      </c>
      <c r="I54" t="s">
        <v>208</v>
      </c>
      <c r="J54" t="s">
        <v>208</v>
      </c>
      <c r="K54" t="s">
        <v>208</v>
      </c>
      <c r="L54" t="s">
        <v>208</v>
      </c>
      <c r="M54" t="s">
        <v>5</v>
      </c>
      <c r="N54" t="s">
        <v>1314</v>
      </c>
      <c r="O54" t="s">
        <v>211</v>
      </c>
      <c r="P54" t="s">
        <v>211</v>
      </c>
      <c r="Q54" t="s">
        <v>212</v>
      </c>
      <c r="R54">
        <v>17</v>
      </c>
      <c r="S54">
        <v>32</v>
      </c>
      <c r="T54">
        <v>115</v>
      </c>
      <c r="U54" t="str">
        <f t="shared" si="13"/>
        <v>1732115</v>
      </c>
      <c r="V54">
        <v>1</v>
      </c>
      <c r="W54" t="b">
        <v>0</v>
      </c>
      <c r="AQ54" t="s">
        <v>1341</v>
      </c>
      <c r="AS54">
        <f t="shared" si="11"/>
        <v>3</v>
      </c>
      <c r="AT54" t="s">
        <v>218</v>
      </c>
      <c r="AU54">
        <v>1</v>
      </c>
      <c r="AV54" t="str">
        <f t="shared" si="14"/>
        <v>LSA_VPU_HVQK_E_STRESS_TITO_VPU_NOM_LFM_1900_TILE2</v>
      </c>
      <c r="AW54" t="str">
        <f>$D56</f>
        <v>CTRL_X_AUX_E_STRESS_X_X_X_X_LSA_VPU3</v>
      </c>
    </row>
    <row r="55" spans="1:100" s="28" customFormat="1" x14ac:dyDescent="0.35">
      <c r="A55" s="28" t="s">
        <v>14</v>
      </c>
      <c r="B55" s="28" t="s">
        <v>77</v>
      </c>
      <c r="C55" s="28" t="str">
        <f>VLOOKUP(B55,templateLookup!A:B,2,0)</f>
        <v>iCHVQKTest</v>
      </c>
      <c r="D55" s="28" t="str">
        <f t="shared" si="12"/>
        <v>LSA_VPU_HVQK_E_STRESS_TITO_VPU_NOM_LFM_1900_TILE2</v>
      </c>
      <c r="E55" t="s">
        <v>5</v>
      </c>
      <c r="F55" t="s">
        <v>25</v>
      </c>
      <c r="G55" t="s">
        <v>1005</v>
      </c>
      <c r="H55" t="s">
        <v>207</v>
      </c>
      <c r="I55" t="s">
        <v>260</v>
      </c>
      <c r="J55" t="s">
        <v>25</v>
      </c>
      <c r="K55" t="s">
        <v>284</v>
      </c>
      <c r="L55" t="s">
        <v>285</v>
      </c>
      <c r="M55">
        <v>1900</v>
      </c>
      <c r="N55" t="s">
        <v>1311</v>
      </c>
      <c r="O55" t="s">
        <v>1149</v>
      </c>
      <c r="P55" t="s">
        <v>268</v>
      </c>
      <c r="Q55" t="s">
        <v>1312</v>
      </c>
      <c r="R55">
        <v>17</v>
      </c>
      <c r="S55">
        <v>61</v>
      </c>
      <c r="T55">
        <f>T53+1</f>
        <v>102</v>
      </c>
      <c r="U55" t="str">
        <f t="shared" si="13"/>
        <v>1761102</v>
      </c>
      <c r="V55">
        <v>1</v>
      </c>
      <c r="W55" t="b">
        <v>0</v>
      </c>
      <c r="X55"/>
      <c r="Y55"/>
      <c r="Z55"/>
      <c r="AA55"/>
      <c r="AB55" t="s">
        <v>298</v>
      </c>
      <c r="AC55"/>
      <c r="AD55"/>
      <c r="AE55"/>
      <c r="AF55"/>
      <c r="AG55"/>
      <c r="AH55"/>
      <c r="AI55"/>
      <c r="AJ55"/>
      <c r="AK55"/>
      <c r="AL55"/>
      <c r="AM55"/>
      <c r="AN55"/>
      <c r="AO55"/>
      <c r="AP55" t="s">
        <v>1335</v>
      </c>
      <c r="AQ55"/>
      <c r="AR55"/>
      <c r="AS55">
        <f t="shared" si="11"/>
        <v>5</v>
      </c>
      <c r="AT55" t="s">
        <v>218</v>
      </c>
      <c r="AU55" t="str">
        <f>$D56</f>
        <v>CTRL_X_AUX_E_STRESS_X_X_X_X_LSA_VPU3</v>
      </c>
      <c r="AV55" t="str">
        <f t="shared" si="14"/>
        <v>CTRL_X_AUX_E_STRESS_X_X_X_X_LSA_VPU3</v>
      </c>
      <c r="AW55" t="str">
        <f>$D56</f>
        <v>CTRL_X_AUX_E_STRESS_X_X_X_X_LSA_VPU3</v>
      </c>
      <c r="AX55" t="str">
        <f>$D56</f>
        <v>CTRL_X_AUX_E_STRESS_X_X_X_X_LSA_VPU3</v>
      </c>
      <c r="AY55" t="str">
        <f>$D56</f>
        <v>CTRL_X_AUX_E_STRESS_X_X_X_X_LSA_VPU3</v>
      </c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</row>
    <row r="56" spans="1:100" x14ac:dyDescent="0.35">
      <c r="A56" s="28" t="s">
        <v>14</v>
      </c>
      <c r="B56" s="28" t="s">
        <v>111</v>
      </c>
      <c r="C56" s="28" t="str">
        <f>VLOOKUP(B56,templateLookup!A:B,2,0)</f>
        <v>AuxiliaryTC</v>
      </c>
      <c r="D56" s="28" t="str">
        <f t="shared" si="12"/>
        <v>CTRL_X_AUX_E_STRESS_X_X_X_X_LSA_VPU3</v>
      </c>
      <c r="E56" t="s">
        <v>215</v>
      </c>
      <c r="F56" t="s">
        <v>208</v>
      </c>
      <c r="G56" t="s">
        <v>876</v>
      </c>
      <c r="H56" t="s">
        <v>207</v>
      </c>
      <c r="I56" t="s">
        <v>208</v>
      </c>
      <c r="J56" t="s">
        <v>208</v>
      </c>
      <c r="K56" t="s">
        <v>208</v>
      </c>
      <c r="L56" t="s">
        <v>208</v>
      </c>
      <c r="M56" t="s">
        <v>5</v>
      </c>
      <c r="N56" t="s">
        <v>1318</v>
      </c>
      <c r="O56" t="s">
        <v>211</v>
      </c>
      <c r="P56" t="s">
        <v>211</v>
      </c>
      <c r="Q56" t="s">
        <v>212</v>
      </c>
      <c r="R56">
        <v>17</v>
      </c>
      <c r="S56">
        <v>32</v>
      </c>
      <c r="T56">
        <v>117</v>
      </c>
      <c r="U56" t="str">
        <f t="shared" si="13"/>
        <v>1732117</v>
      </c>
      <c r="V56">
        <v>1</v>
      </c>
      <c r="W56" t="b">
        <v>0</v>
      </c>
      <c r="AQ56" t="s">
        <v>1342</v>
      </c>
      <c r="AS56">
        <f t="shared" si="11"/>
        <v>3</v>
      </c>
      <c r="AT56" t="s">
        <v>218</v>
      </c>
      <c r="AU56">
        <v>1</v>
      </c>
      <c r="AV56" t="str">
        <f t="shared" si="14"/>
        <v>LSA_VPU_HVQK_E_STRESS_TITO_VPU_NOM_LFM_1900_TILE3</v>
      </c>
      <c r="AW56" t="str">
        <f>$D58</f>
        <v>CTRL_X_AUX_E_STRESS_X_X_X_X_LSA_VPU4</v>
      </c>
    </row>
    <row r="57" spans="1:100" s="28" customFormat="1" x14ac:dyDescent="0.35">
      <c r="A57" s="28" t="s">
        <v>14</v>
      </c>
      <c r="B57" s="28" t="s">
        <v>77</v>
      </c>
      <c r="C57" s="28" t="str">
        <f>VLOOKUP(B57,templateLookup!A:B,2,0)</f>
        <v>iCHVQKTest</v>
      </c>
      <c r="D57" s="28" t="str">
        <f t="shared" si="12"/>
        <v>LSA_VPU_HVQK_E_STRESS_TITO_VPU_NOM_LFM_1900_TILE3</v>
      </c>
      <c r="E57" t="s">
        <v>5</v>
      </c>
      <c r="F57" t="s">
        <v>25</v>
      </c>
      <c r="G57" t="s">
        <v>1005</v>
      </c>
      <c r="H57" t="s">
        <v>207</v>
      </c>
      <c r="I57" t="s">
        <v>260</v>
      </c>
      <c r="J57" t="s">
        <v>25</v>
      </c>
      <c r="K57" t="s">
        <v>284</v>
      </c>
      <c r="L57" t="s">
        <v>285</v>
      </c>
      <c r="M57">
        <v>1900</v>
      </c>
      <c r="N57" t="s">
        <v>1315</v>
      </c>
      <c r="O57" t="s">
        <v>1149</v>
      </c>
      <c r="P57" t="s">
        <v>268</v>
      </c>
      <c r="Q57" t="s">
        <v>1316</v>
      </c>
      <c r="R57">
        <v>17</v>
      </c>
      <c r="S57">
        <v>61</v>
      </c>
      <c r="T57">
        <f>T55+1</f>
        <v>103</v>
      </c>
      <c r="U57" t="str">
        <f t="shared" si="13"/>
        <v>1761103</v>
      </c>
      <c r="V57">
        <v>1</v>
      </c>
      <c r="W57" t="b">
        <v>0</v>
      </c>
      <c r="X57"/>
      <c r="Y57"/>
      <c r="Z57"/>
      <c r="AA57"/>
      <c r="AB57" t="s">
        <v>298</v>
      </c>
      <c r="AC57"/>
      <c r="AD57"/>
      <c r="AE57"/>
      <c r="AF57"/>
      <c r="AG57"/>
      <c r="AH57"/>
      <c r="AI57"/>
      <c r="AJ57"/>
      <c r="AK57"/>
      <c r="AL57"/>
      <c r="AM57"/>
      <c r="AN57"/>
      <c r="AO57"/>
      <c r="AP57" t="s">
        <v>1335</v>
      </c>
      <c r="AQ57"/>
      <c r="AR57"/>
      <c r="AS57">
        <f t="shared" si="11"/>
        <v>5</v>
      </c>
      <c r="AT57" t="s">
        <v>218</v>
      </c>
      <c r="AU57" t="str">
        <f>$D58</f>
        <v>CTRL_X_AUX_E_STRESS_X_X_X_X_LSA_VPU4</v>
      </c>
      <c r="AV57" t="str">
        <f t="shared" si="14"/>
        <v>CTRL_X_AUX_E_STRESS_X_X_X_X_LSA_VPU4</v>
      </c>
      <c r="AW57" t="str">
        <f>$D58</f>
        <v>CTRL_X_AUX_E_STRESS_X_X_X_X_LSA_VPU4</v>
      </c>
      <c r="AX57" t="str">
        <f>$D58</f>
        <v>CTRL_X_AUX_E_STRESS_X_X_X_X_LSA_VPU4</v>
      </c>
      <c r="AY57" t="str">
        <f>$D58</f>
        <v>CTRL_X_AUX_E_STRESS_X_X_X_X_LSA_VPU4</v>
      </c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</row>
    <row r="58" spans="1:100" x14ac:dyDescent="0.35">
      <c r="A58" s="28" t="s">
        <v>14</v>
      </c>
      <c r="B58" s="28" t="s">
        <v>111</v>
      </c>
      <c r="C58" s="28" t="str">
        <f>VLOOKUP(B58,templateLookup!A:B,2,0)</f>
        <v>AuxiliaryTC</v>
      </c>
      <c r="D58" s="28" t="str">
        <f t="shared" si="12"/>
        <v>CTRL_X_AUX_E_STRESS_X_X_X_X_LSA_VPU4</v>
      </c>
      <c r="E58" t="s">
        <v>215</v>
      </c>
      <c r="F58" t="s">
        <v>208</v>
      </c>
      <c r="G58" t="s">
        <v>876</v>
      </c>
      <c r="H58" t="s">
        <v>207</v>
      </c>
      <c r="I58" t="s">
        <v>208</v>
      </c>
      <c r="J58" t="s">
        <v>208</v>
      </c>
      <c r="K58" t="s">
        <v>208</v>
      </c>
      <c r="L58" t="s">
        <v>208</v>
      </c>
      <c r="M58" t="s">
        <v>5</v>
      </c>
      <c r="N58" t="s">
        <v>1322</v>
      </c>
      <c r="O58" t="s">
        <v>211</v>
      </c>
      <c r="P58" t="s">
        <v>211</v>
      </c>
      <c r="Q58" t="s">
        <v>212</v>
      </c>
      <c r="R58">
        <v>17</v>
      </c>
      <c r="S58">
        <v>32</v>
      </c>
      <c r="T58">
        <v>119</v>
      </c>
      <c r="U58" t="str">
        <f t="shared" si="13"/>
        <v>1732119</v>
      </c>
      <c r="V58">
        <v>1</v>
      </c>
      <c r="W58" t="b">
        <v>0</v>
      </c>
      <c r="AQ58" t="s">
        <v>1343</v>
      </c>
      <c r="AS58">
        <f t="shared" si="11"/>
        <v>3</v>
      </c>
      <c r="AT58" t="s">
        <v>218</v>
      </c>
      <c r="AU58">
        <v>1</v>
      </c>
      <c r="AV58" t="str">
        <f t="shared" si="14"/>
        <v>LSA_VPU_HVQK_E_STRESS_TITO_VPU_NOM_LFM_1900_TILE4</v>
      </c>
      <c r="AW58" t="str">
        <f>$D60</f>
        <v>CTRL_X_AUX_E_STRESS_X_X_X_X_LSA_VPU5</v>
      </c>
    </row>
    <row r="59" spans="1:100" s="28" customFormat="1" x14ac:dyDescent="0.35">
      <c r="A59" s="28" t="s">
        <v>14</v>
      </c>
      <c r="B59" s="28" t="s">
        <v>77</v>
      </c>
      <c r="C59" s="28" t="str">
        <f>VLOOKUP(B59,templateLookup!A:B,2,0)</f>
        <v>iCHVQKTest</v>
      </c>
      <c r="D59" s="28" t="str">
        <f t="shared" si="12"/>
        <v>LSA_VPU_HVQK_E_STRESS_TITO_VPU_NOM_LFM_1900_TILE4</v>
      </c>
      <c r="E59" t="s">
        <v>5</v>
      </c>
      <c r="F59" t="s">
        <v>25</v>
      </c>
      <c r="G59" t="s">
        <v>1005</v>
      </c>
      <c r="H59" t="s">
        <v>207</v>
      </c>
      <c r="I59" t="s">
        <v>260</v>
      </c>
      <c r="J59" t="s">
        <v>25</v>
      </c>
      <c r="K59" t="s">
        <v>284</v>
      </c>
      <c r="L59" t="s">
        <v>285</v>
      </c>
      <c r="M59">
        <v>1900</v>
      </c>
      <c r="N59" t="s">
        <v>1319</v>
      </c>
      <c r="O59" t="s">
        <v>1149</v>
      </c>
      <c r="P59" t="s">
        <v>268</v>
      </c>
      <c r="Q59" t="s">
        <v>1320</v>
      </c>
      <c r="R59">
        <v>17</v>
      </c>
      <c r="S59">
        <v>61</v>
      </c>
      <c r="T59">
        <f>T57+1</f>
        <v>104</v>
      </c>
      <c r="U59" t="str">
        <f t="shared" si="13"/>
        <v>1761104</v>
      </c>
      <c r="V59">
        <v>1</v>
      </c>
      <c r="W59" t="b">
        <v>0</v>
      </c>
      <c r="X59"/>
      <c r="Y59"/>
      <c r="Z59"/>
      <c r="AA59"/>
      <c r="AB59" t="s">
        <v>298</v>
      </c>
      <c r="AC59"/>
      <c r="AD59"/>
      <c r="AE59"/>
      <c r="AF59"/>
      <c r="AG59"/>
      <c r="AH59"/>
      <c r="AI59"/>
      <c r="AJ59"/>
      <c r="AK59"/>
      <c r="AL59"/>
      <c r="AM59"/>
      <c r="AN59"/>
      <c r="AO59"/>
      <c r="AP59" t="s">
        <v>1335</v>
      </c>
      <c r="AQ59"/>
      <c r="AR59"/>
      <c r="AS59">
        <f t="shared" si="11"/>
        <v>5</v>
      </c>
      <c r="AT59" t="s">
        <v>218</v>
      </c>
      <c r="AU59" t="str">
        <f>$D60</f>
        <v>CTRL_X_AUX_E_STRESS_X_X_X_X_LSA_VPU5</v>
      </c>
      <c r="AV59" t="str">
        <f t="shared" si="14"/>
        <v>CTRL_X_AUX_E_STRESS_X_X_X_X_LSA_VPU5</v>
      </c>
      <c r="AW59" t="str">
        <f>$D60</f>
        <v>CTRL_X_AUX_E_STRESS_X_X_X_X_LSA_VPU5</v>
      </c>
      <c r="AX59" t="str">
        <f>$D60</f>
        <v>CTRL_X_AUX_E_STRESS_X_X_X_X_LSA_VPU5</v>
      </c>
      <c r="AY59" t="str">
        <f>$D60</f>
        <v>CTRL_X_AUX_E_STRESS_X_X_X_X_LSA_VPU5</v>
      </c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</row>
    <row r="60" spans="1:100" x14ac:dyDescent="0.35">
      <c r="A60" s="28" t="s">
        <v>14</v>
      </c>
      <c r="B60" s="28" t="s">
        <v>111</v>
      </c>
      <c r="C60" s="28" t="str">
        <f>VLOOKUP(B60,templateLookup!A:B,2,0)</f>
        <v>AuxiliaryTC</v>
      </c>
      <c r="D60" s="28" t="str">
        <f t="shared" si="12"/>
        <v>CTRL_X_AUX_E_STRESS_X_X_X_X_LSA_VPU5</v>
      </c>
      <c r="E60" t="s">
        <v>215</v>
      </c>
      <c r="F60" t="s">
        <v>208</v>
      </c>
      <c r="G60" t="s">
        <v>876</v>
      </c>
      <c r="H60" t="s">
        <v>207</v>
      </c>
      <c r="I60" t="s">
        <v>208</v>
      </c>
      <c r="J60" t="s">
        <v>208</v>
      </c>
      <c r="K60" t="s">
        <v>208</v>
      </c>
      <c r="L60" t="s">
        <v>208</v>
      </c>
      <c r="M60" t="s">
        <v>5</v>
      </c>
      <c r="N60" t="s">
        <v>1326</v>
      </c>
      <c r="O60" t="s">
        <v>211</v>
      </c>
      <c r="P60" t="s">
        <v>211</v>
      </c>
      <c r="Q60" t="s">
        <v>212</v>
      </c>
      <c r="R60">
        <v>17</v>
      </c>
      <c r="S60">
        <v>32</v>
      </c>
      <c r="T60">
        <v>121</v>
      </c>
      <c r="U60" t="str">
        <f t="shared" si="13"/>
        <v>1732121</v>
      </c>
      <c r="V60">
        <v>1</v>
      </c>
      <c r="W60" t="b">
        <v>0</v>
      </c>
      <c r="AQ60" t="s">
        <v>1344</v>
      </c>
      <c r="AS60">
        <f t="shared" si="11"/>
        <v>3</v>
      </c>
      <c r="AT60" t="s">
        <v>218</v>
      </c>
      <c r="AU60">
        <v>1</v>
      </c>
      <c r="AV60" t="str">
        <f t="shared" si="14"/>
        <v>LSA_VPU_HVQK_E_STRESS_TITO_VPU_NOM_LFM_1900_TILE5</v>
      </c>
      <c r="AW60">
        <v>1</v>
      </c>
    </row>
    <row r="61" spans="1:100" s="28" customFormat="1" x14ac:dyDescent="0.35">
      <c r="A61" s="28" t="s">
        <v>14</v>
      </c>
      <c r="B61" s="28" t="s">
        <v>77</v>
      </c>
      <c r="C61" s="28" t="str">
        <f>VLOOKUP(B61,templateLookup!A:B,2,0)</f>
        <v>iCHVQKTest</v>
      </c>
      <c r="D61" s="28" t="str">
        <f t="shared" si="12"/>
        <v>LSA_VPU_HVQK_E_STRESS_TITO_VPU_NOM_LFM_1900_TILE5</v>
      </c>
      <c r="E61" t="s">
        <v>5</v>
      </c>
      <c r="F61" t="s">
        <v>25</v>
      </c>
      <c r="G61" t="s">
        <v>1005</v>
      </c>
      <c r="H61" t="s">
        <v>207</v>
      </c>
      <c r="I61" t="s">
        <v>260</v>
      </c>
      <c r="J61" t="s">
        <v>25</v>
      </c>
      <c r="K61" t="s">
        <v>284</v>
      </c>
      <c r="L61" t="s">
        <v>285</v>
      </c>
      <c r="M61">
        <v>1900</v>
      </c>
      <c r="N61" t="s">
        <v>1323</v>
      </c>
      <c r="O61" t="s">
        <v>1149</v>
      </c>
      <c r="P61" t="s">
        <v>268</v>
      </c>
      <c r="Q61" t="s">
        <v>1324</v>
      </c>
      <c r="R61">
        <v>17</v>
      </c>
      <c r="S61">
        <v>61</v>
      </c>
      <c r="T61">
        <f>T59+1</f>
        <v>105</v>
      </c>
      <c r="U61" t="str">
        <f t="shared" si="13"/>
        <v>1761105</v>
      </c>
      <c r="V61">
        <v>1</v>
      </c>
      <c r="W61" t="b">
        <v>0</v>
      </c>
      <c r="X61"/>
      <c r="Y61"/>
      <c r="Z61"/>
      <c r="AA61"/>
      <c r="AB61" t="s">
        <v>298</v>
      </c>
      <c r="AC61"/>
      <c r="AD61"/>
      <c r="AE61"/>
      <c r="AF61"/>
      <c r="AG61"/>
      <c r="AH61"/>
      <c r="AI61"/>
      <c r="AJ61"/>
      <c r="AK61"/>
      <c r="AL61"/>
      <c r="AM61"/>
      <c r="AN61"/>
      <c r="AO61"/>
      <c r="AP61" t="s">
        <v>1335</v>
      </c>
      <c r="AQ61"/>
      <c r="AR61"/>
      <c r="AS61">
        <f t="shared" si="11"/>
        <v>5</v>
      </c>
      <c r="AT61" t="s">
        <v>218</v>
      </c>
      <c r="AU61">
        <v>1</v>
      </c>
      <c r="AV61">
        <v>1</v>
      </c>
      <c r="AW61">
        <v>1</v>
      </c>
      <c r="AX61">
        <v>1</v>
      </c>
      <c r="AY61">
        <v>1</v>
      </c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</row>
    <row r="62" spans="1:100" s="28" customFormat="1" x14ac:dyDescent="0.35">
      <c r="A62" s="5" t="s">
        <v>14</v>
      </c>
      <c r="B62" s="27" t="s">
        <v>50</v>
      </c>
      <c r="C62" s="27" t="str">
        <f>VLOOKUP(B62,templateLookup!A:B,2,0)</f>
        <v>COMPOSITE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</row>
    <row r="63" spans="1:100" s="28" customFormat="1" x14ac:dyDescent="0.35">
      <c r="A63" s="5" t="s">
        <v>14</v>
      </c>
      <c r="B63" s="27" t="s">
        <v>49</v>
      </c>
      <c r="C63" s="27" t="str">
        <f>VLOOKUP(B63,templateLookup!A:B,2,0)</f>
        <v>COMPOSITE</v>
      </c>
      <c r="D63" s="27" t="s">
        <v>1345</v>
      </c>
      <c r="E63"/>
      <c r="F63" s="5" t="s">
        <v>25</v>
      </c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f t="shared" ref="AS63:AS75" si="15">COUNTA(AU63:BD63)</f>
        <v>2</v>
      </c>
      <c r="AT63" t="s">
        <v>218</v>
      </c>
      <c r="AU63">
        <v>1</v>
      </c>
      <c r="AV63">
        <v>1</v>
      </c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</row>
    <row r="64" spans="1:100" x14ac:dyDescent="0.35">
      <c r="A64" s="28" t="s">
        <v>14</v>
      </c>
      <c r="B64" s="28" t="s">
        <v>111</v>
      </c>
      <c r="C64" s="28" t="str">
        <f>VLOOKUP(B64,templateLookup!A:B,2,0)</f>
        <v>AuxiliaryTC</v>
      </c>
      <c r="D64" s="28" t="str">
        <f t="shared" ref="D64:D75" si="16">E64&amp;"_"&amp;F64&amp;"_"&amp;G64&amp;"_"&amp;H64&amp;"_"&amp;A64&amp;"_"&amp;I64&amp;"_"&amp;J64&amp;"_"&amp;K64&amp;"_"&amp;L64&amp;"_"&amp;M64&amp;"_"&amp;N64</f>
        <v>CTRL_X_AUX_E_STRESS_X_X_X_X_SSA_VPU0</v>
      </c>
      <c r="E64" t="s">
        <v>215</v>
      </c>
      <c r="F64" t="s">
        <v>208</v>
      </c>
      <c r="G64" t="s">
        <v>876</v>
      </c>
      <c r="H64" t="s">
        <v>207</v>
      </c>
      <c r="I64" t="s">
        <v>208</v>
      </c>
      <c r="J64" t="s">
        <v>208</v>
      </c>
      <c r="K64" t="s">
        <v>208</v>
      </c>
      <c r="L64" t="s">
        <v>208</v>
      </c>
      <c r="M64" t="s">
        <v>4</v>
      </c>
      <c r="N64" t="s">
        <v>1306</v>
      </c>
      <c r="O64" t="s">
        <v>211</v>
      </c>
      <c r="P64" t="s">
        <v>211</v>
      </c>
      <c r="Q64" t="s">
        <v>212</v>
      </c>
      <c r="R64">
        <v>17</v>
      </c>
      <c r="S64">
        <v>32</v>
      </c>
      <c r="T64">
        <v>95</v>
      </c>
      <c r="U64" t="str">
        <f t="shared" ref="U64:U75" si="17">R64&amp;S64&amp;T64</f>
        <v>173295</v>
      </c>
      <c r="V64">
        <v>1</v>
      </c>
      <c r="W64" t="b">
        <v>0</v>
      </c>
      <c r="AQ64" t="s">
        <v>1339</v>
      </c>
      <c r="AS64">
        <f t="shared" si="15"/>
        <v>3</v>
      </c>
      <c r="AT64" t="s">
        <v>218</v>
      </c>
      <c r="AU64">
        <v>1</v>
      </c>
      <c r="AV64" t="str">
        <f t="shared" ref="AV64:AV74" si="18">$D65</f>
        <v>SSA_VPU_HVQK_E_STRESS_TITO_VPU_NOM_LFM_1900_TILE0</v>
      </c>
      <c r="AW64" t="str">
        <f>$D66</f>
        <v>CTRL_X_AUX_E_STRESS_X_X_X_X_SSA_VPU1</v>
      </c>
    </row>
    <row r="65" spans="1:100" s="28" customFormat="1" x14ac:dyDescent="0.35">
      <c r="A65" s="28" t="s">
        <v>14</v>
      </c>
      <c r="B65" s="28" t="s">
        <v>77</v>
      </c>
      <c r="C65" s="28" t="str">
        <f>VLOOKUP(B65,templateLookup!A:B,2,0)</f>
        <v>iCHVQKTest</v>
      </c>
      <c r="D65" s="28" t="str">
        <f t="shared" si="16"/>
        <v>SSA_VPU_HVQK_E_STRESS_TITO_VPU_NOM_LFM_1900_TILE0</v>
      </c>
      <c r="E65" t="s">
        <v>4</v>
      </c>
      <c r="F65" t="s">
        <v>25</v>
      </c>
      <c r="G65" t="s">
        <v>1005</v>
      </c>
      <c r="H65" t="s">
        <v>207</v>
      </c>
      <c r="I65" t="s">
        <v>260</v>
      </c>
      <c r="J65" t="s">
        <v>25</v>
      </c>
      <c r="K65" t="s">
        <v>284</v>
      </c>
      <c r="L65" t="s">
        <v>285</v>
      </c>
      <c r="M65">
        <v>1900</v>
      </c>
      <c r="N65" t="s">
        <v>1303</v>
      </c>
      <c r="O65" t="s">
        <v>1149</v>
      </c>
      <c r="P65" t="s">
        <v>268</v>
      </c>
      <c r="Q65" t="s">
        <v>1328</v>
      </c>
      <c r="R65">
        <v>17</v>
      </c>
      <c r="S65">
        <v>61</v>
      </c>
      <c r="T65">
        <v>200</v>
      </c>
      <c r="U65" t="str">
        <f t="shared" si="17"/>
        <v>1761200</v>
      </c>
      <c r="V65">
        <v>1</v>
      </c>
      <c r="W65" t="b">
        <v>0</v>
      </c>
      <c r="X65"/>
      <c r="Y65"/>
      <c r="Z65"/>
      <c r="AA65"/>
      <c r="AB65" t="s">
        <v>298</v>
      </c>
      <c r="AC65"/>
      <c r="AD65"/>
      <c r="AE65"/>
      <c r="AF65"/>
      <c r="AG65"/>
      <c r="AH65"/>
      <c r="AI65"/>
      <c r="AJ65"/>
      <c r="AK65"/>
      <c r="AL65"/>
      <c r="AM65"/>
      <c r="AN65"/>
      <c r="AO65"/>
      <c r="AP65" t="s">
        <v>1335</v>
      </c>
      <c r="AQ65"/>
      <c r="AR65"/>
      <c r="AS65">
        <f t="shared" si="15"/>
        <v>5</v>
      </c>
      <c r="AT65" t="s">
        <v>218</v>
      </c>
      <c r="AU65" t="str">
        <f>$D66</f>
        <v>CTRL_X_AUX_E_STRESS_X_X_X_X_SSA_VPU1</v>
      </c>
      <c r="AV65" t="str">
        <f t="shared" si="18"/>
        <v>CTRL_X_AUX_E_STRESS_X_X_X_X_SSA_VPU1</v>
      </c>
      <c r="AW65" t="str">
        <f>$D66</f>
        <v>CTRL_X_AUX_E_STRESS_X_X_X_X_SSA_VPU1</v>
      </c>
      <c r="AX65" t="str">
        <f>$D66</f>
        <v>CTRL_X_AUX_E_STRESS_X_X_X_X_SSA_VPU1</v>
      </c>
      <c r="AY65" t="str">
        <f>$D66</f>
        <v>CTRL_X_AUX_E_STRESS_X_X_X_X_SSA_VPU1</v>
      </c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</row>
    <row r="66" spans="1:100" x14ac:dyDescent="0.35">
      <c r="A66" s="28" t="s">
        <v>14</v>
      </c>
      <c r="B66" s="28" t="s">
        <v>111</v>
      </c>
      <c r="C66" s="28" t="str">
        <f>VLOOKUP(B66,templateLookup!A:B,2,0)</f>
        <v>AuxiliaryTC</v>
      </c>
      <c r="D66" s="28" t="str">
        <f t="shared" si="16"/>
        <v>CTRL_X_AUX_E_STRESS_X_X_X_X_SSA_VPU1</v>
      </c>
      <c r="E66" t="s">
        <v>215</v>
      </c>
      <c r="F66" t="s">
        <v>208</v>
      </c>
      <c r="G66" t="s">
        <v>876</v>
      </c>
      <c r="H66" t="s">
        <v>207</v>
      </c>
      <c r="I66" t="s">
        <v>208</v>
      </c>
      <c r="J66" t="s">
        <v>208</v>
      </c>
      <c r="K66" t="s">
        <v>208</v>
      </c>
      <c r="L66" t="s">
        <v>208</v>
      </c>
      <c r="M66" t="s">
        <v>4</v>
      </c>
      <c r="N66" t="s">
        <v>1310</v>
      </c>
      <c r="O66" t="s">
        <v>211</v>
      </c>
      <c r="P66" t="s">
        <v>211</v>
      </c>
      <c r="Q66" t="s">
        <v>212</v>
      </c>
      <c r="R66">
        <v>17</v>
      </c>
      <c r="S66">
        <v>32</v>
      </c>
      <c r="T66">
        <v>94</v>
      </c>
      <c r="U66" t="str">
        <f t="shared" si="17"/>
        <v>173294</v>
      </c>
      <c r="V66">
        <v>1</v>
      </c>
      <c r="W66" t="b">
        <v>0</v>
      </c>
      <c r="AQ66" t="s">
        <v>1340</v>
      </c>
      <c r="AS66">
        <f t="shared" si="15"/>
        <v>3</v>
      </c>
      <c r="AT66" t="s">
        <v>218</v>
      </c>
      <c r="AU66">
        <v>1</v>
      </c>
      <c r="AV66" t="str">
        <f t="shared" si="18"/>
        <v>SSA_VPU_HVQK_E_STRESS_TITO_VPU_NOM_LFM_1900_TILE1</v>
      </c>
      <c r="AW66" t="str">
        <f>$D68</f>
        <v>CTRL_X_AUX_E_STRESS_X_X_X_X_SSA_VPU2</v>
      </c>
    </row>
    <row r="67" spans="1:100" s="28" customFormat="1" x14ac:dyDescent="0.35">
      <c r="A67" s="28" t="s">
        <v>14</v>
      </c>
      <c r="B67" s="28" t="s">
        <v>77</v>
      </c>
      <c r="C67" s="28" t="str">
        <f>VLOOKUP(B67,templateLookup!A:B,2,0)</f>
        <v>iCHVQKTest</v>
      </c>
      <c r="D67" s="28" t="str">
        <f t="shared" si="16"/>
        <v>SSA_VPU_HVQK_E_STRESS_TITO_VPU_NOM_LFM_1900_TILE1</v>
      </c>
      <c r="E67" t="s">
        <v>4</v>
      </c>
      <c r="F67" t="s">
        <v>25</v>
      </c>
      <c r="G67" t="s">
        <v>1005</v>
      </c>
      <c r="H67" t="s">
        <v>207</v>
      </c>
      <c r="I67" t="s">
        <v>260</v>
      </c>
      <c r="J67" t="s">
        <v>25</v>
      </c>
      <c r="K67" t="s">
        <v>284</v>
      </c>
      <c r="L67" t="s">
        <v>285</v>
      </c>
      <c r="M67">
        <v>1900</v>
      </c>
      <c r="N67" t="s">
        <v>1307</v>
      </c>
      <c r="O67" t="s">
        <v>1149</v>
      </c>
      <c r="P67" t="s">
        <v>268</v>
      </c>
      <c r="Q67" t="s">
        <v>1329</v>
      </c>
      <c r="R67">
        <v>17</v>
      </c>
      <c r="S67">
        <v>61</v>
      </c>
      <c r="T67">
        <f>T65+1</f>
        <v>201</v>
      </c>
      <c r="U67" t="str">
        <f t="shared" si="17"/>
        <v>1761201</v>
      </c>
      <c r="V67">
        <v>1</v>
      </c>
      <c r="W67" t="b">
        <v>0</v>
      </c>
      <c r="X67"/>
      <c r="Y67"/>
      <c r="Z67"/>
      <c r="AA67"/>
      <c r="AB67" t="s">
        <v>298</v>
      </c>
      <c r="AC67"/>
      <c r="AD67"/>
      <c r="AE67"/>
      <c r="AF67"/>
      <c r="AG67"/>
      <c r="AH67"/>
      <c r="AI67"/>
      <c r="AJ67"/>
      <c r="AK67"/>
      <c r="AL67"/>
      <c r="AM67"/>
      <c r="AN67"/>
      <c r="AO67"/>
      <c r="AP67" t="s">
        <v>1335</v>
      </c>
      <c r="AQ67"/>
      <c r="AR67"/>
      <c r="AS67">
        <f t="shared" si="15"/>
        <v>5</v>
      </c>
      <c r="AT67" t="s">
        <v>218</v>
      </c>
      <c r="AU67" t="str">
        <f>$D68</f>
        <v>CTRL_X_AUX_E_STRESS_X_X_X_X_SSA_VPU2</v>
      </c>
      <c r="AV67" t="str">
        <f t="shared" si="18"/>
        <v>CTRL_X_AUX_E_STRESS_X_X_X_X_SSA_VPU2</v>
      </c>
      <c r="AW67" t="str">
        <f>$D68</f>
        <v>CTRL_X_AUX_E_STRESS_X_X_X_X_SSA_VPU2</v>
      </c>
      <c r="AX67" t="str">
        <f>$D68</f>
        <v>CTRL_X_AUX_E_STRESS_X_X_X_X_SSA_VPU2</v>
      </c>
      <c r="AY67" t="str">
        <f>$D68</f>
        <v>CTRL_X_AUX_E_STRESS_X_X_X_X_SSA_VPU2</v>
      </c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</row>
    <row r="68" spans="1:100" x14ac:dyDescent="0.35">
      <c r="A68" s="28" t="s">
        <v>14</v>
      </c>
      <c r="B68" s="28" t="s">
        <v>111</v>
      </c>
      <c r="C68" s="28" t="str">
        <f>VLOOKUP(B68,templateLookup!A:B,2,0)</f>
        <v>AuxiliaryTC</v>
      </c>
      <c r="D68" s="28" t="str">
        <f t="shared" si="16"/>
        <v>CTRL_X_AUX_E_STRESS_X_X_X_X_SSA_VPU2</v>
      </c>
      <c r="E68" t="s">
        <v>215</v>
      </c>
      <c r="F68" t="s">
        <v>208</v>
      </c>
      <c r="G68" t="s">
        <v>876</v>
      </c>
      <c r="H68" t="s">
        <v>207</v>
      </c>
      <c r="I68" t="s">
        <v>208</v>
      </c>
      <c r="J68" t="s">
        <v>208</v>
      </c>
      <c r="K68" t="s">
        <v>208</v>
      </c>
      <c r="L68" t="s">
        <v>208</v>
      </c>
      <c r="M68" t="s">
        <v>4</v>
      </c>
      <c r="N68" t="s">
        <v>1314</v>
      </c>
      <c r="O68" t="s">
        <v>211</v>
      </c>
      <c r="P68" t="s">
        <v>211</v>
      </c>
      <c r="Q68" t="s">
        <v>212</v>
      </c>
      <c r="R68">
        <v>17</v>
      </c>
      <c r="S68">
        <v>32</v>
      </c>
      <c r="T68">
        <v>93</v>
      </c>
      <c r="U68" t="str">
        <f t="shared" si="17"/>
        <v>173293</v>
      </c>
      <c r="V68">
        <v>1</v>
      </c>
      <c r="W68" t="b">
        <v>0</v>
      </c>
      <c r="AQ68" t="s">
        <v>1341</v>
      </c>
      <c r="AS68">
        <f t="shared" si="15"/>
        <v>3</v>
      </c>
      <c r="AT68" t="s">
        <v>218</v>
      </c>
      <c r="AU68">
        <v>1</v>
      </c>
      <c r="AV68" t="str">
        <f t="shared" si="18"/>
        <v>SSA_VPU_HVQK_E_STRESS_TITO_VPU_NOM_LFM_1900_TILE2</v>
      </c>
      <c r="AW68" t="str">
        <f>$D70</f>
        <v>CTRL_X_AUX_E_STRESS_X_X_X_X_SSA_VPU3</v>
      </c>
    </row>
    <row r="69" spans="1:100" s="28" customFormat="1" x14ac:dyDescent="0.35">
      <c r="A69" s="28" t="s">
        <v>14</v>
      </c>
      <c r="B69" s="28" t="s">
        <v>77</v>
      </c>
      <c r="C69" s="28" t="str">
        <f>VLOOKUP(B69,templateLookup!A:B,2,0)</f>
        <v>iCHVQKTest</v>
      </c>
      <c r="D69" s="28" t="str">
        <f t="shared" si="16"/>
        <v>SSA_VPU_HVQK_E_STRESS_TITO_VPU_NOM_LFM_1900_TILE2</v>
      </c>
      <c r="E69" t="s">
        <v>4</v>
      </c>
      <c r="F69" t="s">
        <v>25</v>
      </c>
      <c r="G69" t="s">
        <v>1005</v>
      </c>
      <c r="H69" t="s">
        <v>207</v>
      </c>
      <c r="I69" t="s">
        <v>260</v>
      </c>
      <c r="J69" t="s">
        <v>25</v>
      </c>
      <c r="K69" t="s">
        <v>284</v>
      </c>
      <c r="L69" t="s">
        <v>285</v>
      </c>
      <c r="M69">
        <v>1900</v>
      </c>
      <c r="N69" t="s">
        <v>1311</v>
      </c>
      <c r="O69" t="s">
        <v>1149</v>
      </c>
      <c r="P69" t="s">
        <v>268</v>
      </c>
      <c r="Q69" t="s">
        <v>1330</v>
      </c>
      <c r="R69">
        <v>17</v>
      </c>
      <c r="S69">
        <v>61</v>
      </c>
      <c r="T69">
        <f>T67+1</f>
        <v>202</v>
      </c>
      <c r="U69" t="str">
        <f t="shared" si="17"/>
        <v>1761202</v>
      </c>
      <c r="V69">
        <v>1</v>
      </c>
      <c r="W69" t="b">
        <v>0</v>
      </c>
      <c r="X69"/>
      <c r="Y69"/>
      <c r="Z69"/>
      <c r="AA69"/>
      <c r="AB69" t="s">
        <v>298</v>
      </c>
      <c r="AC69"/>
      <c r="AD69"/>
      <c r="AE69"/>
      <c r="AF69"/>
      <c r="AG69"/>
      <c r="AH69"/>
      <c r="AI69"/>
      <c r="AJ69"/>
      <c r="AK69"/>
      <c r="AL69"/>
      <c r="AM69"/>
      <c r="AN69"/>
      <c r="AO69"/>
      <c r="AP69" t="s">
        <v>1335</v>
      </c>
      <c r="AQ69"/>
      <c r="AR69"/>
      <c r="AS69">
        <f t="shared" si="15"/>
        <v>5</v>
      </c>
      <c r="AT69" t="s">
        <v>218</v>
      </c>
      <c r="AU69" t="str">
        <f>$D70</f>
        <v>CTRL_X_AUX_E_STRESS_X_X_X_X_SSA_VPU3</v>
      </c>
      <c r="AV69" t="str">
        <f t="shared" si="18"/>
        <v>CTRL_X_AUX_E_STRESS_X_X_X_X_SSA_VPU3</v>
      </c>
      <c r="AW69" t="str">
        <f>$D70</f>
        <v>CTRL_X_AUX_E_STRESS_X_X_X_X_SSA_VPU3</v>
      </c>
      <c r="AX69" t="str">
        <f>$D70</f>
        <v>CTRL_X_AUX_E_STRESS_X_X_X_X_SSA_VPU3</v>
      </c>
      <c r="AY69" t="str">
        <f>$D70</f>
        <v>CTRL_X_AUX_E_STRESS_X_X_X_X_SSA_VPU3</v>
      </c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</row>
    <row r="70" spans="1:100" x14ac:dyDescent="0.35">
      <c r="A70" s="28" t="s">
        <v>14</v>
      </c>
      <c r="B70" s="28" t="s">
        <v>111</v>
      </c>
      <c r="C70" s="28" t="str">
        <f>VLOOKUP(B70,templateLookup!A:B,2,0)</f>
        <v>AuxiliaryTC</v>
      </c>
      <c r="D70" s="28" t="str">
        <f t="shared" si="16"/>
        <v>CTRL_X_AUX_E_STRESS_X_X_X_X_SSA_VPU3</v>
      </c>
      <c r="E70" t="s">
        <v>215</v>
      </c>
      <c r="F70" t="s">
        <v>208</v>
      </c>
      <c r="G70" t="s">
        <v>876</v>
      </c>
      <c r="H70" t="s">
        <v>207</v>
      </c>
      <c r="I70" t="s">
        <v>208</v>
      </c>
      <c r="J70" t="s">
        <v>208</v>
      </c>
      <c r="K70" t="s">
        <v>208</v>
      </c>
      <c r="L70" t="s">
        <v>208</v>
      </c>
      <c r="M70" t="s">
        <v>4</v>
      </c>
      <c r="N70" t="s">
        <v>1318</v>
      </c>
      <c r="O70" t="s">
        <v>211</v>
      </c>
      <c r="P70" t="s">
        <v>211</v>
      </c>
      <c r="Q70" t="s">
        <v>212</v>
      </c>
      <c r="R70">
        <v>17</v>
      </c>
      <c r="S70">
        <v>32</v>
      </c>
      <c r="T70">
        <v>92</v>
      </c>
      <c r="U70" t="str">
        <f t="shared" si="17"/>
        <v>173292</v>
      </c>
      <c r="V70">
        <v>1</v>
      </c>
      <c r="W70" t="b">
        <v>0</v>
      </c>
      <c r="AQ70" t="s">
        <v>1342</v>
      </c>
      <c r="AS70">
        <f t="shared" si="15"/>
        <v>3</v>
      </c>
      <c r="AT70" t="s">
        <v>218</v>
      </c>
      <c r="AU70">
        <v>1</v>
      </c>
      <c r="AV70" t="str">
        <f t="shared" si="18"/>
        <v>SSA_VPU_HVQK_E_STRESS_TITO_VPU_NOM_LFM_1900_TILE3</v>
      </c>
      <c r="AW70" t="str">
        <f>$D72</f>
        <v>CTRL_X_AUX_E_STRESS_X_X_X_X_SSA_VPU4</v>
      </c>
    </row>
    <row r="71" spans="1:100" s="28" customFormat="1" x14ac:dyDescent="0.35">
      <c r="A71" s="28" t="s">
        <v>14</v>
      </c>
      <c r="B71" s="28" t="s">
        <v>77</v>
      </c>
      <c r="C71" s="28" t="str">
        <f>VLOOKUP(B71,templateLookup!A:B,2,0)</f>
        <v>iCHVQKTest</v>
      </c>
      <c r="D71" s="28" t="str">
        <f t="shared" si="16"/>
        <v>SSA_VPU_HVQK_E_STRESS_TITO_VPU_NOM_LFM_1900_TILE3</v>
      </c>
      <c r="E71" t="s">
        <v>4</v>
      </c>
      <c r="F71" t="s">
        <v>25</v>
      </c>
      <c r="G71" t="s">
        <v>1005</v>
      </c>
      <c r="H71" t="s">
        <v>207</v>
      </c>
      <c r="I71" t="s">
        <v>260</v>
      </c>
      <c r="J71" t="s">
        <v>25</v>
      </c>
      <c r="K71" t="s">
        <v>284</v>
      </c>
      <c r="L71" t="s">
        <v>285</v>
      </c>
      <c r="M71">
        <v>1900</v>
      </c>
      <c r="N71" t="s">
        <v>1315</v>
      </c>
      <c r="O71" t="s">
        <v>1149</v>
      </c>
      <c r="P71" t="s">
        <v>268</v>
      </c>
      <c r="Q71" t="s">
        <v>1331</v>
      </c>
      <c r="R71">
        <v>17</v>
      </c>
      <c r="S71">
        <v>61</v>
      </c>
      <c r="T71">
        <f>T69+1</f>
        <v>203</v>
      </c>
      <c r="U71" t="str">
        <f t="shared" si="17"/>
        <v>1761203</v>
      </c>
      <c r="V71">
        <v>1</v>
      </c>
      <c r="W71" t="b">
        <v>0</v>
      </c>
      <c r="X71"/>
      <c r="Y71"/>
      <c r="Z71"/>
      <c r="AA71"/>
      <c r="AB71" t="s">
        <v>298</v>
      </c>
      <c r="AC71"/>
      <c r="AD71"/>
      <c r="AE71"/>
      <c r="AF71"/>
      <c r="AG71"/>
      <c r="AH71"/>
      <c r="AI71"/>
      <c r="AJ71"/>
      <c r="AK71"/>
      <c r="AL71"/>
      <c r="AM71"/>
      <c r="AN71"/>
      <c r="AO71"/>
      <c r="AP71" t="s">
        <v>1335</v>
      </c>
      <c r="AQ71"/>
      <c r="AR71"/>
      <c r="AS71">
        <f t="shared" si="15"/>
        <v>5</v>
      </c>
      <c r="AT71" t="s">
        <v>218</v>
      </c>
      <c r="AU71" t="str">
        <f>$D72</f>
        <v>CTRL_X_AUX_E_STRESS_X_X_X_X_SSA_VPU4</v>
      </c>
      <c r="AV71" t="str">
        <f t="shared" si="18"/>
        <v>CTRL_X_AUX_E_STRESS_X_X_X_X_SSA_VPU4</v>
      </c>
      <c r="AW71" t="str">
        <f>$D72</f>
        <v>CTRL_X_AUX_E_STRESS_X_X_X_X_SSA_VPU4</v>
      </c>
      <c r="AX71" t="str">
        <f>$D72</f>
        <v>CTRL_X_AUX_E_STRESS_X_X_X_X_SSA_VPU4</v>
      </c>
      <c r="AY71" t="str">
        <f>$D72</f>
        <v>CTRL_X_AUX_E_STRESS_X_X_X_X_SSA_VPU4</v>
      </c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</row>
    <row r="72" spans="1:100" x14ac:dyDescent="0.35">
      <c r="A72" s="28" t="s">
        <v>14</v>
      </c>
      <c r="B72" s="28" t="s">
        <v>111</v>
      </c>
      <c r="C72" s="28" t="str">
        <f>VLOOKUP(B72,templateLookup!A:B,2,0)</f>
        <v>AuxiliaryTC</v>
      </c>
      <c r="D72" s="28" t="str">
        <f t="shared" si="16"/>
        <v>CTRL_X_AUX_E_STRESS_X_X_X_X_SSA_VPU4</v>
      </c>
      <c r="E72" t="s">
        <v>215</v>
      </c>
      <c r="F72" t="s">
        <v>208</v>
      </c>
      <c r="G72" t="s">
        <v>876</v>
      </c>
      <c r="H72" t="s">
        <v>207</v>
      </c>
      <c r="I72" t="s">
        <v>208</v>
      </c>
      <c r="J72" t="s">
        <v>208</v>
      </c>
      <c r="K72" t="s">
        <v>208</v>
      </c>
      <c r="L72" t="s">
        <v>208</v>
      </c>
      <c r="M72" t="s">
        <v>4</v>
      </c>
      <c r="N72" t="s">
        <v>1322</v>
      </c>
      <c r="O72" t="s">
        <v>211</v>
      </c>
      <c r="P72" t="s">
        <v>211</v>
      </c>
      <c r="Q72" t="s">
        <v>212</v>
      </c>
      <c r="R72">
        <v>17</v>
      </c>
      <c r="S72">
        <v>32</v>
      </c>
      <c r="T72">
        <v>91</v>
      </c>
      <c r="U72" t="str">
        <f t="shared" si="17"/>
        <v>173291</v>
      </c>
      <c r="V72">
        <v>1</v>
      </c>
      <c r="W72" t="b">
        <v>0</v>
      </c>
      <c r="AQ72" t="s">
        <v>1343</v>
      </c>
      <c r="AS72">
        <f t="shared" si="15"/>
        <v>3</v>
      </c>
      <c r="AT72" t="s">
        <v>218</v>
      </c>
      <c r="AU72">
        <v>1</v>
      </c>
      <c r="AV72" t="str">
        <f t="shared" si="18"/>
        <v>SSA_VPU_HVQK_E_STRESS_TITO_VPU_NOM_LFM_1900_TILE4</v>
      </c>
      <c r="AW72" t="str">
        <f>$D74</f>
        <v>CTRL_X_AUX_E_STRESS_X_X_X_X_SSA_VPU5</v>
      </c>
    </row>
    <row r="73" spans="1:100" s="28" customFormat="1" x14ac:dyDescent="0.35">
      <c r="A73" s="28" t="s">
        <v>14</v>
      </c>
      <c r="B73" s="28" t="s">
        <v>77</v>
      </c>
      <c r="C73" s="28" t="str">
        <f>VLOOKUP(B73,templateLookup!A:B,2,0)</f>
        <v>iCHVQKTest</v>
      </c>
      <c r="D73" s="28" t="str">
        <f t="shared" si="16"/>
        <v>SSA_VPU_HVQK_E_STRESS_TITO_VPU_NOM_LFM_1900_TILE4</v>
      </c>
      <c r="E73" t="s">
        <v>4</v>
      </c>
      <c r="F73" t="s">
        <v>25</v>
      </c>
      <c r="G73" t="s">
        <v>1005</v>
      </c>
      <c r="H73" t="s">
        <v>207</v>
      </c>
      <c r="I73" t="s">
        <v>260</v>
      </c>
      <c r="J73" t="s">
        <v>25</v>
      </c>
      <c r="K73" t="s">
        <v>284</v>
      </c>
      <c r="L73" t="s">
        <v>285</v>
      </c>
      <c r="M73">
        <v>1900</v>
      </c>
      <c r="N73" t="s">
        <v>1319</v>
      </c>
      <c r="O73" t="s">
        <v>1149</v>
      </c>
      <c r="P73" t="s">
        <v>268</v>
      </c>
      <c r="Q73" t="s">
        <v>1332</v>
      </c>
      <c r="R73">
        <v>17</v>
      </c>
      <c r="S73">
        <v>61</v>
      </c>
      <c r="T73">
        <f>T71+1</f>
        <v>204</v>
      </c>
      <c r="U73" t="str">
        <f t="shared" si="17"/>
        <v>1761204</v>
      </c>
      <c r="V73">
        <v>1</v>
      </c>
      <c r="W73" t="b">
        <v>0</v>
      </c>
      <c r="X73"/>
      <c r="Y73"/>
      <c r="Z73"/>
      <c r="AA73"/>
      <c r="AB73" t="s">
        <v>298</v>
      </c>
      <c r="AC73"/>
      <c r="AD73"/>
      <c r="AE73"/>
      <c r="AF73"/>
      <c r="AG73"/>
      <c r="AH73"/>
      <c r="AI73"/>
      <c r="AJ73"/>
      <c r="AK73"/>
      <c r="AL73"/>
      <c r="AM73"/>
      <c r="AN73"/>
      <c r="AO73"/>
      <c r="AP73" t="s">
        <v>1335</v>
      </c>
      <c r="AQ73"/>
      <c r="AR73"/>
      <c r="AS73">
        <f t="shared" si="15"/>
        <v>5</v>
      </c>
      <c r="AT73" t="s">
        <v>218</v>
      </c>
      <c r="AU73" t="str">
        <f>$D74</f>
        <v>CTRL_X_AUX_E_STRESS_X_X_X_X_SSA_VPU5</v>
      </c>
      <c r="AV73" t="str">
        <f t="shared" si="18"/>
        <v>CTRL_X_AUX_E_STRESS_X_X_X_X_SSA_VPU5</v>
      </c>
      <c r="AW73" t="str">
        <f>$D74</f>
        <v>CTRL_X_AUX_E_STRESS_X_X_X_X_SSA_VPU5</v>
      </c>
      <c r="AX73" t="str">
        <f>$D74</f>
        <v>CTRL_X_AUX_E_STRESS_X_X_X_X_SSA_VPU5</v>
      </c>
      <c r="AY73" t="str">
        <f>$D74</f>
        <v>CTRL_X_AUX_E_STRESS_X_X_X_X_SSA_VPU5</v>
      </c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</row>
    <row r="74" spans="1:100" x14ac:dyDescent="0.35">
      <c r="A74" s="28" t="s">
        <v>14</v>
      </c>
      <c r="B74" s="28" t="s">
        <v>111</v>
      </c>
      <c r="C74" s="28" t="str">
        <f>VLOOKUP(B74,templateLookup!A:B,2,0)</f>
        <v>AuxiliaryTC</v>
      </c>
      <c r="D74" s="28" t="str">
        <f t="shared" si="16"/>
        <v>CTRL_X_AUX_E_STRESS_X_X_X_X_SSA_VPU5</v>
      </c>
      <c r="E74" t="s">
        <v>215</v>
      </c>
      <c r="F74" t="s">
        <v>208</v>
      </c>
      <c r="G74" t="s">
        <v>876</v>
      </c>
      <c r="H74" t="s">
        <v>207</v>
      </c>
      <c r="I74" t="s">
        <v>208</v>
      </c>
      <c r="J74" t="s">
        <v>208</v>
      </c>
      <c r="K74" t="s">
        <v>208</v>
      </c>
      <c r="L74" t="s">
        <v>208</v>
      </c>
      <c r="M74" t="s">
        <v>4</v>
      </c>
      <c r="N74" t="s">
        <v>1326</v>
      </c>
      <c r="O74" t="s">
        <v>211</v>
      </c>
      <c r="P74" t="s">
        <v>211</v>
      </c>
      <c r="Q74" t="s">
        <v>212</v>
      </c>
      <c r="R74">
        <v>17</v>
      </c>
      <c r="S74">
        <v>32</v>
      </c>
      <c r="T74">
        <v>90</v>
      </c>
      <c r="U74" t="str">
        <f t="shared" si="17"/>
        <v>173290</v>
      </c>
      <c r="V74">
        <v>1</v>
      </c>
      <c r="W74" t="b">
        <v>0</v>
      </c>
      <c r="AQ74" t="s">
        <v>1344</v>
      </c>
      <c r="AS74">
        <f t="shared" si="15"/>
        <v>3</v>
      </c>
      <c r="AT74" t="s">
        <v>218</v>
      </c>
      <c r="AU74">
        <v>1</v>
      </c>
      <c r="AV74" t="str">
        <f t="shared" si="18"/>
        <v>SSA_VPU_HVQK_E_STRESS_TITO_VPU_NOM_LFM_1900_TILE5</v>
      </c>
      <c r="AW74">
        <v>1</v>
      </c>
    </row>
    <row r="75" spans="1:100" s="28" customFormat="1" x14ac:dyDescent="0.35">
      <c r="A75" s="28" t="s">
        <v>14</v>
      </c>
      <c r="B75" s="28" t="s">
        <v>77</v>
      </c>
      <c r="C75" s="28" t="str">
        <f>VLOOKUP(B75,templateLookup!A:B,2,0)</f>
        <v>iCHVQKTest</v>
      </c>
      <c r="D75" s="28" t="str">
        <f t="shared" si="16"/>
        <v>SSA_VPU_HVQK_E_STRESS_TITO_VPU_NOM_LFM_1900_TILE5</v>
      </c>
      <c r="E75" t="s">
        <v>4</v>
      </c>
      <c r="F75" t="s">
        <v>25</v>
      </c>
      <c r="G75" t="s">
        <v>1005</v>
      </c>
      <c r="H75" t="s">
        <v>207</v>
      </c>
      <c r="I75" t="s">
        <v>260</v>
      </c>
      <c r="J75" t="s">
        <v>25</v>
      </c>
      <c r="K75" t="s">
        <v>284</v>
      </c>
      <c r="L75" t="s">
        <v>285</v>
      </c>
      <c r="M75">
        <v>1900</v>
      </c>
      <c r="N75" t="s">
        <v>1323</v>
      </c>
      <c r="O75" t="s">
        <v>1149</v>
      </c>
      <c r="P75" t="s">
        <v>268</v>
      </c>
      <c r="Q75" t="s">
        <v>1333</v>
      </c>
      <c r="R75">
        <v>17</v>
      </c>
      <c r="S75">
        <v>61</v>
      </c>
      <c r="T75">
        <f>T73+1</f>
        <v>205</v>
      </c>
      <c r="U75" t="str">
        <f t="shared" si="17"/>
        <v>1761205</v>
      </c>
      <c r="V75">
        <v>1</v>
      </c>
      <c r="W75" t="b">
        <v>0</v>
      </c>
      <c r="X75"/>
      <c r="Y75"/>
      <c r="Z75"/>
      <c r="AA75"/>
      <c r="AB75" t="s">
        <v>298</v>
      </c>
      <c r="AC75"/>
      <c r="AD75"/>
      <c r="AE75"/>
      <c r="AF75"/>
      <c r="AG75"/>
      <c r="AH75"/>
      <c r="AI75"/>
      <c r="AJ75"/>
      <c r="AK75"/>
      <c r="AL75"/>
      <c r="AM75"/>
      <c r="AN75"/>
      <c r="AO75"/>
      <c r="AP75" t="s">
        <v>1335</v>
      </c>
      <c r="AQ75"/>
      <c r="AR75"/>
      <c r="AS75">
        <f t="shared" si="15"/>
        <v>5</v>
      </c>
      <c r="AT75" t="s">
        <v>218</v>
      </c>
      <c r="AU75">
        <v>1</v>
      </c>
      <c r="AV75">
        <v>1</v>
      </c>
      <c r="AW75">
        <v>1</v>
      </c>
      <c r="AX75">
        <v>1</v>
      </c>
      <c r="AY75">
        <v>1</v>
      </c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</row>
    <row r="76" spans="1:100" s="28" customFormat="1" x14ac:dyDescent="0.35">
      <c r="A76" s="5" t="s">
        <v>14</v>
      </c>
      <c r="B76" s="27" t="s">
        <v>50</v>
      </c>
      <c r="C76" s="27" t="str">
        <f>VLOOKUP(B76,templateLookup!A:B,2,0)</f>
        <v>COMPOSITE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</row>
    <row r="77" spans="1:100" x14ac:dyDescent="0.35">
      <c r="A77" s="5" t="s">
        <v>14</v>
      </c>
      <c r="B77" s="23" t="s">
        <v>49</v>
      </c>
      <c r="C77" s="23" t="str">
        <f>VLOOKUP(B77,templateLookup!A:B,2,0)</f>
        <v>COMPOSITE</v>
      </c>
      <c r="D77" s="23" t="s">
        <v>1010</v>
      </c>
      <c r="E77" s="10"/>
      <c r="F77" s="5" t="s">
        <v>25</v>
      </c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t="str">
        <f>R77&amp;S77&amp;T77</f>
        <v/>
      </c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L77" s="10"/>
      <c r="AM77" s="10"/>
      <c r="AN77" s="10"/>
      <c r="AO77" s="10"/>
      <c r="AP77" s="10"/>
      <c r="AQ77" s="10"/>
      <c r="AR77" s="10"/>
      <c r="AS77" s="10">
        <f>COUNTA(AU77:BD77)</f>
        <v>2</v>
      </c>
      <c r="AT77" s="10" t="s">
        <v>218</v>
      </c>
      <c r="AU77" s="10">
        <v>1</v>
      </c>
      <c r="AV77" s="10">
        <v>1</v>
      </c>
      <c r="AW77" s="10"/>
      <c r="AX77" s="10"/>
      <c r="AY77" s="10"/>
      <c r="AZ77" s="10"/>
      <c r="BA77" s="10"/>
      <c r="BB77" s="10"/>
      <c r="BC77" s="10"/>
      <c r="BD77" s="10"/>
    </row>
    <row r="78" spans="1:100" x14ac:dyDescent="0.35">
      <c r="A78" s="13" t="s">
        <v>14</v>
      </c>
      <c r="B78" s="24" t="s">
        <v>102</v>
      </c>
      <c r="C78" s="24" t="str">
        <f>VLOOKUP(B78,templateLookup!A:B,2,0)</f>
        <v>PrimeShmooTestMethod</v>
      </c>
      <c r="D78" s="24" t="str">
        <f>E78&amp;"_"&amp;F78&amp;"_"&amp;G78&amp;"_"&amp;H78&amp;"_"&amp;A78&amp;"_"&amp;I78&amp;"_"&amp;J78&amp;"_"&amp;K78&amp;"_"&amp;L78&amp;"_"&amp;M78&amp;"_"&amp;N78</f>
        <v>XSA_VPU_SHMOO_E_STRESS_TITO_VPU_NOM_LFM_1900_ALL</v>
      </c>
      <c r="E78" t="s">
        <v>205</v>
      </c>
      <c r="F78" t="s">
        <v>25</v>
      </c>
      <c r="G78" t="s">
        <v>1011</v>
      </c>
      <c r="H78" t="s">
        <v>207</v>
      </c>
      <c r="I78" t="s">
        <v>260</v>
      </c>
      <c r="J78" t="s">
        <v>25</v>
      </c>
      <c r="K78" t="s">
        <v>284</v>
      </c>
      <c r="L78" t="s">
        <v>285</v>
      </c>
      <c r="M78">
        <v>1900</v>
      </c>
      <c r="N78" t="s">
        <v>7</v>
      </c>
      <c r="O78" t="s">
        <v>1012</v>
      </c>
      <c r="P78" t="s">
        <v>268</v>
      </c>
      <c r="Q78" t="s">
        <v>1295</v>
      </c>
      <c r="R78">
        <v>17</v>
      </c>
      <c r="S78">
        <v>61</v>
      </c>
      <c r="T78">
        <v>31</v>
      </c>
      <c r="U78" t="str">
        <f>R78&amp;S78&amp;T78</f>
        <v>176131</v>
      </c>
      <c r="V78">
        <v>1</v>
      </c>
      <c r="W78" t="b">
        <v>0</v>
      </c>
      <c r="AA78" t="s">
        <v>1062</v>
      </c>
      <c r="AB78" t="s">
        <v>298</v>
      </c>
      <c r="AS78">
        <f>COUNTA(AU78:BD78)</f>
        <v>4</v>
      </c>
      <c r="AT78" t="s">
        <v>920</v>
      </c>
      <c r="AU78">
        <v>1</v>
      </c>
      <c r="AV78">
        <v>1</v>
      </c>
      <c r="AW78">
        <v>1</v>
      </c>
      <c r="AX78">
        <v>1</v>
      </c>
    </row>
    <row r="79" spans="1:100" x14ac:dyDescent="0.35">
      <c r="A79" s="5" t="s">
        <v>14</v>
      </c>
      <c r="B79" s="23" t="s">
        <v>50</v>
      </c>
      <c r="C79" s="23" t="str">
        <f>VLOOKUP(B79,templateLookup!A:B,2,0)</f>
        <v>COMPOSITE</v>
      </c>
      <c r="D79" s="23"/>
      <c r="E79" s="10"/>
      <c r="F79" s="10"/>
      <c r="G79" s="10"/>
      <c r="H79" s="10"/>
      <c r="I79" s="10"/>
      <c r="J79" s="10"/>
      <c r="K79" s="10"/>
      <c r="L79" s="10"/>
      <c r="M79" s="10"/>
      <c r="O79" s="10"/>
      <c r="P79" s="10"/>
      <c r="Q79" s="10"/>
      <c r="R79" s="10"/>
      <c r="S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</row>
    <row r="80" spans="1:100" x14ac:dyDescent="0.35">
      <c r="A80" s="28" t="s">
        <v>14</v>
      </c>
      <c r="B80" s="34" t="s">
        <v>50</v>
      </c>
      <c r="C80" s="34" t="str">
        <f>VLOOKUP(B80,templateLookup!A:B,2,0)</f>
        <v>COMPOSITE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t="str">
        <f>R80&amp;S80&amp;T80</f>
        <v/>
      </c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</row>
    <row r="81" spans="1:56" x14ac:dyDescent="0.35">
      <c r="A81" s="28" t="s">
        <v>1015</v>
      </c>
      <c r="B81" s="5" t="s">
        <v>49</v>
      </c>
      <c r="C81" s="5" t="str">
        <f>VLOOKUP(B81,templateLookup!A:B,2,0)</f>
        <v>COMPOSITE</v>
      </c>
      <c r="D81" s="5" t="s">
        <v>1015</v>
      </c>
      <c r="E81" s="5"/>
      <c r="F81" s="5" t="s">
        <v>25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t="str">
        <f>R81&amp;S81&amp;T81</f>
        <v/>
      </c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</row>
    <row r="82" spans="1:56" x14ac:dyDescent="0.35">
      <c r="A82" s="28" t="s">
        <v>1015</v>
      </c>
      <c r="B82" s="33" t="s">
        <v>65</v>
      </c>
      <c r="C82" s="33" t="str">
        <f>VLOOKUP(B82,templateLookup!A:B,2,0)</f>
        <v>PrimeVminSearchTestMethod</v>
      </c>
      <c r="D82" s="33" t="str">
        <f>E82&amp;"_"&amp;F82&amp;"_"&amp;G82&amp;"_"&amp;H82&amp;"_"&amp;A82&amp;"_"&amp;I82&amp;"_"&amp;J82&amp;"_"&amp;K82&amp;"_"&amp;L82&amp;"_"&amp;M82&amp;"_"&amp;N82</f>
        <v>XSA_VPU_VMIN_K_POSTHVQK_TITO_VPU_NOM_LFM_1900_ALL</v>
      </c>
      <c r="E82" t="s">
        <v>205</v>
      </c>
      <c r="F82" t="s">
        <v>25</v>
      </c>
      <c r="G82" t="s">
        <v>951</v>
      </c>
      <c r="H82" t="s">
        <v>253</v>
      </c>
      <c r="I82" t="s">
        <v>260</v>
      </c>
      <c r="J82" t="s">
        <v>25</v>
      </c>
      <c r="K82" t="s">
        <v>284</v>
      </c>
      <c r="L82" t="s">
        <v>285</v>
      </c>
      <c r="M82">
        <v>1900</v>
      </c>
      <c r="N82" t="s">
        <v>7</v>
      </c>
      <c r="O82" t="s">
        <v>267</v>
      </c>
      <c r="P82" t="s">
        <v>268</v>
      </c>
      <c r="Q82" t="s">
        <v>1295</v>
      </c>
      <c r="R82">
        <v>26</v>
      </c>
      <c r="S82">
        <v>61</v>
      </c>
      <c r="T82">
        <v>33</v>
      </c>
      <c r="U82" t="str">
        <f>R82&amp;S82&amp;T82</f>
        <v>266133</v>
      </c>
      <c r="V82">
        <v>-1</v>
      </c>
      <c r="W82" t="b">
        <v>1</v>
      </c>
      <c r="X82">
        <v>2216</v>
      </c>
      <c r="Y82" t="s">
        <v>955</v>
      </c>
      <c r="AB82" t="s">
        <v>298</v>
      </c>
      <c r="AC82" t="s">
        <v>257</v>
      </c>
      <c r="AD82" t="s">
        <v>696</v>
      </c>
      <c r="AS82">
        <f>COUNTA(AU82:BD82)</f>
        <v>2</v>
      </c>
      <c r="AT82">
        <v>1</v>
      </c>
      <c r="AU82" t="str">
        <f>$D83</f>
        <v>XSA_NON_RECOVERY_POST</v>
      </c>
      <c r="AV82">
        <v>1</v>
      </c>
    </row>
    <row r="83" spans="1:56" x14ac:dyDescent="0.35">
      <c r="A83" s="28" t="s">
        <v>1015</v>
      </c>
      <c r="B83" s="5" t="s">
        <v>49</v>
      </c>
      <c r="C83" s="5" t="str">
        <f>VLOOKUP(B83,templateLookup!A:B,2,0)</f>
        <v>COMPOSITE</v>
      </c>
      <c r="D83" s="5" t="s">
        <v>1346</v>
      </c>
      <c r="E83" s="5"/>
      <c r="F83" s="5" t="s">
        <v>25</v>
      </c>
      <c r="AS83">
        <v>2</v>
      </c>
      <c r="AT83">
        <v>1</v>
      </c>
      <c r="AU83" t="str">
        <f>$D88</f>
        <v>LSA_RECOVERY_POST</v>
      </c>
      <c r="AV83" t="str">
        <f>$D88</f>
        <v>LSA_RECOVERY_POST</v>
      </c>
    </row>
    <row r="84" spans="1:56" x14ac:dyDescent="0.35">
      <c r="A84" s="28" t="s">
        <v>1015</v>
      </c>
      <c r="B84" s="11" t="s">
        <v>65</v>
      </c>
      <c r="C84" s="11" t="str">
        <f>VLOOKUP(B84,templateLookup!A:B,2,0)</f>
        <v>PrimeVminSearchTestMethod</v>
      </c>
      <c r="D84" s="11" t="str">
        <f>E84&amp;"_"&amp;F84&amp;"_"&amp;G84&amp;"_"&amp;H84&amp;"_"&amp;A84&amp;"_"&amp;I84&amp;"_"&amp;J84&amp;"_"&amp;K84&amp;"_"&amp;L84&amp;"_"&amp;M84&amp;"_"&amp;N84</f>
        <v>LSA_VPU_VMIN_K_POSTHVQK_TITO_VPU_NOM_LFM_1900_CPU</v>
      </c>
      <c r="E84" t="s">
        <v>5</v>
      </c>
      <c r="F84" t="s">
        <v>25</v>
      </c>
      <c r="G84" t="s">
        <v>951</v>
      </c>
      <c r="H84" t="s">
        <v>253</v>
      </c>
      <c r="I84" t="s">
        <v>260</v>
      </c>
      <c r="J84" t="s">
        <v>25</v>
      </c>
      <c r="K84" t="s">
        <v>284</v>
      </c>
      <c r="L84" t="s">
        <v>285</v>
      </c>
      <c r="M84">
        <v>1900</v>
      </c>
      <c r="N84" t="s">
        <v>1297</v>
      </c>
      <c r="O84" t="s">
        <v>267</v>
      </c>
      <c r="P84" t="s">
        <v>268</v>
      </c>
      <c r="Q84" t="s">
        <v>1298</v>
      </c>
      <c r="R84">
        <v>26</v>
      </c>
      <c r="S84">
        <v>21</v>
      </c>
      <c r="T84">
        <v>34</v>
      </c>
      <c r="U84" t="str">
        <f>R84&amp;S84&amp;T84</f>
        <v>262134</v>
      </c>
      <c r="V84">
        <v>1</v>
      </c>
      <c r="W84" t="b">
        <v>1</v>
      </c>
      <c r="Y84" t="s">
        <v>955</v>
      </c>
      <c r="AB84" t="s">
        <v>298</v>
      </c>
      <c r="AC84" t="s">
        <v>960</v>
      </c>
      <c r="AS84">
        <f>COUNTA(AU84:BD84)</f>
        <v>2</v>
      </c>
      <c r="AT84">
        <v>1</v>
      </c>
      <c r="AU84" t="str">
        <f>$D85</f>
        <v>LSA_VPU_VMIN_K_POSTHVQK_TITO_VPU_NOM_LFM_1900_BTR</v>
      </c>
      <c r="AV84" t="str">
        <f>$D85</f>
        <v>LSA_VPU_VMIN_K_POSTHVQK_TITO_VPU_NOM_LFM_1900_BTR</v>
      </c>
    </row>
    <row r="85" spans="1:56" x14ac:dyDescent="0.35">
      <c r="A85" s="28" t="s">
        <v>1015</v>
      </c>
      <c r="B85" s="11" t="s">
        <v>65</v>
      </c>
      <c r="C85" s="11" t="str">
        <f>VLOOKUP(B85,templateLookup!A:B,2,0)</f>
        <v>PrimeVminSearchTestMethod</v>
      </c>
      <c r="D85" s="11" t="str">
        <f>E85&amp;"_"&amp;F85&amp;"_"&amp;G85&amp;"_"&amp;H85&amp;"_"&amp;A85&amp;"_"&amp;I85&amp;"_"&amp;J85&amp;"_"&amp;K85&amp;"_"&amp;L85&amp;"_"&amp;M85&amp;"_"&amp;N85</f>
        <v>LSA_VPU_VMIN_K_POSTHVQK_TITO_VPU_NOM_LFM_1900_BTR</v>
      </c>
      <c r="E85" t="s">
        <v>5</v>
      </c>
      <c r="F85" t="s">
        <v>25</v>
      </c>
      <c r="G85" t="s">
        <v>951</v>
      </c>
      <c r="H85" t="s">
        <v>253</v>
      </c>
      <c r="I85" t="s">
        <v>260</v>
      </c>
      <c r="J85" t="s">
        <v>25</v>
      </c>
      <c r="K85" t="s">
        <v>284</v>
      </c>
      <c r="L85" t="s">
        <v>285</v>
      </c>
      <c r="M85">
        <v>1900</v>
      </c>
      <c r="N85" t="s">
        <v>1299</v>
      </c>
      <c r="O85" t="s">
        <v>267</v>
      </c>
      <c r="P85" t="s">
        <v>268</v>
      </c>
      <c r="Q85" t="s">
        <v>1300</v>
      </c>
      <c r="R85">
        <v>26</v>
      </c>
      <c r="S85">
        <v>21</v>
      </c>
      <c r="T85">
        <v>35</v>
      </c>
      <c r="U85" t="str">
        <f>R85&amp;S85&amp;T85</f>
        <v>262135</v>
      </c>
      <c r="V85">
        <v>1</v>
      </c>
      <c r="W85" t="b">
        <v>1</v>
      </c>
      <c r="Y85" t="s">
        <v>955</v>
      </c>
      <c r="AB85" t="s">
        <v>298</v>
      </c>
      <c r="AC85" t="s">
        <v>960</v>
      </c>
      <c r="AS85">
        <f>COUNTA(AU85:BD85)</f>
        <v>2</v>
      </c>
      <c r="AT85">
        <v>1</v>
      </c>
      <c r="AU85" t="str">
        <f>$D86</f>
        <v>SSA_VPU_VMIN_K_POSTHVQK_TITO_VPU_NOM_LFM_1900_CPU</v>
      </c>
      <c r="AV85" t="str">
        <f>$D86</f>
        <v>SSA_VPU_VMIN_K_POSTHVQK_TITO_VPU_NOM_LFM_1900_CPU</v>
      </c>
    </row>
    <row r="86" spans="1:56" x14ac:dyDescent="0.35">
      <c r="A86" s="28" t="s">
        <v>1015</v>
      </c>
      <c r="B86" s="11" t="s">
        <v>65</v>
      </c>
      <c r="C86" s="11" t="str">
        <f>VLOOKUP(B86,templateLookup!A:B,2,0)</f>
        <v>PrimeVminSearchTestMethod</v>
      </c>
      <c r="D86" s="11" t="str">
        <f>E86&amp;"_"&amp;F86&amp;"_"&amp;G86&amp;"_"&amp;H86&amp;"_"&amp;A86&amp;"_"&amp;I86&amp;"_"&amp;J86&amp;"_"&amp;K86&amp;"_"&amp;L86&amp;"_"&amp;M86&amp;"_"&amp;N86</f>
        <v>SSA_VPU_VMIN_K_POSTHVQK_TITO_VPU_NOM_LFM_1900_CPU</v>
      </c>
      <c r="E86" t="s">
        <v>4</v>
      </c>
      <c r="F86" t="s">
        <v>25</v>
      </c>
      <c r="G86" t="s">
        <v>951</v>
      </c>
      <c r="H86" t="s">
        <v>253</v>
      </c>
      <c r="I86" t="s">
        <v>260</v>
      </c>
      <c r="J86" t="s">
        <v>25</v>
      </c>
      <c r="K86" t="s">
        <v>284</v>
      </c>
      <c r="L86" t="s">
        <v>285</v>
      </c>
      <c r="M86">
        <v>1900</v>
      </c>
      <c r="N86" t="s">
        <v>1297</v>
      </c>
      <c r="O86" t="s">
        <v>267</v>
      </c>
      <c r="P86" t="s">
        <v>268</v>
      </c>
      <c r="Q86" t="s">
        <v>1301</v>
      </c>
      <c r="R86">
        <v>26</v>
      </c>
      <c r="S86">
        <v>61</v>
      </c>
      <c r="T86">
        <v>36</v>
      </c>
      <c r="U86" t="str">
        <f>R86&amp;S86&amp;T86</f>
        <v>266136</v>
      </c>
      <c r="V86">
        <v>1</v>
      </c>
      <c r="W86" t="b">
        <v>1</v>
      </c>
      <c r="Y86" t="s">
        <v>955</v>
      </c>
      <c r="AB86" t="s">
        <v>298</v>
      </c>
      <c r="AC86" t="s">
        <v>960</v>
      </c>
      <c r="AS86">
        <f>COUNTA(AU86:BD86)</f>
        <v>2</v>
      </c>
      <c r="AT86">
        <v>1</v>
      </c>
      <c r="AU86">
        <v>1</v>
      </c>
      <c r="AV86">
        <v>1</v>
      </c>
    </row>
    <row r="87" spans="1:56" x14ac:dyDescent="0.35">
      <c r="A87" s="5" t="s">
        <v>1015</v>
      </c>
      <c r="B87" s="5" t="s">
        <v>50</v>
      </c>
      <c r="C87" s="5" t="str">
        <f>VLOOKUP(B87,templateLookup!A:B,2,0)</f>
        <v>COMPOSITE</v>
      </c>
      <c r="D87" s="6"/>
    </row>
    <row r="88" spans="1:56" x14ac:dyDescent="0.35">
      <c r="A88" s="5" t="s">
        <v>1015</v>
      </c>
      <c r="B88" s="5" t="s">
        <v>49</v>
      </c>
      <c r="C88" s="5" t="str">
        <f>VLOOKUP(B88,templateLookup!A:B,2,0)</f>
        <v>COMPOSITE</v>
      </c>
      <c r="D88" s="5" t="s">
        <v>1347</v>
      </c>
      <c r="E88" s="5"/>
      <c r="F88" s="5" t="s">
        <v>25</v>
      </c>
      <c r="AS88">
        <v>2</v>
      </c>
      <c r="AT88">
        <v>1</v>
      </c>
      <c r="AU88" t="str">
        <f>$D102</f>
        <v>SSA_RECOVERY_POST</v>
      </c>
      <c r="AV88" t="str">
        <f>$D102</f>
        <v>SSA_RECOVERY_POST</v>
      </c>
    </row>
    <row r="89" spans="1:56" x14ac:dyDescent="0.35">
      <c r="A89" s="28" t="s">
        <v>1015</v>
      </c>
      <c r="B89" s="11" t="s">
        <v>111</v>
      </c>
      <c r="C89" s="11" t="str">
        <f>VLOOKUP(B89,templateLookup!A:B,2,0)</f>
        <v>AuxiliaryTC</v>
      </c>
      <c r="D89" s="11" t="str">
        <f t="shared" ref="D89:D100" si="19">E89&amp;"_"&amp;F89&amp;"_"&amp;G89&amp;"_"&amp;H89&amp;"_"&amp;A89&amp;"_"&amp;I89&amp;"_"&amp;J89&amp;"_"&amp;K89&amp;"_"&amp;L89&amp;"_"&amp;M89&amp;"_"&amp;N89</f>
        <v>CTRL_X_AUX_K_POSTHVQK_X_X_X_X_LSA_VPU0</v>
      </c>
      <c r="E89" t="s">
        <v>215</v>
      </c>
      <c r="F89" t="s">
        <v>208</v>
      </c>
      <c r="G89" t="s">
        <v>876</v>
      </c>
      <c r="H89" t="s">
        <v>253</v>
      </c>
      <c r="I89" t="s">
        <v>208</v>
      </c>
      <c r="J89" t="s">
        <v>208</v>
      </c>
      <c r="K89" t="s">
        <v>208</v>
      </c>
      <c r="L89" t="s">
        <v>208</v>
      </c>
      <c r="M89" t="s">
        <v>5</v>
      </c>
      <c r="N89" t="s">
        <v>1306</v>
      </c>
      <c r="O89" t="s">
        <v>211</v>
      </c>
      <c r="P89" t="s">
        <v>211</v>
      </c>
      <c r="Q89" t="s">
        <v>212</v>
      </c>
      <c r="R89">
        <v>17</v>
      </c>
      <c r="S89">
        <v>32</v>
      </c>
      <c r="T89">
        <v>95</v>
      </c>
      <c r="U89" t="str">
        <f t="shared" ref="U89:U100" si="20">R89&amp;S89&amp;T89</f>
        <v>173295</v>
      </c>
      <c r="V89" s="28">
        <v>1</v>
      </c>
      <c r="W89" t="b">
        <v>0</v>
      </c>
      <c r="X89" s="10"/>
      <c r="AL89" s="10"/>
      <c r="AQ89" t="s">
        <v>1339</v>
      </c>
      <c r="AS89">
        <f t="shared" ref="AS89:AS100" si="21">COUNTA(AU89:BD89)</f>
        <v>3</v>
      </c>
      <c r="AT89" t="s">
        <v>218</v>
      </c>
      <c r="AU89">
        <v>1</v>
      </c>
      <c r="AV89" t="str">
        <f t="shared" ref="AV89:AV99" si="22">$D90</f>
        <v>LSA_VPU_VMIN_K_POSTHVQK_TITO_VPU_NOM_LFM_1900_TILE0</v>
      </c>
      <c r="AW89" t="str">
        <f>$D91</f>
        <v>CTRL_X_AUX_K_POSTHVQK_X_X_X_X_LSA_VPU1</v>
      </c>
    </row>
    <row r="90" spans="1:56" x14ac:dyDescent="0.35">
      <c r="A90" s="28" t="s">
        <v>1015</v>
      </c>
      <c r="B90" s="11" t="s">
        <v>65</v>
      </c>
      <c r="C90" s="11" t="str">
        <f>VLOOKUP(B90,templateLookup!A:B,2,0)</f>
        <v>PrimeVminSearchTestMethod</v>
      </c>
      <c r="D90" s="11" t="str">
        <f t="shared" si="19"/>
        <v>LSA_VPU_VMIN_K_POSTHVQK_TITO_VPU_NOM_LFM_1900_TILE0</v>
      </c>
      <c r="E90" t="s">
        <v>5</v>
      </c>
      <c r="F90" t="s">
        <v>25</v>
      </c>
      <c r="G90" t="s">
        <v>951</v>
      </c>
      <c r="H90" t="s">
        <v>253</v>
      </c>
      <c r="I90" t="s">
        <v>260</v>
      </c>
      <c r="J90" t="s">
        <v>25</v>
      </c>
      <c r="K90" t="s">
        <v>284</v>
      </c>
      <c r="L90" t="s">
        <v>285</v>
      </c>
      <c r="M90">
        <v>1900</v>
      </c>
      <c r="N90" t="s">
        <v>1303</v>
      </c>
      <c r="O90" t="s">
        <v>267</v>
      </c>
      <c r="P90" t="s">
        <v>268</v>
      </c>
      <c r="Q90" t="s">
        <v>1304</v>
      </c>
      <c r="R90">
        <v>26</v>
      </c>
      <c r="S90">
        <v>21</v>
      </c>
      <c r="T90">
        <f t="shared" ref="T90:T100" si="23">T89+1</f>
        <v>96</v>
      </c>
      <c r="U90" t="str">
        <f t="shared" si="20"/>
        <v>262196</v>
      </c>
      <c r="V90">
        <v>1</v>
      </c>
      <c r="W90" t="b">
        <v>1</v>
      </c>
      <c r="Y90" t="s">
        <v>955</v>
      </c>
      <c r="AB90" t="s">
        <v>298</v>
      </c>
      <c r="AC90" t="s">
        <v>960</v>
      </c>
      <c r="AS90">
        <f t="shared" si="21"/>
        <v>2</v>
      </c>
      <c r="AT90">
        <v>1</v>
      </c>
      <c r="AU90" t="str">
        <f>$D91</f>
        <v>CTRL_X_AUX_K_POSTHVQK_X_X_X_X_LSA_VPU1</v>
      </c>
      <c r="AV90" t="str">
        <f t="shared" si="22"/>
        <v>CTRL_X_AUX_K_POSTHVQK_X_X_X_X_LSA_VPU1</v>
      </c>
    </row>
    <row r="91" spans="1:56" x14ac:dyDescent="0.35">
      <c r="A91" s="28" t="s">
        <v>1015</v>
      </c>
      <c r="B91" s="11" t="s">
        <v>111</v>
      </c>
      <c r="C91" s="11" t="str">
        <f>VLOOKUP(B91,templateLookup!A:B,2,0)</f>
        <v>AuxiliaryTC</v>
      </c>
      <c r="D91" s="11" t="str">
        <f t="shared" si="19"/>
        <v>CTRL_X_AUX_K_POSTHVQK_X_X_X_X_LSA_VPU1</v>
      </c>
      <c r="E91" t="s">
        <v>215</v>
      </c>
      <c r="F91" t="s">
        <v>208</v>
      </c>
      <c r="G91" t="s">
        <v>876</v>
      </c>
      <c r="H91" t="s">
        <v>253</v>
      </c>
      <c r="I91" t="s">
        <v>208</v>
      </c>
      <c r="J91" t="s">
        <v>208</v>
      </c>
      <c r="K91" t="s">
        <v>208</v>
      </c>
      <c r="L91" t="s">
        <v>208</v>
      </c>
      <c r="M91" t="s">
        <v>5</v>
      </c>
      <c r="N91" t="s">
        <v>1310</v>
      </c>
      <c r="O91" t="s">
        <v>211</v>
      </c>
      <c r="P91" t="s">
        <v>211</v>
      </c>
      <c r="Q91" t="s">
        <v>212</v>
      </c>
      <c r="R91">
        <v>17</v>
      </c>
      <c r="S91">
        <v>32</v>
      </c>
      <c r="T91">
        <f t="shared" si="23"/>
        <v>97</v>
      </c>
      <c r="U91" t="str">
        <f t="shared" si="20"/>
        <v>173297</v>
      </c>
      <c r="V91" s="28">
        <v>1</v>
      </c>
      <c r="W91" t="b">
        <v>0</v>
      </c>
      <c r="X91" s="10"/>
      <c r="AC91" t="s">
        <v>960</v>
      </c>
      <c r="AL91" s="10"/>
      <c r="AQ91" t="s">
        <v>1340</v>
      </c>
      <c r="AS91">
        <f t="shared" si="21"/>
        <v>3</v>
      </c>
      <c r="AT91" t="s">
        <v>218</v>
      </c>
      <c r="AU91">
        <v>1</v>
      </c>
      <c r="AV91" t="str">
        <f t="shared" si="22"/>
        <v>LSA_VPU_VMIN_K_POSTHVQK_TITO_VPU_NOM_LFM_1900_TILE1</v>
      </c>
      <c r="AW91" t="str">
        <f>$D93</f>
        <v>CTRL_X_AUX_K_POSTHVQK_X_X_X_X_LSA_VPU2</v>
      </c>
      <c r="AX91" s="10"/>
      <c r="AY91" s="10"/>
    </row>
    <row r="92" spans="1:56" x14ac:dyDescent="0.35">
      <c r="A92" s="28" t="s">
        <v>1015</v>
      </c>
      <c r="B92" s="11" t="s">
        <v>65</v>
      </c>
      <c r="C92" s="11" t="str">
        <f>VLOOKUP(B92,templateLookup!A:B,2,0)</f>
        <v>PrimeVminSearchTestMethod</v>
      </c>
      <c r="D92" s="11" t="str">
        <f t="shared" si="19"/>
        <v>LSA_VPU_VMIN_K_POSTHVQK_TITO_VPU_NOM_LFM_1900_TILE1</v>
      </c>
      <c r="E92" t="s">
        <v>5</v>
      </c>
      <c r="F92" t="s">
        <v>25</v>
      </c>
      <c r="G92" t="s">
        <v>951</v>
      </c>
      <c r="H92" t="s">
        <v>253</v>
      </c>
      <c r="I92" t="s">
        <v>260</v>
      </c>
      <c r="J92" t="s">
        <v>25</v>
      </c>
      <c r="K92" t="s">
        <v>284</v>
      </c>
      <c r="L92" t="s">
        <v>285</v>
      </c>
      <c r="M92">
        <v>1900</v>
      </c>
      <c r="N92" t="s">
        <v>1307</v>
      </c>
      <c r="O92" t="s">
        <v>267</v>
      </c>
      <c r="P92" t="s">
        <v>268</v>
      </c>
      <c r="Q92" t="s">
        <v>1308</v>
      </c>
      <c r="R92">
        <v>26</v>
      </c>
      <c r="S92">
        <v>21</v>
      </c>
      <c r="T92">
        <f t="shared" si="23"/>
        <v>98</v>
      </c>
      <c r="U92" t="str">
        <f t="shared" si="20"/>
        <v>262198</v>
      </c>
      <c r="V92">
        <v>1</v>
      </c>
      <c r="W92" t="b">
        <v>1</v>
      </c>
      <c r="Y92" t="s">
        <v>955</v>
      </c>
      <c r="AB92" t="s">
        <v>298</v>
      </c>
      <c r="AC92" t="s">
        <v>960</v>
      </c>
      <c r="AS92">
        <f t="shared" si="21"/>
        <v>2</v>
      </c>
      <c r="AT92">
        <v>1</v>
      </c>
      <c r="AU92" t="str">
        <f>$D93</f>
        <v>CTRL_X_AUX_K_POSTHVQK_X_X_X_X_LSA_VPU2</v>
      </c>
      <c r="AV92" t="str">
        <f t="shared" si="22"/>
        <v>CTRL_X_AUX_K_POSTHVQK_X_X_X_X_LSA_VPU2</v>
      </c>
    </row>
    <row r="93" spans="1:56" x14ac:dyDescent="0.35">
      <c r="A93" s="28" t="s">
        <v>1015</v>
      </c>
      <c r="B93" s="11" t="s">
        <v>111</v>
      </c>
      <c r="C93" s="11" t="str">
        <f>VLOOKUP(B93,templateLookup!A:B,2,0)</f>
        <v>AuxiliaryTC</v>
      </c>
      <c r="D93" s="11" t="str">
        <f t="shared" si="19"/>
        <v>CTRL_X_AUX_K_POSTHVQK_X_X_X_X_LSA_VPU2</v>
      </c>
      <c r="E93" t="s">
        <v>215</v>
      </c>
      <c r="F93" t="s">
        <v>208</v>
      </c>
      <c r="G93" t="s">
        <v>876</v>
      </c>
      <c r="H93" t="s">
        <v>253</v>
      </c>
      <c r="I93" t="s">
        <v>208</v>
      </c>
      <c r="J93" t="s">
        <v>208</v>
      </c>
      <c r="K93" t="s">
        <v>208</v>
      </c>
      <c r="L93" t="s">
        <v>208</v>
      </c>
      <c r="M93" t="s">
        <v>5</v>
      </c>
      <c r="N93" t="s">
        <v>1314</v>
      </c>
      <c r="O93" t="s">
        <v>211</v>
      </c>
      <c r="P93" t="s">
        <v>211</v>
      </c>
      <c r="Q93" t="s">
        <v>212</v>
      </c>
      <c r="R93">
        <v>17</v>
      </c>
      <c r="S93">
        <v>32</v>
      </c>
      <c r="T93">
        <f t="shared" si="23"/>
        <v>99</v>
      </c>
      <c r="U93" t="str">
        <f t="shared" si="20"/>
        <v>173299</v>
      </c>
      <c r="V93" s="28">
        <v>1</v>
      </c>
      <c r="W93" t="b">
        <v>0</v>
      </c>
      <c r="X93" s="10"/>
      <c r="AC93" t="s">
        <v>960</v>
      </c>
      <c r="AL93" s="10"/>
      <c r="AQ93" t="s">
        <v>1341</v>
      </c>
      <c r="AS93">
        <f t="shared" si="21"/>
        <v>3</v>
      </c>
      <c r="AT93" t="s">
        <v>218</v>
      </c>
      <c r="AU93">
        <v>1</v>
      </c>
      <c r="AV93" t="str">
        <f t="shared" si="22"/>
        <v>LSA_VPU_VMIN_K_POSTHVQK_TITO_VPU_NOM_LFM_1900_TILE2</v>
      </c>
      <c r="AW93" t="str">
        <f>$D95</f>
        <v>CTRL_X_AUX_K_POSTHVQK_X_X_X_X_LSA_VPU3</v>
      </c>
      <c r="AX93" s="10"/>
      <c r="AY93" s="10"/>
    </row>
    <row r="94" spans="1:56" x14ac:dyDescent="0.35">
      <c r="A94" s="28" t="s">
        <v>1015</v>
      </c>
      <c r="B94" s="11" t="s">
        <v>65</v>
      </c>
      <c r="C94" s="11" t="str">
        <f>VLOOKUP(B94,templateLookup!A:B,2,0)</f>
        <v>PrimeVminSearchTestMethod</v>
      </c>
      <c r="D94" s="11" t="str">
        <f t="shared" si="19"/>
        <v>LSA_VPU_VMIN_K_POSTHVQK_TITO_VPU_NOM_LFM_1900_TILE2</v>
      </c>
      <c r="E94" t="s">
        <v>5</v>
      </c>
      <c r="F94" t="s">
        <v>25</v>
      </c>
      <c r="G94" t="s">
        <v>951</v>
      </c>
      <c r="H94" t="s">
        <v>253</v>
      </c>
      <c r="I94" t="s">
        <v>260</v>
      </c>
      <c r="J94" t="s">
        <v>25</v>
      </c>
      <c r="K94" t="s">
        <v>284</v>
      </c>
      <c r="L94" t="s">
        <v>285</v>
      </c>
      <c r="M94">
        <v>1900</v>
      </c>
      <c r="N94" t="s">
        <v>1311</v>
      </c>
      <c r="O94" t="s">
        <v>267</v>
      </c>
      <c r="P94" t="s">
        <v>268</v>
      </c>
      <c r="Q94" t="s">
        <v>1312</v>
      </c>
      <c r="R94">
        <v>26</v>
      </c>
      <c r="S94">
        <v>21</v>
      </c>
      <c r="T94">
        <f t="shared" si="23"/>
        <v>100</v>
      </c>
      <c r="U94" t="str">
        <f t="shared" si="20"/>
        <v>2621100</v>
      </c>
      <c r="V94">
        <v>1</v>
      </c>
      <c r="W94" t="b">
        <v>1</v>
      </c>
      <c r="Y94" t="s">
        <v>955</v>
      </c>
      <c r="AB94" t="s">
        <v>298</v>
      </c>
      <c r="AC94" t="s">
        <v>960</v>
      </c>
      <c r="AS94">
        <f t="shared" si="21"/>
        <v>2</v>
      </c>
      <c r="AT94">
        <v>1</v>
      </c>
      <c r="AU94" t="str">
        <f>$D95</f>
        <v>CTRL_X_AUX_K_POSTHVQK_X_X_X_X_LSA_VPU3</v>
      </c>
      <c r="AV94" t="str">
        <f t="shared" si="22"/>
        <v>CTRL_X_AUX_K_POSTHVQK_X_X_X_X_LSA_VPU3</v>
      </c>
    </row>
    <row r="95" spans="1:56" x14ac:dyDescent="0.35">
      <c r="A95" s="28" t="s">
        <v>1015</v>
      </c>
      <c r="B95" s="11" t="s">
        <v>111</v>
      </c>
      <c r="C95" s="11" t="str">
        <f>VLOOKUP(B95,templateLookup!A:B,2,0)</f>
        <v>AuxiliaryTC</v>
      </c>
      <c r="D95" s="11" t="str">
        <f t="shared" si="19"/>
        <v>CTRL_X_AUX_K_POSTHVQK_X_X_X_X_LSA_VPU3</v>
      </c>
      <c r="E95" t="s">
        <v>215</v>
      </c>
      <c r="F95" t="s">
        <v>208</v>
      </c>
      <c r="G95" t="s">
        <v>876</v>
      </c>
      <c r="H95" t="s">
        <v>253</v>
      </c>
      <c r="I95" t="s">
        <v>208</v>
      </c>
      <c r="J95" t="s">
        <v>208</v>
      </c>
      <c r="K95" t="s">
        <v>208</v>
      </c>
      <c r="L95" t="s">
        <v>208</v>
      </c>
      <c r="M95" t="s">
        <v>5</v>
      </c>
      <c r="N95" t="s">
        <v>1318</v>
      </c>
      <c r="O95" t="s">
        <v>211</v>
      </c>
      <c r="P95" t="s">
        <v>211</v>
      </c>
      <c r="Q95" t="s">
        <v>212</v>
      </c>
      <c r="R95">
        <v>17</v>
      </c>
      <c r="S95">
        <v>32</v>
      </c>
      <c r="T95">
        <f t="shared" si="23"/>
        <v>101</v>
      </c>
      <c r="U95" t="str">
        <f t="shared" si="20"/>
        <v>1732101</v>
      </c>
      <c r="V95" s="28">
        <v>1</v>
      </c>
      <c r="W95" t="b">
        <v>0</v>
      </c>
      <c r="X95" s="10"/>
      <c r="AC95" t="s">
        <v>960</v>
      </c>
      <c r="AL95" s="10"/>
      <c r="AQ95" t="s">
        <v>1342</v>
      </c>
      <c r="AS95">
        <f t="shared" si="21"/>
        <v>3</v>
      </c>
      <c r="AT95" t="s">
        <v>218</v>
      </c>
      <c r="AU95">
        <v>1</v>
      </c>
      <c r="AV95" t="str">
        <f t="shared" si="22"/>
        <v>LSA_VPU_VMIN_K_POSTHVQK_TITO_VPU_NOM_LFM_1900_TILE3</v>
      </c>
      <c r="AW95" t="str">
        <f>$D97</f>
        <v>CTRL_X_AUX_K_POSTHVQK_X_X_X_X_LSA_VPU4</v>
      </c>
      <c r="AX95" s="10"/>
      <c r="AY95" s="10"/>
    </row>
    <row r="96" spans="1:56" x14ac:dyDescent="0.35">
      <c r="A96" s="28" t="s">
        <v>1015</v>
      </c>
      <c r="B96" s="11" t="s">
        <v>65</v>
      </c>
      <c r="C96" s="11" t="str">
        <f>VLOOKUP(B96,templateLookup!A:B,2,0)</f>
        <v>PrimeVminSearchTestMethod</v>
      </c>
      <c r="D96" s="11" t="str">
        <f t="shared" si="19"/>
        <v>LSA_VPU_VMIN_K_POSTHVQK_TITO_VPU_NOM_LFM_1900_TILE3</v>
      </c>
      <c r="E96" t="s">
        <v>5</v>
      </c>
      <c r="F96" t="s">
        <v>25</v>
      </c>
      <c r="G96" t="s">
        <v>951</v>
      </c>
      <c r="H96" t="s">
        <v>253</v>
      </c>
      <c r="I96" t="s">
        <v>260</v>
      </c>
      <c r="J96" t="s">
        <v>25</v>
      </c>
      <c r="K96" t="s">
        <v>284</v>
      </c>
      <c r="L96" t="s">
        <v>285</v>
      </c>
      <c r="M96">
        <v>1900</v>
      </c>
      <c r="N96" t="s">
        <v>1315</v>
      </c>
      <c r="O96" t="s">
        <v>267</v>
      </c>
      <c r="P96" t="s">
        <v>268</v>
      </c>
      <c r="Q96" t="s">
        <v>1316</v>
      </c>
      <c r="R96">
        <v>26</v>
      </c>
      <c r="S96">
        <v>21</v>
      </c>
      <c r="T96">
        <f t="shared" si="23"/>
        <v>102</v>
      </c>
      <c r="U96" t="str">
        <f t="shared" si="20"/>
        <v>2621102</v>
      </c>
      <c r="V96">
        <v>1</v>
      </c>
      <c r="W96" t="b">
        <v>1</v>
      </c>
      <c r="Y96" t="s">
        <v>955</v>
      </c>
      <c r="AB96" t="s">
        <v>298</v>
      </c>
      <c r="AC96" t="s">
        <v>960</v>
      </c>
      <c r="AS96">
        <f t="shared" si="21"/>
        <v>2</v>
      </c>
      <c r="AT96">
        <v>1</v>
      </c>
      <c r="AU96" t="str">
        <f>$D97</f>
        <v>CTRL_X_AUX_K_POSTHVQK_X_X_X_X_LSA_VPU4</v>
      </c>
      <c r="AV96" t="str">
        <f t="shared" si="22"/>
        <v>CTRL_X_AUX_K_POSTHVQK_X_X_X_X_LSA_VPU4</v>
      </c>
    </row>
    <row r="97" spans="1:51" x14ac:dyDescent="0.35">
      <c r="A97" s="28" t="s">
        <v>1015</v>
      </c>
      <c r="B97" s="11" t="s">
        <v>111</v>
      </c>
      <c r="C97" s="11" t="str">
        <f>VLOOKUP(B97,templateLookup!A:B,2,0)</f>
        <v>AuxiliaryTC</v>
      </c>
      <c r="D97" s="11" t="str">
        <f t="shared" si="19"/>
        <v>CTRL_X_AUX_K_POSTHVQK_X_X_X_X_LSA_VPU4</v>
      </c>
      <c r="E97" t="s">
        <v>215</v>
      </c>
      <c r="F97" t="s">
        <v>208</v>
      </c>
      <c r="G97" t="s">
        <v>876</v>
      </c>
      <c r="H97" t="s">
        <v>253</v>
      </c>
      <c r="I97" t="s">
        <v>208</v>
      </c>
      <c r="J97" t="s">
        <v>208</v>
      </c>
      <c r="K97" t="s">
        <v>208</v>
      </c>
      <c r="L97" t="s">
        <v>208</v>
      </c>
      <c r="M97" t="s">
        <v>5</v>
      </c>
      <c r="N97" t="s">
        <v>1322</v>
      </c>
      <c r="O97" t="s">
        <v>211</v>
      </c>
      <c r="P97" t="s">
        <v>211</v>
      </c>
      <c r="Q97" t="s">
        <v>212</v>
      </c>
      <c r="R97">
        <v>17</v>
      </c>
      <c r="S97">
        <v>32</v>
      </c>
      <c r="T97">
        <f t="shared" si="23"/>
        <v>103</v>
      </c>
      <c r="U97" t="str">
        <f t="shared" si="20"/>
        <v>1732103</v>
      </c>
      <c r="V97" s="28">
        <v>1</v>
      </c>
      <c r="W97" t="b">
        <v>0</v>
      </c>
      <c r="X97" s="10"/>
      <c r="AC97" t="s">
        <v>960</v>
      </c>
      <c r="AL97" s="10"/>
      <c r="AQ97" t="s">
        <v>1343</v>
      </c>
      <c r="AS97">
        <f t="shared" si="21"/>
        <v>3</v>
      </c>
      <c r="AT97" t="s">
        <v>218</v>
      </c>
      <c r="AU97">
        <v>1</v>
      </c>
      <c r="AV97" t="str">
        <f t="shared" si="22"/>
        <v>LSA_VPU_VMIN_K_POSTHVQK_TITO_VPU_NOM_LFM_1900_TILE4</v>
      </c>
      <c r="AW97" t="str">
        <f>$D99</f>
        <v>CTRL_X_AUX_K_POSTHVQK_X_X_X_X_LSA_VPU5</v>
      </c>
      <c r="AX97" s="10"/>
      <c r="AY97" s="10"/>
    </row>
    <row r="98" spans="1:51" x14ac:dyDescent="0.35">
      <c r="A98" s="28" t="s">
        <v>1015</v>
      </c>
      <c r="B98" s="11" t="s">
        <v>65</v>
      </c>
      <c r="C98" s="11" t="str">
        <f>VLOOKUP(B98,templateLookup!A:B,2,0)</f>
        <v>PrimeVminSearchTestMethod</v>
      </c>
      <c r="D98" s="11" t="str">
        <f t="shared" si="19"/>
        <v>LSA_VPU_VMIN_K_POSTHVQK_TITO_VPU_NOM_LFM_1900_TILE4</v>
      </c>
      <c r="E98" t="s">
        <v>5</v>
      </c>
      <c r="F98" t="s">
        <v>25</v>
      </c>
      <c r="G98" t="s">
        <v>951</v>
      </c>
      <c r="H98" t="s">
        <v>253</v>
      </c>
      <c r="I98" t="s">
        <v>260</v>
      </c>
      <c r="J98" t="s">
        <v>25</v>
      </c>
      <c r="K98" t="s">
        <v>284</v>
      </c>
      <c r="L98" t="s">
        <v>285</v>
      </c>
      <c r="M98">
        <v>1900</v>
      </c>
      <c r="N98" t="s">
        <v>1319</v>
      </c>
      <c r="O98" t="s">
        <v>267</v>
      </c>
      <c r="P98" t="s">
        <v>268</v>
      </c>
      <c r="Q98" t="s">
        <v>1320</v>
      </c>
      <c r="R98">
        <v>26</v>
      </c>
      <c r="S98">
        <v>21</v>
      </c>
      <c r="T98">
        <f t="shared" si="23"/>
        <v>104</v>
      </c>
      <c r="U98" t="str">
        <f t="shared" si="20"/>
        <v>2621104</v>
      </c>
      <c r="V98">
        <v>1</v>
      </c>
      <c r="W98" t="b">
        <v>1</v>
      </c>
      <c r="Y98" t="s">
        <v>955</v>
      </c>
      <c r="AB98" t="s">
        <v>298</v>
      </c>
      <c r="AC98" t="s">
        <v>960</v>
      </c>
      <c r="AS98">
        <f t="shared" si="21"/>
        <v>2</v>
      </c>
      <c r="AT98">
        <v>1</v>
      </c>
      <c r="AU98" t="str">
        <f>$D99</f>
        <v>CTRL_X_AUX_K_POSTHVQK_X_X_X_X_LSA_VPU5</v>
      </c>
      <c r="AV98" t="str">
        <f t="shared" si="22"/>
        <v>CTRL_X_AUX_K_POSTHVQK_X_X_X_X_LSA_VPU5</v>
      </c>
    </row>
    <row r="99" spans="1:51" x14ac:dyDescent="0.35">
      <c r="A99" s="28" t="s">
        <v>1015</v>
      </c>
      <c r="B99" s="11" t="s">
        <v>111</v>
      </c>
      <c r="C99" s="11" t="str">
        <f>VLOOKUP(B99,templateLookup!A:B,2,0)</f>
        <v>AuxiliaryTC</v>
      </c>
      <c r="D99" s="11" t="str">
        <f t="shared" si="19"/>
        <v>CTRL_X_AUX_K_POSTHVQK_X_X_X_X_LSA_VPU5</v>
      </c>
      <c r="E99" t="s">
        <v>215</v>
      </c>
      <c r="F99" t="s">
        <v>208</v>
      </c>
      <c r="G99" t="s">
        <v>876</v>
      </c>
      <c r="H99" t="s">
        <v>253</v>
      </c>
      <c r="I99" t="s">
        <v>208</v>
      </c>
      <c r="J99" t="s">
        <v>208</v>
      </c>
      <c r="K99" t="s">
        <v>208</v>
      </c>
      <c r="L99" t="s">
        <v>208</v>
      </c>
      <c r="M99" t="s">
        <v>5</v>
      </c>
      <c r="N99" t="s">
        <v>1326</v>
      </c>
      <c r="O99" t="s">
        <v>211</v>
      </c>
      <c r="P99" t="s">
        <v>211</v>
      </c>
      <c r="Q99" t="s">
        <v>212</v>
      </c>
      <c r="R99">
        <v>17</v>
      </c>
      <c r="S99">
        <v>32</v>
      </c>
      <c r="T99">
        <f t="shared" si="23"/>
        <v>105</v>
      </c>
      <c r="U99" t="str">
        <f t="shared" si="20"/>
        <v>1732105</v>
      </c>
      <c r="V99" s="28">
        <v>1</v>
      </c>
      <c r="W99" t="b">
        <v>0</v>
      </c>
      <c r="X99" s="10"/>
      <c r="AC99" t="s">
        <v>960</v>
      </c>
      <c r="AL99" s="10"/>
      <c r="AQ99" t="s">
        <v>1344</v>
      </c>
      <c r="AS99">
        <f t="shared" si="21"/>
        <v>3</v>
      </c>
      <c r="AT99" t="s">
        <v>218</v>
      </c>
      <c r="AU99">
        <v>1</v>
      </c>
      <c r="AV99" t="str">
        <f t="shared" si="22"/>
        <v>LSA_VPU_VMIN_K_POSTHVQK_TITO_VPU_NOM_LFM_1900_TILE5</v>
      </c>
      <c r="AW99">
        <v>1</v>
      </c>
      <c r="AX99" s="10"/>
      <c r="AY99" s="10"/>
    </row>
    <row r="100" spans="1:51" x14ac:dyDescent="0.35">
      <c r="A100" s="28" t="s">
        <v>1015</v>
      </c>
      <c r="B100" s="11" t="s">
        <v>65</v>
      </c>
      <c r="C100" s="11" t="str">
        <f>VLOOKUP(B100,templateLookup!A:B,2,0)</f>
        <v>PrimeVminSearchTestMethod</v>
      </c>
      <c r="D100" s="11" t="str">
        <f t="shared" si="19"/>
        <v>LSA_VPU_VMIN_K_POSTHVQK_TITO_VPU_NOM_LFM_1900_TILE5</v>
      </c>
      <c r="E100" t="s">
        <v>5</v>
      </c>
      <c r="F100" t="s">
        <v>25</v>
      </c>
      <c r="G100" t="s">
        <v>951</v>
      </c>
      <c r="H100" t="s">
        <v>253</v>
      </c>
      <c r="I100" t="s">
        <v>260</v>
      </c>
      <c r="J100" t="s">
        <v>25</v>
      </c>
      <c r="K100" t="s">
        <v>284</v>
      </c>
      <c r="L100" t="s">
        <v>285</v>
      </c>
      <c r="M100">
        <v>1900</v>
      </c>
      <c r="N100" t="s">
        <v>1323</v>
      </c>
      <c r="O100" t="s">
        <v>267</v>
      </c>
      <c r="P100" t="s">
        <v>268</v>
      </c>
      <c r="Q100" t="s">
        <v>1324</v>
      </c>
      <c r="R100">
        <v>26</v>
      </c>
      <c r="S100">
        <v>21</v>
      </c>
      <c r="T100">
        <f t="shared" si="23"/>
        <v>106</v>
      </c>
      <c r="U100" t="str">
        <f t="shared" si="20"/>
        <v>2621106</v>
      </c>
      <c r="V100">
        <v>1</v>
      </c>
      <c r="W100" t="b">
        <v>1</v>
      </c>
      <c r="Y100" t="s">
        <v>955</v>
      </c>
      <c r="AB100" t="s">
        <v>298</v>
      </c>
      <c r="AC100" t="s">
        <v>960</v>
      </c>
      <c r="AS100">
        <f t="shared" si="21"/>
        <v>2</v>
      </c>
      <c r="AT100">
        <v>1</v>
      </c>
      <c r="AU100">
        <v>1</v>
      </c>
      <c r="AV100">
        <v>1</v>
      </c>
    </row>
    <row r="101" spans="1:51" x14ac:dyDescent="0.35">
      <c r="A101" s="5" t="s">
        <v>1015</v>
      </c>
      <c r="B101" s="5" t="s">
        <v>50</v>
      </c>
      <c r="C101" s="5" t="str">
        <f>VLOOKUP(B101,templateLookup!A:B,2,0)</f>
        <v>COMPOSITE</v>
      </c>
      <c r="D101" s="6"/>
    </row>
    <row r="102" spans="1:51" x14ac:dyDescent="0.35">
      <c r="A102" s="5" t="s">
        <v>1015</v>
      </c>
      <c r="B102" s="5" t="s">
        <v>49</v>
      </c>
      <c r="C102" s="5" t="str">
        <f>VLOOKUP(B102,templateLookup!A:B,2,0)</f>
        <v>COMPOSITE</v>
      </c>
      <c r="D102" s="5" t="s">
        <v>1348</v>
      </c>
      <c r="E102" s="5"/>
      <c r="F102" s="5" t="s">
        <v>25</v>
      </c>
      <c r="AS102">
        <v>2</v>
      </c>
      <c r="AT102">
        <v>1</v>
      </c>
      <c r="AU102">
        <v>1</v>
      </c>
      <c r="AV102">
        <v>1</v>
      </c>
    </row>
    <row r="103" spans="1:51" x14ac:dyDescent="0.35">
      <c r="A103" s="28" t="s">
        <v>1015</v>
      </c>
      <c r="B103" s="11" t="s">
        <v>111</v>
      </c>
      <c r="C103" s="11" t="str">
        <f>VLOOKUP(B103,templateLookup!A:B,2,0)</f>
        <v>AuxiliaryTC</v>
      </c>
      <c r="D103" s="11" t="str">
        <f t="shared" ref="D103:D114" si="24">E103&amp;"_"&amp;F103&amp;"_"&amp;G103&amp;"_"&amp;H103&amp;"_"&amp;A103&amp;"_"&amp;I103&amp;"_"&amp;J103&amp;"_"&amp;K103&amp;"_"&amp;L103&amp;"_"&amp;M103&amp;"_"&amp;N103</f>
        <v>CTRL_X_AUX_K_POSTHVQK_X_X_X_X_SSA_VPU0</v>
      </c>
      <c r="E103" t="s">
        <v>215</v>
      </c>
      <c r="F103" t="s">
        <v>208</v>
      </c>
      <c r="G103" t="s">
        <v>876</v>
      </c>
      <c r="H103" t="s">
        <v>253</v>
      </c>
      <c r="I103" t="s">
        <v>208</v>
      </c>
      <c r="J103" t="s">
        <v>208</v>
      </c>
      <c r="K103" t="s">
        <v>208</v>
      </c>
      <c r="L103" t="s">
        <v>208</v>
      </c>
      <c r="M103" t="s">
        <v>4</v>
      </c>
      <c r="N103" t="s">
        <v>1306</v>
      </c>
      <c r="O103" t="s">
        <v>211</v>
      </c>
      <c r="P103" t="s">
        <v>211</v>
      </c>
      <c r="Q103" t="s">
        <v>212</v>
      </c>
      <c r="R103">
        <v>17</v>
      </c>
      <c r="S103">
        <v>32</v>
      </c>
      <c r="T103">
        <f>107</f>
        <v>107</v>
      </c>
      <c r="U103" t="str">
        <f t="shared" ref="U103:U114" si="25">R103&amp;S103&amp;T103</f>
        <v>1732107</v>
      </c>
      <c r="V103" s="28">
        <v>1</v>
      </c>
      <c r="W103" t="b">
        <v>0</v>
      </c>
      <c r="X103" s="10"/>
      <c r="AL103" s="10"/>
      <c r="AQ103" t="s">
        <v>1339</v>
      </c>
      <c r="AS103">
        <f t="shared" ref="AS103:AS114" si="26">COUNTA(AU103:BD103)</f>
        <v>3</v>
      </c>
      <c r="AT103" t="s">
        <v>218</v>
      </c>
      <c r="AU103">
        <v>1</v>
      </c>
      <c r="AV103" t="str">
        <f t="shared" ref="AV103:AV113" si="27">$D104</f>
        <v>SSA_VPU_VMIN_K_POSTHVQK_TITO_VPU_NOM_LFM_1900_TILE0</v>
      </c>
      <c r="AW103" t="str">
        <f>$D105</f>
        <v>CTRL_X_AUX_K_POSTHVQK_X_X_X_X_SSA_VPU1</v>
      </c>
    </row>
    <row r="104" spans="1:51" x14ac:dyDescent="0.35">
      <c r="A104" s="28" t="s">
        <v>1015</v>
      </c>
      <c r="B104" s="11" t="s">
        <v>65</v>
      </c>
      <c r="C104" s="11" t="str">
        <f>VLOOKUP(B104,templateLookup!A:B,2,0)</f>
        <v>PrimeVminSearchTestMethod</v>
      </c>
      <c r="D104" s="11" t="str">
        <f t="shared" si="24"/>
        <v>SSA_VPU_VMIN_K_POSTHVQK_TITO_VPU_NOM_LFM_1900_TILE0</v>
      </c>
      <c r="E104" t="s">
        <v>4</v>
      </c>
      <c r="F104" t="s">
        <v>25</v>
      </c>
      <c r="G104" t="s">
        <v>951</v>
      </c>
      <c r="H104" t="s">
        <v>253</v>
      </c>
      <c r="I104" t="s">
        <v>260</v>
      </c>
      <c r="J104" t="s">
        <v>25</v>
      </c>
      <c r="K104" t="s">
        <v>284</v>
      </c>
      <c r="L104" t="s">
        <v>285</v>
      </c>
      <c r="M104">
        <v>1900</v>
      </c>
      <c r="N104" t="s">
        <v>1303</v>
      </c>
      <c r="O104" t="s">
        <v>267</v>
      </c>
      <c r="P104" t="s">
        <v>268</v>
      </c>
      <c r="Q104" t="s">
        <v>1328</v>
      </c>
      <c r="R104">
        <v>26</v>
      </c>
      <c r="S104">
        <v>21</v>
      </c>
      <c r="T104">
        <v>200</v>
      </c>
      <c r="U104" t="str">
        <f t="shared" si="25"/>
        <v>2621200</v>
      </c>
      <c r="V104">
        <v>1</v>
      </c>
      <c r="W104" t="b">
        <v>1</v>
      </c>
      <c r="Y104" t="s">
        <v>955</v>
      </c>
      <c r="AB104" t="s">
        <v>298</v>
      </c>
      <c r="AC104" t="s">
        <v>960</v>
      </c>
      <c r="AS104">
        <f t="shared" si="26"/>
        <v>2</v>
      </c>
      <c r="AT104">
        <v>1</v>
      </c>
      <c r="AU104" t="str">
        <f>$D105</f>
        <v>CTRL_X_AUX_K_POSTHVQK_X_X_X_X_SSA_VPU1</v>
      </c>
      <c r="AV104" t="str">
        <f t="shared" si="27"/>
        <v>CTRL_X_AUX_K_POSTHVQK_X_X_X_X_SSA_VPU1</v>
      </c>
    </row>
    <row r="105" spans="1:51" x14ac:dyDescent="0.35">
      <c r="A105" s="28" t="s">
        <v>1015</v>
      </c>
      <c r="B105" s="11" t="s">
        <v>111</v>
      </c>
      <c r="C105" s="11" t="str">
        <f>VLOOKUP(B105,templateLookup!A:B,2,0)</f>
        <v>AuxiliaryTC</v>
      </c>
      <c r="D105" s="11" t="str">
        <f t="shared" si="24"/>
        <v>CTRL_X_AUX_K_POSTHVQK_X_X_X_X_SSA_VPU1</v>
      </c>
      <c r="E105" t="s">
        <v>215</v>
      </c>
      <c r="F105" t="s">
        <v>208</v>
      </c>
      <c r="G105" t="s">
        <v>876</v>
      </c>
      <c r="H105" t="s">
        <v>253</v>
      </c>
      <c r="I105" t="s">
        <v>208</v>
      </c>
      <c r="J105" t="s">
        <v>208</v>
      </c>
      <c r="K105" t="s">
        <v>208</v>
      </c>
      <c r="L105" t="s">
        <v>208</v>
      </c>
      <c r="M105" t="s">
        <v>4</v>
      </c>
      <c r="N105" t="s">
        <v>1310</v>
      </c>
      <c r="O105" t="s">
        <v>211</v>
      </c>
      <c r="P105" t="s">
        <v>211</v>
      </c>
      <c r="Q105" t="s">
        <v>212</v>
      </c>
      <c r="R105">
        <v>17</v>
      </c>
      <c r="S105">
        <v>32</v>
      </c>
      <c r="T105">
        <f t="shared" ref="T105:T114" si="28">T104+1</f>
        <v>201</v>
      </c>
      <c r="U105" t="str">
        <f t="shared" si="25"/>
        <v>1732201</v>
      </c>
      <c r="V105" s="28">
        <v>1</v>
      </c>
      <c r="W105" t="b">
        <v>0</v>
      </c>
      <c r="X105" s="10"/>
      <c r="AC105" t="s">
        <v>960</v>
      </c>
      <c r="AL105" s="10"/>
      <c r="AQ105" t="s">
        <v>1340</v>
      </c>
      <c r="AS105">
        <f t="shared" si="26"/>
        <v>3</v>
      </c>
      <c r="AT105" t="s">
        <v>218</v>
      </c>
      <c r="AU105">
        <v>1</v>
      </c>
      <c r="AV105" t="str">
        <f t="shared" si="27"/>
        <v>SSA_VPU_VMIN_K_POSTHVQK_TITO_VPU_NOM_LFM_1900_TILE1</v>
      </c>
      <c r="AW105" t="str">
        <f>$D107</f>
        <v>CTRL_X_AUX_K_POSTHVQK_X_X_X_X_SSA_VPU2</v>
      </c>
      <c r="AX105" s="10"/>
      <c r="AY105" s="10"/>
    </row>
    <row r="106" spans="1:51" x14ac:dyDescent="0.35">
      <c r="A106" s="28" t="s">
        <v>1015</v>
      </c>
      <c r="B106" s="11" t="s">
        <v>65</v>
      </c>
      <c r="C106" s="11" t="str">
        <f>VLOOKUP(B106,templateLookup!A:B,2,0)</f>
        <v>PrimeVminSearchTestMethod</v>
      </c>
      <c r="D106" s="11" t="str">
        <f t="shared" si="24"/>
        <v>SSA_VPU_VMIN_K_POSTHVQK_TITO_VPU_NOM_LFM_1900_TILE1</v>
      </c>
      <c r="E106" t="s">
        <v>4</v>
      </c>
      <c r="F106" t="s">
        <v>25</v>
      </c>
      <c r="G106" t="s">
        <v>951</v>
      </c>
      <c r="H106" t="s">
        <v>253</v>
      </c>
      <c r="I106" t="s">
        <v>260</v>
      </c>
      <c r="J106" t="s">
        <v>25</v>
      </c>
      <c r="K106" t="s">
        <v>284</v>
      </c>
      <c r="L106" t="s">
        <v>285</v>
      </c>
      <c r="M106">
        <v>1900</v>
      </c>
      <c r="N106" t="s">
        <v>1307</v>
      </c>
      <c r="O106" t="s">
        <v>267</v>
      </c>
      <c r="P106" t="s">
        <v>268</v>
      </c>
      <c r="Q106" t="s">
        <v>1329</v>
      </c>
      <c r="R106">
        <v>26</v>
      </c>
      <c r="S106">
        <v>21</v>
      </c>
      <c r="T106">
        <f t="shared" si="28"/>
        <v>202</v>
      </c>
      <c r="U106" t="str">
        <f t="shared" si="25"/>
        <v>2621202</v>
      </c>
      <c r="V106">
        <v>1</v>
      </c>
      <c r="W106" t="b">
        <v>1</v>
      </c>
      <c r="Y106" t="s">
        <v>955</v>
      </c>
      <c r="AB106" t="s">
        <v>298</v>
      </c>
      <c r="AC106" t="s">
        <v>960</v>
      </c>
      <c r="AS106">
        <f t="shared" si="26"/>
        <v>2</v>
      </c>
      <c r="AT106">
        <v>1</v>
      </c>
      <c r="AU106" t="str">
        <f>$D107</f>
        <v>CTRL_X_AUX_K_POSTHVQK_X_X_X_X_SSA_VPU2</v>
      </c>
      <c r="AV106" t="str">
        <f t="shared" si="27"/>
        <v>CTRL_X_AUX_K_POSTHVQK_X_X_X_X_SSA_VPU2</v>
      </c>
    </row>
    <row r="107" spans="1:51" x14ac:dyDescent="0.35">
      <c r="A107" s="28" t="s">
        <v>1015</v>
      </c>
      <c r="B107" s="11" t="s">
        <v>111</v>
      </c>
      <c r="C107" s="11" t="str">
        <f>VLOOKUP(B107,templateLookup!A:B,2,0)</f>
        <v>AuxiliaryTC</v>
      </c>
      <c r="D107" s="11" t="str">
        <f t="shared" si="24"/>
        <v>CTRL_X_AUX_K_POSTHVQK_X_X_X_X_SSA_VPU2</v>
      </c>
      <c r="E107" t="s">
        <v>215</v>
      </c>
      <c r="F107" t="s">
        <v>208</v>
      </c>
      <c r="G107" t="s">
        <v>876</v>
      </c>
      <c r="H107" t="s">
        <v>253</v>
      </c>
      <c r="I107" t="s">
        <v>208</v>
      </c>
      <c r="J107" t="s">
        <v>208</v>
      </c>
      <c r="K107" t="s">
        <v>208</v>
      </c>
      <c r="L107" t="s">
        <v>208</v>
      </c>
      <c r="M107" t="s">
        <v>4</v>
      </c>
      <c r="N107" t="s">
        <v>1314</v>
      </c>
      <c r="O107" t="s">
        <v>211</v>
      </c>
      <c r="P107" t="s">
        <v>211</v>
      </c>
      <c r="Q107" t="s">
        <v>212</v>
      </c>
      <c r="R107">
        <v>17</v>
      </c>
      <c r="S107">
        <v>32</v>
      </c>
      <c r="T107">
        <f t="shared" si="28"/>
        <v>203</v>
      </c>
      <c r="U107" t="str">
        <f t="shared" si="25"/>
        <v>1732203</v>
      </c>
      <c r="V107" s="28">
        <v>1</v>
      </c>
      <c r="W107" t="b">
        <v>0</v>
      </c>
      <c r="X107" s="10"/>
      <c r="AC107" t="s">
        <v>960</v>
      </c>
      <c r="AL107" s="10"/>
      <c r="AQ107" t="s">
        <v>1341</v>
      </c>
      <c r="AS107">
        <f t="shared" si="26"/>
        <v>3</v>
      </c>
      <c r="AT107" t="s">
        <v>218</v>
      </c>
      <c r="AU107">
        <v>1</v>
      </c>
      <c r="AV107" t="str">
        <f t="shared" si="27"/>
        <v>SSA_VPU_VMIN_K_POSTHVQK_TITO_VPU_NOM_LFM_1900_TILE2</v>
      </c>
      <c r="AW107" t="str">
        <f>$D109</f>
        <v>CTRL_X_AUX_K_POSTHVQK_X_X_X_X_SSA_VPU3</v>
      </c>
      <c r="AX107" s="10"/>
      <c r="AY107" s="10"/>
    </row>
    <row r="108" spans="1:51" x14ac:dyDescent="0.35">
      <c r="A108" s="28" t="s">
        <v>1015</v>
      </c>
      <c r="B108" s="11" t="s">
        <v>65</v>
      </c>
      <c r="C108" s="11" t="str">
        <f>VLOOKUP(B108,templateLookup!A:B,2,0)</f>
        <v>PrimeVminSearchTestMethod</v>
      </c>
      <c r="D108" s="11" t="str">
        <f t="shared" si="24"/>
        <v>SSA_VPU_VMIN_K_POSTHVQK_TITO_VPU_NOM_LFM_1900_TILE2</v>
      </c>
      <c r="E108" t="s">
        <v>4</v>
      </c>
      <c r="F108" t="s">
        <v>25</v>
      </c>
      <c r="G108" t="s">
        <v>951</v>
      </c>
      <c r="H108" t="s">
        <v>253</v>
      </c>
      <c r="I108" t="s">
        <v>260</v>
      </c>
      <c r="J108" t="s">
        <v>25</v>
      </c>
      <c r="K108" t="s">
        <v>284</v>
      </c>
      <c r="L108" t="s">
        <v>285</v>
      </c>
      <c r="M108">
        <v>1900</v>
      </c>
      <c r="N108" t="s">
        <v>1311</v>
      </c>
      <c r="O108" t="s">
        <v>267</v>
      </c>
      <c r="P108" t="s">
        <v>268</v>
      </c>
      <c r="Q108" t="s">
        <v>1330</v>
      </c>
      <c r="R108">
        <v>26</v>
      </c>
      <c r="S108">
        <v>21</v>
      </c>
      <c r="T108">
        <f t="shared" si="28"/>
        <v>204</v>
      </c>
      <c r="U108" t="str">
        <f t="shared" si="25"/>
        <v>2621204</v>
      </c>
      <c r="V108">
        <v>1</v>
      </c>
      <c r="W108" t="b">
        <v>1</v>
      </c>
      <c r="Y108" t="s">
        <v>955</v>
      </c>
      <c r="AB108" t="s">
        <v>298</v>
      </c>
      <c r="AC108" t="s">
        <v>960</v>
      </c>
      <c r="AS108">
        <f t="shared" si="26"/>
        <v>2</v>
      </c>
      <c r="AT108">
        <v>1</v>
      </c>
      <c r="AU108" t="str">
        <f>$D109</f>
        <v>CTRL_X_AUX_K_POSTHVQK_X_X_X_X_SSA_VPU3</v>
      </c>
      <c r="AV108" t="str">
        <f t="shared" si="27"/>
        <v>CTRL_X_AUX_K_POSTHVQK_X_X_X_X_SSA_VPU3</v>
      </c>
    </row>
    <row r="109" spans="1:51" x14ac:dyDescent="0.35">
      <c r="A109" s="28" t="s">
        <v>1015</v>
      </c>
      <c r="B109" s="11" t="s">
        <v>111</v>
      </c>
      <c r="C109" s="11" t="str">
        <f>VLOOKUP(B109,templateLookup!A:B,2,0)</f>
        <v>AuxiliaryTC</v>
      </c>
      <c r="D109" s="11" t="str">
        <f t="shared" si="24"/>
        <v>CTRL_X_AUX_K_POSTHVQK_X_X_X_X_SSA_VPU3</v>
      </c>
      <c r="E109" t="s">
        <v>215</v>
      </c>
      <c r="F109" t="s">
        <v>208</v>
      </c>
      <c r="G109" t="s">
        <v>876</v>
      </c>
      <c r="H109" t="s">
        <v>253</v>
      </c>
      <c r="I109" t="s">
        <v>208</v>
      </c>
      <c r="J109" t="s">
        <v>208</v>
      </c>
      <c r="K109" t="s">
        <v>208</v>
      </c>
      <c r="L109" t="s">
        <v>208</v>
      </c>
      <c r="M109" t="s">
        <v>4</v>
      </c>
      <c r="N109" t="s">
        <v>1318</v>
      </c>
      <c r="O109" t="s">
        <v>211</v>
      </c>
      <c r="P109" t="s">
        <v>211</v>
      </c>
      <c r="Q109" t="s">
        <v>212</v>
      </c>
      <c r="R109">
        <v>17</v>
      </c>
      <c r="S109">
        <v>32</v>
      </c>
      <c r="T109">
        <f t="shared" si="28"/>
        <v>205</v>
      </c>
      <c r="U109" t="str">
        <f t="shared" si="25"/>
        <v>1732205</v>
      </c>
      <c r="V109" s="28">
        <v>1</v>
      </c>
      <c r="W109" t="b">
        <v>0</v>
      </c>
      <c r="X109" s="10"/>
      <c r="AC109" t="s">
        <v>960</v>
      </c>
      <c r="AL109" s="10"/>
      <c r="AQ109" t="s">
        <v>1342</v>
      </c>
      <c r="AS109">
        <f t="shared" si="26"/>
        <v>3</v>
      </c>
      <c r="AT109" t="s">
        <v>218</v>
      </c>
      <c r="AU109">
        <v>1</v>
      </c>
      <c r="AV109" t="str">
        <f t="shared" si="27"/>
        <v>SSA_VPU_VMIN_K_POSTHVQK_TITO_VPU_NOM_LFM_1900_TILE3</v>
      </c>
      <c r="AW109" t="str">
        <f>$D111</f>
        <v>CTRL_X_AUX_K_POSTHVQK_X_X_X_X_SSA_VPU4</v>
      </c>
      <c r="AX109" s="10"/>
      <c r="AY109" s="10"/>
    </row>
    <row r="110" spans="1:51" x14ac:dyDescent="0.35">
      <c r="A110" s="28" t="s">
        <v>1015</v>
      </c>
      <c r="B110" s="11" t="s">
        <v>65</v>
      </c>
      <c r="C110" s="11" t="str">
        <f>VLOOKUP(B110,templateLookup!A:B,2,0)</f>
        <v>PrimeVminSearchTestMethod</v>
      </c>
      <c r="D110" s="11" t="str">
        <f t="shared" si="24"/>
        <v>SSA_VPU_VMIN_K_POSTHVQK_TITO_VPU_NOM_LFM_1900_TILE3</v>
      </c>
      <c r="E110" t="s">
        <v>4</v>
      </c>
      <c r="F110" t="s">
        <v>25</v>
      </c>
      <c r="G110" t="s">
        <v>951</v>
      </c>
      <c r="H110" t="s">
        <v>253</v>
      </c>
      <c r="I110" t="s">
        <v>260</v>
      </c>
      <c r="J110" t="s">
        <v>25</v>
      </c>
      <c r="K110" t="s">
        <v>284</v>
      </c>
      <c r="L110" t="s">
        <v>285</v>
      </c>
      <c r="M110">
        <v>1900</v>
      </c>
      <c r="N110" t="s">
        <v>1315</v>
      </c>
      <c r="O110" t="s">
        <v>267</v>
      </c>
      <c r="P110" t="s">
        <v>268</v>
      </c>
      <c r="Q110" t="s">
        <v>1331</v>
      </c>
      <c r="R110">
        <v>26</v>
      </c>
      <c r="S110">
        <v>21</v>
      </c>
      <c r="T110">
        <f t="shared" si="28"/>
        <v>206</v>
      </c>
      <c r="U110" t="str">
        <f t="shared" si="25"/>
        <v>2621206</v>
      </c>
      <c r="V110">
        <v>1</v>
      </c>
      <c r="W110" t="b">
        <v>1</v>
      </c>
      <c r="Y110" t="s">
        <v>955</v>
      </c>
      <c r="AB110" t="s">
        <v>298</v>
      </c>
      <c r="AC110" t="s">
        <v>960</v>
      </c>
      <c r="AS110">
        <f t="shared" si="26"/>
        <v>2</v>
      </c>
      <c r="AT110">
        <v>1</v>
      </c>
      <c r="AU110" t="str">
        <f>$D111</f>
        <v>CTRL_X_AUX_K_POSTHVQK_X_X_X_X_SSA_VPU4</v>
      </c>
      <c r="AV110" t="str">
        <f t="shared" si="27"/>
        <v>CTRL_X_AUX_K_POSTHVQK_X_X_X_X_SSA_VPU4</v>
      </c>
    </row>
    <row r="111" spans="1:51" x14ac:dyDescent="0.35">
      <c r="A111" s="28" t="s">
        <v>1015</v>
      </c>
      <c r="B111" s="11" t="s">
        <v>111</v>
      </c>
      <c r="C111" s="11" t="str">
        <f>VLOOKUP(B111,templateLookup!A:B,2,0)</f>
        <v>AuxiliaryTC</v>
      </c>
      <c r="D111" s="11" t="str">
        <f t="shared" si="24"/>
        <v>CTRL_X_AUX_K_POSTHVQK_X_X_X_X_SSA_VPU4</v>
      </c>
      <c r="E111" t="s">
        <v>215</v>
      </c>
      <c r="F111" t="s">
        <v>208</v>
      </c>
      <c r="G111" t="s">
        <v>876</v>
      </c>
      <c r="H111" t="s">
        <v>253</v>
      </c>
      <c r="I111" t="s">
        <v>208</v>
      </c>
      <c r="J111" t="s">
        <v>208</v>
      </c>
      <c r="K111" t="s">
        <v>208</v>
      </c>
      <c r="L111" t="s">
        <v>208</v>
      </c>
      <c r="M111" t="s">
        <v>4</v>
      </c>
      <c r="N111" t="s">
        <v>1322</v>
      </c>
      <c r="O111" t="s">
        <v>211</v>
      </c>
      <c r="P111" t="s">
        <v>211</v>
      </c>
      <c r="Q111" t="s">
        <v>212</v>
      </c>
      <c r="R111">
        <v>17</v>
      </c>
      <c r="S111">
        <v>32</v>
      </c>
      <c r="T111">
        <f t="shared" si="28"/>
        <v>207</v>
      </c>
      <c r="U111" t="str">
        <f t="shared" si="25"/>
        <v>1732207</v>
      </c>
      <c r="V111" s="28">
        <v>1</v>
      </c>
      <c r="W111" t="b">
        <v>0</v>
      </c>
      <c r="X111" s="10"/>
      <c r="AC111" t="s">
        <v>960</v>
      </c>
      <c r="AL111" s="10"/>
      <c r="AQ111" t="s">
        <v>1343</v>
      </c>
      <c r="AS111">
        <f t="shared" si="26"/>
        <v>3</v>
      </c>
      <c r="AT111" t="s">
        <v>218</v>
      </c>
      <c r="AU111">
        <v>1</v>
      </c>
      <c r="AV111" t="str">
        <f t="shared" si="27"/>
        <v>SSA_VPU_VMIN_K_POSTHVQK_TITO_VPU_NOM_LFM_1900_TILE4</v>
      </c>
      <c r="AW111" t="str">
        <f>$D113</f>
        <v>CTRL_X_AUX_K_POSTHVQK_X_X_X_X_SSA_VPU5</v>
      </c>
      <c r="AX111" s="10"/>
      <c r="AY111" s="10"/>
    </row>
    <row r="112" spans="1:51" x14ac:dyDescent="0.35">
      <c r="A112" s="28" t="s">
        <v>1015</v>
      </c>
      <c r="B112" s="11" t="s">
        <v>65</v>
      </c>
      <c r="C112" s="11" t="str">
        <f>VLOOKUP(B112,templateLookup!A:B,2,0)</f>
        <v>PrimeVminSearchTestMethod</v>
      </c>
      <c r="D112" s="11" t="str">
        <f t="shared" si="24"/>
        <v>SSA_VPU_VMIN_K_POSTHVQK_TITO_VPU_NOM_LFM_1900_TILE4</v>
      </c>
      <c r="E112" t="s">
        <v>4</v>
      </c>
      <c r="F112" t="s">
        <v>25</v>
      </c>
      <c r="G112" t="s">
        <v>951</v>
      </c>
      <c r="H112" t="s">
        <v>253</v>
      </c>
      <c r="I112" t="s">
        <v>260</v>
      </c>
      <c r="J112" t="s">
        <v>25</v>
      </c>
      <c r="K112" t="s">
        <v>284</v>
      </c>
      <c r="L112" t="s">
        <v>285</v>
      </c>
      <c r="M112">
        <v>1900</v>
      </c>
      <c r="N112" t="s">
        <v>1319</v>
      </c>
      <c r="O112" t="s">
        <v>267</v>
      </c>
      <c r="P112" t="s">
        <v>268</v>
      </c>
      <c r="Q112" t="s">
        <v>1332</v>
      </c>
      <c r="R112">
        <v>26</v>
      </c>
      <c r="S112">
        <v>21</v>
      </c>
      <c r="T112">
        <f t="shared" si="28"/>
        <v>208</v>
      </c>
      <c r="U112" t="str">
        <f t="shared" si="25"/>
        <v>2621208</v>
      </c>
      <c r="V112">
        <v>1</v>
      </c>
      <c r="W112" t="b">
        <v>1</v>
      </c>
      <c r="Y112" t="s">
        <v>955</v>
      </c>
      <c r="AB112" t="s">
        <v>298</v>
      </c>
      <c r="AC112" t="s">
        <v>960</v>
      </c>
      <c r="AS112">
        <f t="shared" si="26"/>
        <v>2</v>
      </c>
      <c r="AT112">
        <v>1</v>
      </c>
      <c r="AU112" t="str">
        <f>$D113</f>
        <v>CTRL_X_AUX_K_POSTHVQK_X_X_X_X_SSA_VPU5</v>
      </c>
      <c r="AV112" t="str">
        <f t="shared" si="27"/>
        <v>CTRL_X_AUX_K_POSTHVQK_X_X_X_X_SSA_VPU5</v>
      </c>
    </row>
    <row r="113" spans="1:56" x14ac:dyDescent="0.35">
      <c r="A113" s="28" t="s">
        <v>1015</v>
      </c>
      <c r="B113" s="11" t="s">
        <v>111</v>
      </c>
      <c r="C113" s="11" t="str">
        <f>VLOOKUP(B113,templateLookup!A:B,2,0)</f>
        <v>AuxiliaryTC</v>
      </c>
      <c r="D113" s="11" t="str">
        <f t="shared" si="24"/>
        <v>CTRL_X_AUX_K_POSTHVQK_X_X_X_X_SSA_VPU5</v>
      </c>
      <c r="E113" t="s">
        <v>215</v>
      </c>
      <c r="F113" t="s">
        <v>208</v>
      </c>
      <c r="G113" t="s">
        <v>876</v>
      </c>
      <c r="H113" t="s">
        <v>253</v>
      </c>
      <c r="I113" t="s">
        <v>208</v>
      </c>
      <c r="J113" t="s">
        <v>208</v>
      </c>
      <c r="K113" t="s">
        <v>208</v>
      </c>
      <c r="L113" t="s">
        <v>208</v>
      </c>
      <c r="M113" t="s">
        <v>4</v>
      </c>
      <c r="N113" t="s">
        <v>1326</v>
      </c>
      <c r="O113" t="s">
        <v>211</v>
      </c>
      <c r="P113" t="s">
        <v>211</v>
      </c>
      <c r="Q113" t="s">
        <v>212</v>
      </c>
      <c r="R113">
        <v>17</v>
      </c>
      <c r="S113">
        <v>32</v>
      </c>
      <c r="T113">
        <f t="shared" si="28"/>
        <v>209</v>
      </c>
      <c r="U113" t="str">
        <f t="shared" si="25"/>
        <v>1732209</v>
      </c>
      <c r="V113" s="28">
        <v>1</v>
      </c>
      <c r="W113" t="b">
        <v>0</v>
      </c>
      <c r="X113" s="10"/>
      <c r="AC113" t="s">
        <v>960</v>
      </c>
      <c r="AL113" s="10"/>
      <c r="AQ113" t="s">
        <v>1344</v>
      </c>
      <c r="AS113">
        <f t="shared" si="26"/>
        <v>3</v>
      </c>
      <c r="AT113" t="s">
        <v>218</v>
      </c>
      <c r="AU113">
        <v>1</v>
      </c>
      <c r="AV113" t="str">
        <f t="shared" si="27"/>
        <v>SSA_VPU_VMIN_K_POSTHVQK_TITO_VPU_NOM_LFM_1900_TILE5</v>
      </c>
      <c r="AW113">
        <v>1</v>
      </c>
      <c r="AX113" s="10"/>
      <c r="AY113" s="10"/>
    </row>
    <row r="114" spans="1:56" x14ac:dyDescent="0.35">
      <c r="A114" s="28" t="s">
        <v>1015</v>
      </c>
      <c r="B114" s="11" t="s">
        <v>65</v>
      </c>
      <c r="C114" s="11" t="str">
        <f>VLOOKUP(B114,templateLookup!A:B,2,0)</f>
        <v>PrimeVminSearchTestMethod</v>
      </c>
      <c r="D114" s="11" t="str">
        <f t="shared" si="24"/>
        <v>SSA_VPU_VMIN_K_POSTHVQK_TITO_VPU_NOM_LFM_1900_TILE5</v>
      </c>
      <c r="E114" t="s">
        <v>4</v>
      </c>
      <c r="F114" t="s">
        <v>25</v>
      </c>
      <c r="G114" t="s">
        <v>951</v>
      </c>
      <c r="H114" t="s">
        <v>253</v>
      </c>
      <c r="I114" t="s">
        <v>260</v>
      </c>
      <c r="J114" t="s">
        <v>25</v>
      </c>
      <c r="K114" t="s">
        <v>284</v>
      </c>
      <c r="L114" t="s">
        <v>285</v>
      </c>
      <c r="M114">
        <v>1900</v>
      </c>
      <c r="N114" t="s">
        <v>1323</v>
      </c>
      <c r="O114" t="s">
        <v>267</v>
      </c>
      <c r="P114" t="s">
        <v>268</v>
      </c>
      <c r="Q114" t="s">
        <v>1333</v>
      </c>
      <c r="R114">
        <v>26</v>
      </c>
      <c r="S114">
        <v>21</v>
      </c>
      <c r="T114">
        <f t="shared" si="28"/>
        <v>210</v>
      </c>
      <c r="U114" t="str">
        <f t="shared" si="25"/>
        <v>2621210</v>
      </c>
      <c r="V114">
        <v>1</v>
      </c>
      <c r="W114" t="b">
        <v>1</v>
      </c>
      <c r="Y114" t="s">
        <v>955</v>
      </c>
      <c r="AB114" t="s">
        <v>298</v>
      </c>
      <c r="AC114" t="s">
        <v>960</v>
      </c>
      <c r="AS114">
        <f t="shared" si="26"/>
        <v>2</v>
      </c>
      <c r="AT114">
        <v>1</v>
      </c>
      <c r="AU114">
        <v>1</v>
      </c>
      <c r="AV114">
        <v>1</v>
      </c>
    </row>
    <row r="115" spans="1:56" x14ac:dyDescent="0.35">
      <c r="A115" s="5" t="s">
        <v>1015</v>
      </c>
      <c r="B115" s="5" t="s">
        <v>50</v>
      </c>
      <c r="C115" s="5" t="str">
        <f>VLOOKUP(B115,templateLookup!A:B,2,0)</f>
        <v>COMPOSITE</v>
      </c>
      <c r="D115" s="6"/>
    </row>
    <row r="116" spans="1:56" x14ac:dyDescent="0.35">
      <c r="A116" s="5" t="s">
        <v>1015</v>
      </c>
      <c r="B116" s="34" t="s">
        <v>50</v>
      </c>
      <c r="C116" s="34" t="str">
        <f>VLOOKUP(B116,templateLookup!A:B,2,0)</f>
        <v>COMPOSITE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t="str">
        <f t="shared" ref="U116:U153" si="29">R116&amp;S116&amp;T116</f>
        <v/>
      </c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</row>
    <row r="117" spans="1:56" x14ac:dyDescent="0.35">
      <c r="A117" s="5" t="s">
        <v>21</v>
      </c>
      <c r="B117" s="5" t="s">
        <v>49</v>
      </c>
      <c r="C117" s="5" t="str">
        <f>VLOOKUP(B117,templateLookup!A:B,2,0)</f>
        <v>COMPOSITE</v>
      </c>
      <c r="D117" s="5" t="s">
        <v>21</v>
      </c>
      <c r="E117" s="5"/>
      <c r="F117" s="5" t="s">
        <v>25</v>
      </c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t="str">
        <f t="shared" si="29"/>
        <v/>
      </c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</row>
    <row r="118" spans="1:56" x14ac:dyDescent="0.35">
      <c r="A118" s="5" t="s">
        <v>21</v>
      </c>
      <c r="B118" s="30" t="s">
        <v>49</v>
      </c>
      <c r="C118" s="30" t="str">
        <f>VLOOKUP(B118,templateLookup!A:B,2,0)</f>
        <v>COMPOSITE</v>
      </c>
      <c r="D118" s="30" t="s">
        <v>1017</v>
      </c>
      <c r="E118" s="10"/>
      <c r="F118" s="5" t="s">
        <v>25</v>
      </c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t="str">
        <f t="shared" si="29"/>
        <v/>
      </c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L118" s="10"/>
      <c r="AM118" s="10"/>
      <c r="AN118" s="10"/>
      <c r="AO118" s="10"/>
      <c r="AP118" s="10"/>
      <c r="AQ118" s="10"/>
      <c r="AR118" s="10"/>
      <c r="AS118" s="10">
        <f>COUNTA(AU118:BD118)</f>
        <v>2</v>
      </c>
      <c r="AT118" s="10" t="s">
        <v>218</v>
      </c>
      <c r="AU118" s="10" t="str">
        <f>$D156</f>
        <v>VMAX</v>
      </c>
      <c r="AV118" s="10" t="str">
        <f>$D156</f>
        <v>VMAX</v>
      </c>
      <c r="AW118" s="10"/>
      <c r="AX118" s="10"/>
      <c r="AY118" s="10"/>
      <c r="AZ118" s="10"/>
      <c r="BA118" s="10"/>
      <c r="BB118" s="10"/>
      <c r="BC118" s="10"/>
      <c r="BD118" s="10"/>
    </row>
    <row r="119" spans="1:56" x14ac:dyDescent="0.35">
      <c r="A119" s="28" t="s">
        <v>21</v>
      </c>
      <c r="B119" s="31" t="s">
        <v>62</v>
      </c>
      <c r="C119" s="31" t="str">
        <f>VLOOKUP(B119,templateLookup!A:B,2,0)</f>
        <v>PrimeVminSearchTestMethod</v>
      </c>
      <c r="D119" s="31" t="str">
        <f>E119&amp;"_"&amp;F119&amp;"_"&amp;G119&amp;"_"&amp;H119&amp;"_"&amp;A119&amp;"_"&amp;I119&amp;"_"&amp;J119&amp;"_"&amp;K119&amp;"_"&amp;L119&amp;"_"&amp;M119&amp;"_"&amp;N119</f>
        <v>SSA_VPU_VCHK_K_END_TITO_VPU_NOM_LFM_1900_ALL</v>
      </c>
      <c r="E119" t="s">
        <v>4</v>
      </c>
      <c r="F119" t="s">
        <v>25</v>
      </c>
      <c r="G119" t="s">
        <v>1018</v>
      </c>
      <c r="H119" t="s">
        <v>253</v>
      </c>
      <c r="I119" t="s">
        <v>260</v>
      </c>
      <c r="J119" t="s">
        <v>25</v>
      </c>
      <c r="K119" t="s">
        <v>284</v>
      </c>
      <c r="L119" t="s">
        <v>285</v>
      </c>
      <c r="M119">
        <v>1900</v>
      </c>
      <c r="N119" t="s">
        <v>7</v>
      </c>
      <c r="O119" t="s">
        <v>267</v>
      </c>
      <c r="P119" t="s">
        <v>268</v>
      </c>
      <c r="Q119" t="s">
        <v>1349</v>
      </c>
      <c r="R119">
        <v>61</v>
      </c>
      <c r="S119">
        <v>32</v>
      </c>
      <c r="T119">
        <v>1</v>
      </c>
      <c r="U119" t="str">
        <f t="shared" si="29"/>
        <v>61321</v>
      </c>
      <c r="V119">
        <v>-1</v>
      </c>
      <c r="W119" t="b">
        <v>1</v>
      </c>
      <c r="X119">
        <v>2232</v>
      </c>
      <c r="Y119" t="s">
        <v>1021</v>
      </c>
      <c r="AB119" t="s">
        <v>298</v>
      </c>
      <c r="AC119" t="s">
        <v>257</v>
      </c>
      <c r="AD119" t="s">
        <v>696</v>
      </c>
      <c r="AS119">
        <f>COUNTA(AU119:BD119)</f>
        <v>2</v>
      </c>
      <c r="AT119">
        <v>1</v>
      </c>
      <c r="AU119" t="str">
        <f>$D120</f>
        <v>KS_SSA_NON_REC</v>
      </c>
      <c r="AV119" t="str">
        <f>$D137</f>
        <v>LSA_VPU_VCHK_K_END_TITO_VPU_NOM_LFM_1900_ALL</v>
      </c>
    </row>
    <row r="120" spans="1:56" x14ac:dyDescent="0.35">
      <c r="A120" s="5" t="s">
        <v>21</v>
      </c>
      <c r="B120" s="30" t="s">
        <v>49</v>
      </c>
      <c r="C120" s="30" t="str">
        <f>VLOOKUP(B120,templateLookup!A:B,2,0)</f>
        <v>COMPOSITE</v>
      </c>
      <c r="D120" s="30" t="s">
        <v>1350</v>
      </c>
      <c r="E120" s="10"/>
      <c r="F120" s="5" t="s">
        <v>25</v>
      </c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t="str">
        <f t="shared" si="29"/>
        <v/>
      </c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L120" s="10"/>
      <c r="AM120" s="10"/>
      <c r="AN120" s="10"/>
      <c r="AO120" s="10"/>
      <c r="AP120" s="10"/>
      <c r="AQ120" s="10"/>
      <c r="AR120" s="10"/>
      <c r="AS120" s="10">
        <f>COUNTA(AU120:BD120)</f>
        <v>2</v>
      </c>
      <c r="AT120" s="10" t="s">
        <v>218</v>
      </c>
      <c r="AU120" s="10" t="str">
        <f>$D123</f>
        <v>KS_SSA</v>
      </c>
      <c r="AV120" s="10" t="str">
        <f>$D123</f>
        <v>KS_SSA</v>
      </c>
      <c r="AW120" s="10"/>
      <c r="AX120" s="10"/>
      <c r="AY120" s="10"/>
      <c r="AZ120" s="10"/>
      <c r="BA120" s="10"/>
      <c r="BB120" s="10"/>
      <c r="BC120" s="10"/>
      <c r="BD120" s="10"/>
    </row>
    <row r="121" spans="1:56" x14ac:dyDescent="0.35">
      <c r="A121" s="28" t="s">
        <v>21</v>
      </c>
      <c r="B121" s="31" t="s">
        <v>62</v>
      </c>
      <c r="C121" s="31" t="str">
        <f>VLOOKUP(B121,templateLookup!A:B,2,0)</f>
        <v>PrimeVminSearchTestMethod</v>
      </c>
      <c r="D121" s="31" t="str">
        <f>E121&amp;"_"&amp;F121&amp;"_"&amp;G121&amp;"_"&amp;H121&amp;"_"&amp;A121&amp;"_"&amp;I121&amp;"_"&amp;J121&amp;"_"&amp;K121&amp;"_"&amp;L121&amp;"_"&amp;M121&amp;"_"&amp;N121</f>
        <v>SSA_VPU_VCHK_K_END_TITO_VPU_NOM_LFM_1900_CPU</v>
      </c>
      <c r="E121" t="s">
        <v>4</v>
      </c>
      <c r="F121" t="s">
        <v>25</v>
      </c>
      <c r="G121" t="s">
        <v>1018</v>
      </c>
      <c r="H121" t="s">
        <v>253</v>
      </c>
      <c r="I121" t="s">
        <v>260</v>
      </c>
      <c r="J121" t="s">
        <v>25</v>
      </c>
      <c r="K121" t="s">
        <v>284</v>
      </c>
      <c r="L121" t="s">
        <v>285</v>
      </c>
      <c r="M121">
        <v>1900</v>
      </c>
      <c r="N121" t="s">
        <v>1297</v>
      </c>
      <c r="O121" t="s">
        <v>267</v>
      </c>
      <c r="P121" t="s">
        <v>268</v>
      </c>
      <c r="Q121" t="s">
        <v>1351</v>
      </c>
      <c r="R121">
        <v>61</v>
      </c>
      <c r="S121">
        <v>32</v>
      </c>
      <c r="T121">
        <v>2</v>
      </c>
      <c r="U121" t="str">
        <f t="shared" si="29"/>
        <v>61322</v>
      </c>
      <c r="V121">
        <v>1</v>
      </c>
      <c r="W121" t="b">
        <v>1</v>
      </c>
      <c r="X121">
        <v>2233</v>
      </c>
      <c r="Y121" t="s">
        <v>1021</v>
      </c>
      <c r="AB121" t="s">
        <v>298</v>
      </c>
      <c r="AC121" t="s">
        <v>960</v>
      </c>
      <c r="AS121">
        <f>COUNTA(AU121:BD121)</f>
        <v>2</v>
      </c>
      <c r="AT121">
        <v>1</v>
      </c>
      <c r="AU121">
        <v>1</v>
      </c>
      <c r="AV121">
        <v>1</v>
      </c>
    </row>
    <row r="122" spans="1:56" x14ac:dyDescent="0.35">
      <c r="A122" s="5" t="s">
        <v>21</v>
      </c>
      <c r="B122" s="30" t="s">
        <v>50</v>
      </c>
      <c r="C122" s="30" t="str">
        <f>VLOOKUP(B122,templateLookup!A:B,2,0)</f>
        <v>COMPOSITE</v>
      </c>
      <c r="D122" s="3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U122" t="str">
        <f t="shared" si="29"/>
        <v/>
      </c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</row>
    <row r="123" spans="1:56" x14ac:dyDescent="0.35">
      <c r="A123" s="5" t="s">
        <v>21</v>
      </c>
      <c r="B123" s="30" t="s">
        <v>49</v>
      </c>
      <c r="C123" s="30" t="str">
        <f>VLOOKUP(B123,templateLookup!A:B,2,0)</f>
        <v>COMPOSITE</v>
      </c>
      <c r="D123" s="30" t="s">
        <v>1352</v>
      </c>
      <c r="E123" s="10"/>
      <c r="F123" s="5" t="s">
        <v>25</v>
      </c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t="str">
        <f t="shared" si="29"/>
        <v/>
      </c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L123" s="10"/>
      <c r="AM123" s="10"/>
      <c r="AN123" s="10"/>
      <c r="AO123" s="10"/>
      <c r="AP123" s="10"/>
      <c r="AQ123" s="10"/>
      <c r="AR123" s="10"/>
      <c r="AS123" s="10">
        <f>COUNTA(AU123:BD123)</f>
        <v>2</v>
      </c>
      <c r="AT123" s="10" t="s">
        <v>218</v>
      </c>
      <c r="AU123" s="10" t="str">
        <f>$D137</f>
        <v>LSA_VPU_VCHK_K_END_TITO_VPU_NOM_LFM_1900_ALL</v>
      </c>
      <c r="AV123" s="10" t="str">
        <f>$D137</f>
        <v>LSA_VPU_VCHK_K_END_TITO_VPU_NOM_LFM_1900_ALL</v>
      </c>
      <c r="AW123" s="10"/>
      <c r="AX123" s="10"/>
      <c r="AY123" s="10"/>
      <c r="AZ123" s="10"/>
      <c r="BA123" s="10"/>
      <c r="BB123" s="10"/>
      <c r="BC123" s="10"/>
      <c r="BD123" s="10"/>
    </row>
    <row r="124" spans="1:56" x14ac:dyDescent="0.35">
      <c r="A124" s="28" t="s">
        <v>21</v>
      </c>
      <c r="B124" s="31" t="s">
        <v>111</v>
      </c>
      <c r="C124" s="31" t="str">
        <f>VLOOKUP(B124,templateLookup!A:B,2,0)</f>
        <v>AuxiliaryTC</v>
      </c>
      <c r="D124" s="31" t="str">
        <f t="shared" ref="D124:D135" si="30">E124&amp;"_"&amp;F124&amp;"_"&amp;G124&amp;"_"&amp;H124&amp;"_"&amp;A124&amp;"_"&amp;I124&amp;"_"&amp;J124&amp;"_"&amp;K124&amp;"_"&amp;L124&amp;"_"&amp;M124&amp;"_"&amp;N124</f>
        <v>CTRL_X_AUX_K_END_X_X_X_X_SSA_VPU0</v>
      </c>
      <c r="E124" t="s">
        <v>215</v>
      </c>
      <c r="F124" t="s">
        <v>208</v>
      </c>
      <c r="G124" t="s">
        <v>876</v>
      </c>
      <c r="H124" t="s">
        <v>253</v>
      </c>
      <c r="I124" t="s">
        <v>208</v>
      </c>
      <c r="J124" t="s">
        <v>208</v>
      </c>
      <c r="K124" t="s">
        <v>208</v>
      </c>
      <c r="L124" t="s">
        <v>208</v>
      </c>
      <c r="M124" t="s">
        <v>4</v>
      </c>
      <c r="N124" t="s">
        <v>1306</v>
      </c>
      <c r="O124" t="s">
        <v>211</v>
      </c>
      <c r="P124" t="s">
        <v>211</v>
      </c>
      <c r="Q124" t="s">
        <v>212</v>
      </c>
      <c r="R124">
        <v>61</v>
      </c>
      <c r="S124">
        <v>32</v>
      </c>
      <c r="T124">
        <v>3</v>
      </c>
      <c r="U124" t="str">
        <f t="shared" si="29"/>
        <v>61323</v>
      </c>
      <c r="V124" s="28">
        <v>1</v>
      </c>
      <c r="W124" t="b">
        <v>0</v>
      </c>
      <c r="X124">
        <v>2251</v>
      </c>
      <c r="AL124" s="10"/>
      <c r="AQ124" t="s">
        <v>1339</v>
      </c>
      <c r="AS124">
        <v>3</v>
      </c>
      <c r="AT124" t="s">
        <v>218</v>
      </c>
      <c r="AU124">
        <v>1</v>
      </c>
      <c r="AV124" t="str">
        <f t="shared" ref="AV124:AV134" si="31">$D125</f>
        <v>SSA_VPU_VCHK_K_END_TITO_VPU_NOM_LFM_1900_TILE0</v>
      </c>
      <c r="AW124" t="str">
        <f>$D126</f>
        <v>CTRL_X_AUX_K_END_X_X_X_X_SSA_VPU1</v>
      </c>
      <c r="AX124" s="10"/>
      <c r="AY124" s="10"/>
    </row>
    <row r="125" spans="1:56" x14ac:dyDescent="0.35">
      <c r="A125" s="28" t="s">
        <v>21</v>
      </c>
      <c r="B125" s="31" t="s">
        <v>62</v>
      </c>
      <c r="C125" s="31" t="str">
        <f>VLOOKUP(B125,templateLookup!A:B,2,0)</f>
        <v>PrimeVminSearchTestMethod</v>
      </c>
      <c r="D125" s="31" t="str">
        <f t="shared" si="30"/>
        <v>SSA_VPU_VCHK_K_END_TITO_VPU_NOM_LFM_1900_TILE0</v>
      </c>
      <c r="E125" t="s">
        <v>4</v>
      </c>
      <c r="F125" t="s">
        <v>25</v>
      </c>
      <c r="G125" t="s">
        <v>1018</v>
      </c>
      <c r="H125" t="s">
        <v>253</v>
      </c>
      <c r="I125" t="s">
        <v>260</v>
      </c>
      <c r="J125" t="s">
        <v>25</v>
      </c>
      <c r="K125" t="s">
        <v>284</v>
      </c>
      <c r="L125" t="s">
        <v>285</v>
      </c>
      <c r="M125">
        <v>1900</v>
      </c>
      <c r="N125" t="s">
        <v>1303</v>
      </c>
      <c r="O125" t="s">
        <v>267</v>
      </c>
      <c r="P125" t="s">
        <v>268</v>
      </c>
      <c r="Q125" t="s">
        <v>1353</v>
      </c>
      <c r="R125">
        <v>61</v>
      </c>
      <c r="S125">
        <v>32</v>
      </c>
      <c r="T125">
        <f t="shared" ref="T125:T135" si="32">T124+1</f>
        <v>4</v>
      </c>
      <c r="U125" t="str">
        <f t="shared" si="29"/>
        <v>61324</v>
      </c>
      <c r="V125" s="28">
        <v>1</v>
      </c>
      <c r="W125" t="b">
        <v>1</v>
      </c>
      <c r="X125">
        <v>2234</v>
      </c>
      <c r="Y125" t="s">
        <v>1021</v>
      </c>
      <c r="AB125" t="s">
        <v>298</v>
      </c>
      <c r="AC125" t="s">
        <v>960</v>
      </c>
      <c r="AD125" s="10"/>
      <c r="AS125">
        <f>COUNTA(AU125:BD125)</f>
        <v>2</v>
      </c>
      <c r="AT125">
        <v>1</v>
      </c>
      <c r="AU125" t="str">
        <f>$D126</f>
        <v>CTRL_X_AUX_K_END_X_X_X_X_SSA_VPU1</v>
      </c>
      <c r="AV125" t="str">
        <f t="shared" si="31"/>
        <v>CTRL_X_AUX_K_END_X_X_X_X_SSA_VPU1</v>
      </c>
      <c r="AX125" s="10"/>
      <c r="AY125" s="10"/>
    </row>
    <row r="126" spans="1:56" x14ac:dyDescent="0.35">
      <c r="A126" s="28" t="s">
        <v>21</v>
      </c>
      <c r="B126" s="31" t="s">
        <v>111</v>
      </c>
      <c r="C126" s="31" t="str">
        <f>VLOOKUP(B126,templateLookup!A:B,2,0)</f>
        <v>AuxiliaryTC</v>
      </c>
      <c r="D126" s="31" t="str">
        <f t="shared" si="30"/>
        <v>CTRL_X_AUX_K_END_X_X_X_X_SSA_VPU1</v>
      </c>
      <c r="E126" t="s">
        <v>215</v>
      </c>
      <c r="F126" t="s">
        <v>208</v>
      </c>
      <c r="G126" t="s">
        <v>876</v>
      </c>
      <c r="H126" t="s">
        <v>253</v>
      </c>
      <c r="I126" t="s">
        <v>208</v>
      </c>
      <c r="J126" t="s">
        <v>208</v>
      </c>
      <c r="K126" t="s">
        <v>208</v>
      </c>
      <c r="L126" t="s">
        <v>208</v>
      </c>
      <c r="M126" t="s">
        <v>4</v>
      </c>
      <c r="N126" t="s">
        <v>1310</v>
      </c>
      <c r="O126" t="s">
        <v>211</v>
      </c>
      <c r="P126" t="s">
        <v>211</v>
      </c>
      <c r="Q126" t="s">
        <v>212</v>
      </c>
      <c r="R126">
        <v>61</v>
      </c>
      <c r="S126">
        <v>32</v>
      </c>
      <c r="T126">
        <f t="shared" si="32"/>
        <v>5</v>
      </c>
      <c r="U126" t="str">
        <f t="shared" si="29"/>
        <v>61325</v>
      </c>
      <c r="V126" s="28">
        <v>1</v>
      </c>
      <c r="W126" t="b">
        <v>0</v>
      </c>
      <c r="X126">
        <v>2252</v>
      </c>
      <c r="AC126" t="s">
        <v>960</v>
      </c>
      <c r="AL126" s="10"/>
      <c r="AQ126" t="s">
        <v>1340</v>
      </c>
      <c r="AS126">
        <v>3</v>
      </c>
      <c r="AT126" t="s">
        <v>218</v>
      </c>
      <c r="AU126">
        <v>1</v>
      </c>
      <c r="AV126" t="str">
        <f t="shared" si="31"/>
        <v>SSA_VPU_VCHK_K_END_TITO_VPU_NOM_LFM_1900_TILE1</v>
      </c>
      <c r="AW126" t="str">
        <f>$D128</f>
        <v>CTRL_X_AUX_K_END_X_X_X_X_SSA_VPU2</v>
      </c>
      <c r="AX126" s="10"/>
      <c r="AY126" s="10"/>
    </row>
    <row r="127" spans="1:56" x14ac:dyDescent="0.35">
      <c r="A127" s="28" t="s">
        <v>21</v>
      </c>
      <c r="B127" s="31" t="s">
        <v>62</v>
      </c>
      <c r="C127" s="31" t="str">
        <f>VLOOKUP(B127,templateLookup!A:B,2,0)</f>
        <v>PrimeVminSearchTestMethod</v>
      </c>
      <c r="D127" s="31" t="str">
        <f t="shared" si="30"/>
        <v>SSA_VPU_VCHK_K_END_TITO_VPU_NOM_LFM_1900_TILE1</v>
      </c>
      <c r="E127" t="s">
        <v>4</v>
      </c>
      <c r="F127" t="s">
        <v>25</v>
      </c>
      <c r="G127" t="s">
        <v>1018</v>
      </c>
      <c r="H127" t="s">
        <v>253</v>
      </c>
      <c r="I127" t="s">
        <v>260</v>
      </c>
      <c r="J127" t="s">
        <v>25</v>
      </c>
      <c r="K127" t="s">
        <v>284</v>
      </c>
      <c r="L127" t="s">
        <v>285</v>
      </c>
      <c r="M127">
        <v>1900</v>
      </c>
      <c r="N127" t="s">
        <v>1307</v>
      </c>
      <c r="O127" t="s">
        <v>267</v>
      </c>
      <c r="P127" t="s">
        <v>268</v>
      </c>
      <c r="Q127" t="s">
        <v>1354</v>
      </c>
      <c r="R127">
        <v>61</v>
      </c>
      <c r="S127">
        <v>32</v>
      </c>
      <c r="T127">
        <f t="shared" si="32"/>
        <v>6</v>
      </c>
      <c r="U127" t="str">
        <f t="shared" si="29"/>
        <v>61326</v>
      </c>
      <c r="V127" s="28">
        <v>1</v>
      </c>
      <c r="W127" t="b">
        <v>1</v>
      </c>
      <c r="X127">
        <v>2235</v>
      </c>
      <c r="Y127" t="s">
        <v>1021</v>
      </c>
      <c r="AB127" t="s">
        <v>298</v>
      </c>
      <c r="AC127" t="s">
        <v>960</v>
      </c>
      <c r="AD127" s="10"/>
      <c r="AS127">
        <f>COUNTA(AU127:BD127)</f>
        <v>2</v>
      </c>
      <c r="AT127">
        <v>1</v>
      </c>
      <c r="AU127" t="str">
        <f>$D128</f>
        <v>CTRL_X_AUX_K_END_X_X_X_X_SSA_VPU2</v>
      </c>
      <c r="AV127" t="str">
        <f t="shared" si="31"/>
        <v>CTRL_X_AUX_K_END_X_X_X_X_SSA_VPU2</v>
      </c>
      <c r="AX127" s="10"/>
      <c r="AY127" s="10"/>
    </row>
    <row r="128" spans="1:56" x14ac:dyDescent="0.35">
      <c r="A128" s="28" t="s">
        <v>21</v>
      </c>
      <c r="B128" s="31" t="s">
        <v>111</v>
      </c>
      <c r="C128" s="31" t="str">
        <f>VLOOKUP(B128,templateLookup!A:B,2,0)</f>
        <v>AuxiliaryTC</v>
      </c>
      <c r="D128" s="31" t="str">
        <f t="shared" si="30"/>
        <v>CTRL_X_AUX_K_END_X_X_X_X_SSA_VPU2</v>
      </c>
      <c r="E128" t="s">
        <v>215</v>
      </c>
      <c r="F128" t="s">
        <v>208</v>
      </c>
      <c r="G128" t="s">
        <v>876</v>
      </c>
      <c r="H128" t="s">
        <v>253</v>
      </c>
      <c r="I128" t="s">
        <v>208</v>
      </c>
      <c r="J128" t="s">
        <v>208</v>
      </c>
      <c r="K128" t="s">
        <v>208</v>
      </c>
      <c r="L128" t="s">
        <v>208</v>
      </c>
      <c r="M128" t="s">
        <v>4</v>
      </c>
      <c r="N128" t="s">
        <v>1314</v>
      </c>
      <c r="O128" t="s">
        <v>211</v>
      </c>
      <c r="P128" t="s">
        <v>211</v>
      </c>
      <c r="Q128" t="s">
        <v>212</v>
      </c>
      <c r="R128">
        <v>61</v>
      </c>
      <c r="S128">
        <v>32</v>
      </c>
      <c r="T128">
        <f t="shared" si="32"/>
        <v>7</v>
      </c>
      <c r="U128" t="str">
        <f t="shared" si="29"/>
        <v>61327</v>
      </c>
      <c r="V128" s="28">
        <v>1</v>
      </c>
      <c r="W128" t="b">
        <v>0</v>
      </c>
      <c r="X128">
        <v>2253</v>
      </c>
      <c r="AC128" t="s">
        <v>960</v>
      </c>
      <c r="AL128" s="10"/>
      <c r="AQ128" t="s">
        <v>1341</v>
      </c>
      <c r="AS128">
        <v>3</v>
      </c>
      <c r="AT128" t="s">
        <v>218</v>
      </c>
      <c r="AU128">
        <v>1</v>
      </c>
      <c r="AV128" t="str">
        <f t="shared" si="31"/>
        <v>SSA_VPU_VCHK_K_END_TITO_VPU_NOM_LFM_1900_TILE2</v>
      </c>
      <c r="AW128" t="str">
        <f>$D130</f>
        <v>CTRL_X_AUX_K_END_X_X_X_X_SSA_VPU3</v>
      </c>
      <c r="AX128" s="10"/>
      <c r="AY128" s="10"/>
    </row>
    <row r="129" spans="1:56" x14ac:dyDescent="0.35">
      <c r="A129" s="28" t="s">
        <v>21</v>
      </c>
      <c r="B129" s="31" t="s">
        <v>62</v>
      </c>
      <c r="C129" s="31" t="str">
        <f>VLOOKUP(B129,templateLookup!A:B,2,0)</f>
        <v>PrimeVminSearchTestMethod</v>
      </c>
      <c r="D129" s="31" t="str">
        <f t="shared" si="30"/>
        <v>SSA_VPU_VCHK_K_END_TITO_VPU_NOM_LFM_1900_TILE2</v>
      </c>
      <c r="E129" t="s">
        <v>4</v>
      </c>
      <c r="F129" t="s">
        <v>25</v>
      </c>
      <c r="G129" t="s">
        <v>1018</v>
      </c>
      <c r="H129" t="s">
        <v>253</v>
      </c>
      <c r="I129" t="s">
        <v>260</v>
      </c>
      <c r="J129" t="s">
        <v>25</v>
      </c>
      <c r="K129" t="s">
        <v>284</v>
      </c>
      <c r="L129" t="s">
        <v>285</v>
      </c>
      <c r="M129">
        <v>1900</v>
      </c>
      <c r="N129" t="s">
        <v>1311</v>
      </c>
      <c r="O129" t="s">
        <v>267</v>
      </c>
      <c r="P129" t="s">
        <v>268</v>
      </c>
      <c r="Q129" t="s">
        <v>1355</v>
      </c>
      <c r="R129">
        <v>61</v>
      </c>
      <c r="S129">
        <v>32</v>
      </c>
      <c r="T129">
        <f t="shared" si="32"/>
        <v>8</v>
      </c>
      <c r="U129" t="str">
        <f t="shared" si="29"/>
        <v>61328</v>
      </c>
      <c r="V129" s="28">
        <v>1</v>
      </c>
      <c r="W129" t="b">
        <v>1</v>
      </c>
      <c r="X129">
        <v>2236</v>
      </c>
      <c r="Y129" t="s">
        <v>1021</v>
      </c>
      <c r="AB129" t="s">
        <v>298</v>
      </c>
      <c r="AC129" t="s">
        <v>960</v>
      </c>
      <c r="AD129" s="10"/>
      <c r="AS129">
        <f>COUNTA(AU129:BD129)</f>
        <v>2</v>
      </c>
      <c r="AT129">
        <v>1</v>
      </c>
      <c r="AU129" t="str">
        <f>$D130</f>
        <v>CTRL_X_AUX_K_END_X_X_X_X_SSA_VPU3</v>
      </c>
      <c r="AV129" t="str">
        <f t="shared" si="31"/>
        <v>CTRL_X_AUX_K_END_X_X_X_X_SSA_VPU3</v>
      </c>
      <c r="AX129" s="10"/>
      <c r="AY129" s="10"/>
    </row>
    <row r="130" spans="1:56" x14ac:dyDescent="0.35">
      <c r="A130" s="28" t="s">
        <v>21</v>
      </c>
      <c r="B130" s="31" t="s">
        <v>111</v>
      </c>
      <c r="C130" s="31" t="str">
        <f>VLOOKUP(B130,templateLookup!A:B,2,0)</f>
        <v>AuxiliaryTC</v>
      </c>
      <c r="D130" s="31" t="str">
        <f t="shared" si="30"/>
        <v>CTRL_X_AUX_K_END_X_X_X_X_SSA_VPU3</v>
      </c>
      <c r="E130" t="s">
        <v>215</v>
      </c>
      <c r="F130" t="s">
        <v>208</v>
      </c>
      <c r="G130" t="s">
        <v>876</v>
      </c>
      <c r="H130" t="s">
        <v>253</v>
      </c>
      <c r="I130" t="s">
        <v>208</v>
      </c>
      <c r="J130" t="s">
        <v>208</v>
      </c>
      <c r="K130" t="s">
        <v>208</v>
      </c>
      <c r="L130" t="s">
        <v>208</v>
      </c>
      <c r="M130" t="s">
        <v>4</v>
      </c>
      <c r="N130" t="s">
        <v>1318</v>
      </c>
      <c r="O130" t="s">
        <v>211</v>
      </c>
      <c r="P130" t="s">
        <v>211</v>
      </c>
      <c r="Q130" t="s">
        <v>212</v>
      </c>
      <c r="R130">
        <v>61</v>
      </c>
      <c r="S130">
        <v>32</v>
      </c>
      <c r="T130">
        <f t="shared" si="32"/>
        <v>9</v>
      </c>
      <c r="U130" t="str">
        <f t="shared" si="29"/>
        <v>61329</v>
      </c>
      <c r="V130" s="28">
        <v>1</v>
      </c>
      <c r="W130" t="b">
        <v>0</v>
      </c>
      <c r="X130">
        <v>2254</v>
      </c>
      <c r="AC130" t="s">
        <v>960</v>
      </c>
      <c r="AL130" s="10"/>
      <c r="AQ130" t="s">
        <v>1342</v>
      </c>
      <c r="AS130">
        <v>3</v>
      </c>
      <c r="AT130" t="s">
        <v>218</v>
      </c>
      <c r="AU130">
        <v>1</v>
      </c>
      <c r="AV130" t="str">
        <f t="shared" si="31"/>
        <v>SSA_VPU_VCHK_K_END_TITO_VPU_NOM_LFM_1900_TILE3</v>
      </c>
      <c r="AW130" t="str">
        <f>$D132</f>
        <v>CTRL_X_AUX_K_END_X_X_X_X_SSA_VPU4</v>
      </c>
      <c r="AX130" s="10"/>
      <c r="AY130" s="10"/>
    </row>
    <row r="131" spans="1:56" x14ac:dyDescent="0.35">
      <c r="A131" s="28" t="s">
        <v>21</v>
      </c>
      <c r="B131" s="31" t="s">
        <v>62</v>
      </c>
      <c r="C131" s="31" t="str">
        <f>VLOOKUP(B131,templateLookup!A:B,2,0)</f>
        <v>PrimeVminSearchTestMethod</v>
      </c>
      <c r="D131" s="31" t="str">
        <f t="shared" si="30"/>
        <v>SSA_VPU_VCHK_K_END_TITO_VPU_NOM_LFM_1900_TILE3</v>
      </c>
      <c r="E131" t="s">
        <v>4</v>
      </c>
      <c r="F131" t="s">
        <v>25</v>
      </c>
      <c r="G131" t="s">
        <v>1018</v>
      </c>
      <c r="H131" t="s">
        <v>253</v>
      </c>
      <c r="I131" t="s">
        <v>260</v>
      </c>
      <c r="J131" t="s">
        <v>25</v>
      </c>
      <c r="K131" t="s">
        <v>284</v>
      </c>
      <c r="L131" t="s">
        <v>285</v>
      </c>
      <c r="M131">
        <v>1900</v>
      </c>
      <c r="N131" t="s">
        <v>1315</v>
      </c>
      <c r="O131" t="s">
        <v>267</v>
      </c>
      <c r="P131" t="s">
        <v>268</v>
      </c>
      <c r="Q131" t="s">
        <v>1356</v>
      </c>
      <c r="R131">
        <v>61</v>
      </c>
      <c r="S131">
        <v>32</v>
      </c>
      <c r="T131">
        <f t="shared" si="32"/>
        <v>10</v>
      </c>
      <c r="U131" t="str">
        <f t="shared" si="29"/>
        <v>613210</v>
      </c>
      <c r="V131" s="28">
        <v>1</v>
      </c>
      <c r="W131" t="b">
        <v>1</v>
      </c>
      <c r="X131">
        <v>2237</v>
      </c>
      <c r="Y131" t="s">
        <v>1021</v>
      </c>
      <c r="AB131" t="s">
        <v>298</v>
      </c>
      <c r="AC131" t="s">
        <v>960</v>
      </c>
      <c r="AD131" s="10"/>
      <c r="AS131">
        <f>COUNTA(AU131:BD131)</f>
        <v>2</v>
      </c>
      <c r="AT131">
        <v>1</v>
      </c>
      <c r="AU131" t="str">
        <f>$D132</f>
        <v>CTRL_X_AUX_K_END_X_X_X_X_SSA_VPU4</v>
      </c>
      <c r="AV131" t="str">
        <f t="shared" si="31"/>
        <v>CTRL_X_AUX_K_END_X_X_X_X_SSA_VPU4</v>
      </c>
      <c r="AX131" s="10"/>
      <c r="AY131" s="10"/>
    </row>
    <row r="132" spans="1:56" x14ac:dyDescent="0.35">
      <c r="A132" s="28" t="s">
        <v>21</v>
      </c>
      <c r="B132" s="31" t="s">
        <v>111</v>
      </c>
      <c r="C132" s="31" t="str">
        <f>VLOOKUP(B132,templateLookup!A:B,2,0)</f>
        <v>AuxiliaryTC</v>
      </c>
      <c r="D132" s="31" t="str">
        <f t="shared" si="30"/>
        <v>CTRL_X_AUX_K_END_X_X_X_X_SSA_VPU4</v>
      </c>
      <c r="E132" t="s">
        <v>215</v>
      </c>
      <c r="F132" t="s">
        <v>208</v>
      </c>
      <c r="G132" t="s">
        <v>876</v>
      </c>
      <c r="H132" t="s">
        <v>253</v>
      </c>
      <c r="I132" t="s">
        <v>208</v>
      </c>
      <c r="J132" t="s">
        <v>208</v>
      </c>
      <c r="K132" t="s">
        <v>208</v>
      </c>
      <c r="L132" t="s">
        <v>208</v>
      </c>
      <c r="M132" t="s">
        <v>4</v>
      </c>
      <c r="N132" t="s">
        <v>1322</v>
      </c>
      <c r="O132" t="s">
        <v>211</v>
      </c>
      <c r="P132" t="s">
        <v>211</v>
      </c>
      <c r="Q132" t="s">
        <v>212</v>
      </c>
      <c r="R132">
        <v>61</v>
      </c>
      <c r="S132">
        <v>32</v>
      </c>
      <c r="T132">
        <f t="shared" si="32"/>
        <v>11</v>
      </c>
      <c r="U132" t="str">
        <f t="shared" si="29"/>
        <v>613211</v>
      </c>
      <c r="V132" s="28">
        <v>1</v>
      </c>
      <c r="W132" t="b">
        <v>0</v>
      </c>
      <c r="X132">
        <v>2255</v>
      </c>
      <c r="AC132" t="s">
        <v>960</v>
      </c>
      <c r="AL132" s="10"/>
      <c r="AQ132" t="s">
        <v>1343</v>
      </c>
      <c r="AS132">
        <v>3</v>
      </c>
      <c r="AT132" t="s">
        <v>218</v>
      </c>
      <c r="AU132">
        <v>1</v>
      </c>
      <c r="AV132" t="str">
        <f t="shared" si="31"/>
        <v>SSA_VPU_VCHK_K_END_TITO_VPU_NOM_LFM_1900_TILE4</v>
      </c>
      <c r="AW132" t="str">
        <f>$D134</f>
        <v>CTRL_X_AUX_K_END_X_X_X_X_SSA_VPU5</v>
      </c>
      <c r="AX132" s="10"/>
      <c r="AY132" s="10"/>
    </row>
    <row r="133" spans="1:56" x14ac:dyDescent="0.35">
      <c r="A133" s="28" t="s">
        <v>21</v>
      </c>
      <c r="B133" s="31" t="s">
        <v>62</v>
      </c>
      <c r="C133" s="31" t="str">
        <f>VLOOKUP(B133,templateLookup!A:B,2,0)</f>
        <v>PrimeVminSearchTestMethod</v>
      </c>
      <c r="D133" s="31" t="str">
        <f t="shared" si="30"/>
        <v>SSA_VPU_VCHK_K_END_TITO_VPU_NOM_LFM_1900_TILE4</v>
      </c>
      <c r="E133" t="s">
        <v>4</v>
      </c>
      <c r="F133" t="s">
        <v>25</v>
      </c>
      <c r="G133" t="s">
        <v>1018</v>
      </c>
      <c r="H133" t="s">
        <v>253</v>
      </c>
      <c r="I133" t="s">
        <v>260</v>
      </c>
      <c r="J133" t="s">
        <v>25</v>
      </c>
      <c r="K133" t="s">
        <v>284</v>
      </c>
      <c r="L133" t="s">
        <v>285</v>
      </c>
      <c r="M133">
        <v>1900</v>
      </c>
      <c r="N133" t="s">
        <v>1319</v>
      </c>
      <c r="O133" t="s">
        <v>267</v>
      </c>
      <c r="P133" t="s">
        <v>268</v>
      </c>
      <c r="Q133" t="s">
        <v>1357</v>
      </c>
      <c r="R133">
        <v>61</v>
      </c>
      <c r="S133">
        <v>32</v>
      </c>
      <c r="T133">
        <f t="shared" si="32"/>
        <v>12</v>
      </c>
      <c r="U133" t="str">
        <f t="shared" si="29"/>
        <v>613212</v>
      </c>
      <c r="V133" s="28">
        <v>1</v>
      </c>
      <c r="W133" t="b">
        <v>1</v>
      </c>
      <c r="X133">
        <v>2238</v>
      </c>
      <c r="Y133" t="s">
        <v>1021</v>
      </c>
      <c r="AB133" t="s">
        <v>298</v>
      </c>
      <c r="AC133" t="s">
        <v>960</v>
      </c>
      <c r="AD133" s="10"/>
      <c r="AS133">
        <f>COUNTA(AU133:BD133)</f>
        <v>2</v>
      </c>
      <c r="AT133">
        <v>1</v>
      </c>
      <c r="AU133" t="str">
        <f>$D134</f>
        <v>CTRL_X_AUX_K_END_X_X_X_X_SSA_VPU5</v>
      </c>
      <c r="AV133" t="str">
        <f t="shared" si="31"/>
        <v>CTRL_X_AUX_K_END_X_X_X_X_SSA_VPU5</v>
      </c>
      <c r="AX133" s="10"/>
      <c r="AY133" s="10"/>
    </row>
    <row r="134" spans="1:56" x14ac:dyDescent="0.35">
      <c r="A134" s="28" t="s">
        <v>21</v>
      </c>
      <c r="B134" s="31" t="s">
        <v>111</v>
      </c>
      <c r="C134" s="31" t="str">
        <f>VLOOKUP(B134,templateLookup!A:B,2,0)</f>
        <v>AuxiliaryTC</v>
      </c>
      <c r="D134" s="31" t="str">
        <f t="shared" si="30"/>
        <v>CTRL_X_AUX_K_END_X_X_X_X_SSA_VPU5</v>
      </c>
      <c r="E134" t="s">
        <v>215</v>
      </c>
      <c r="F134" t="s">
        <v>208</v>
      </c>
      <c r="G134" t="s">
        <v>876</v>
      </c>
      <c r="H134" t="s">
        <v>253</v>
      </c>
      <c r="I134" t="s">
        <v>208</v>
      </c>
      <c r="J134" t="s">
        <v>208</v>
      </c>
      <c r="K134" t="s">
        <v>208</v>
      </c>
      <c r="L134" t="s">
        <v>208</v>
      </c>
      <c r="M134" t="s">
        <v>4</v>
      </c>
      <c r="N134" t="s">
        <v>1326</v>
      </c>
      <c r="O134" t="s">
        <v>211</v>
      </c>
      <c r="P134" t="s">
        <v>211</v>
      </c>
      <c r="Q134" t="s">
        <v>212</v>
      </c>
      <c r="R134">
        <v>61</v>
      </c>
      <c r="S134">
        <v>32</v>
      </c>
      <c r="T134">
        <f t="shared" si="32"/>
        <v>13</v>
      </c>
      <c r="U134" t="str">
        <f t="shared" si="29"/>
        <v>613213</v>
      </c>
      <c r="V134" s="28">
        <v>1</v>
      </c>
      <c r="W134" t="b">
        <v>0</v>
      </c>
      <c r="X134">
        <v>2256</v>
      </c>
      <c r="AC134" t="s">
        <v>960</v>
      </c>
      <c r="AL134" s="10"/>
      <c r="AQ134" t="s">
        <v>1344</v>
      </c>
      <c r="AS134">
        <v>3</v>
      </c>
      <c r="AT134" t="s">
        <v>218</v>
      </c>
      <c r="AU134">
        <v>1</v>
      </c>
      <c r="AV134" t="str">
        <f t="shared" si="31"/>
        <v>SSA_VPU_VCHK_K_END_TITO_VPU_NOM_LFM_1900_TILE5</v>
      </c>
      <c r="AW134">
        <v>1</v>
      </c>
      <c r="AX134" s="10"/>
      <c r="AY134" s="10"/>
    </row>
    <row r="135" spans="1:56" x14ac:dyDescent="0.35">
      <c r="A135" s="28" t="s">
        <v>21</v>
      </c>
      <c r="B135" s="31" t="s">
        <v>62</v>
      </c>
      <c r="C135" s="31" t="str">
        <f>VLOOKUP(B135,templateLookup!A:B,2,0)</f>
        <v>PrimeVminSearchTestMethod</v>
      </c>
      <c r="D135" s="31" t="str">
        <f t="shared" si="30"/>
        <v>SSA_VPU_VCHK_K_END_TITO_VPU_NOM_LFM_1900_TILE5</v>
      </c>
      <c r="E135" t="s">
        <v>4</v>
      </c>
      <c r="F135" t="s">
        <v>25</v>
      </c>
      <c r="G135" t="s">
        <v>1018</v>
      </c>
      <c r="H135" t="s">
        <v>253</v>
      </c>
      <c r="I135" t="s">
        <v>260</v>
      </c>
      <c r="J135" t="s">
        <v>25</v>
      </c>
      <c r="K135" t="s">
        <v>284</v>
      </c>
      <c r="L135" t="s">
        <v>285</v>
      </c>
      <c r="M135">
        <v>1900</v>
      </c>
      <c r="N135" t="s">
        <v>1323</v>
      </c>
      <c r="O135" t="s">
        <v>267</v>
      </c>
      <c r="P135" t="s">
        <v>268</v>
      </c>
      <c r="Q135" t="s">
        <v>1358</v>
      </c>
      <c r="R135">
        <v>61</v>
      </c>
      <c r="S135">
        <v>32</v>
      </c>
      <c r="T135">
        <f t="shared" si="32"/>
        <v>14</v>
      </c>
      <c r="U135" t="str">
        <f t="shared" si="29"/>
        <v>613214</v>
      </c>
      <c r="V135" s="28">
        <v>1</v>
      </c>
      <c r="W135" t="b">
        <v>1</v>
      </c>
      <c r="X135">
        <v>2239</v>
      </c>
      <c r="Y135" t="s">
        <v>1021</v>
      </c>
      <c r="AB135" t="s">
        <v>298</v>
      </c>
      <c r="AC135" t="s">
        <v>960</v>
      </c>
      <c r="AD135" s="10"/>
      <c r="AS135">
        <f>COUNTA(AU135:BD135)</f>
        <v>2</v>
      </c>
      <c r="AT135">
        <v>1</v>
      </c>
      <c r="AU135">
        <v>1</v>
      </c>
      <c r="AV135">
        <v>1</v>
      </c>
      <c r="AX135" s="10"/>
      <c r="AY135" s="10"/>
    </row>
    <row r="136" spans="1:56" x14ac:dyDescent="0.35">
      <c r="A136" s="5" t="s">
        <v>21</v>
      </c>
      <c r="B136" s="30" t="s">
        <v>50</v>
      </c>
      <c r="C136" s="30" t="str">
        <f>VLOOKUP(B136,templateLookup!A:B,2,0)</f>
        <v>COMPOSITE</v>
      </c>
      <c r="D136" s="3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U136" t="str">
        <f t="shared" si="29"/>
        <v/>
      </c>
      <c r="Z136" s="10"/>
      <c r="AA136" s="10"/>
      <c r="AB136" s="10"/>
      <c r="AC136" t="s">
        <v>960</v>
      </c>
      <c r="AD136" s="10"/>
      <c r="AE136" s="10"/>
      <c r="AF136" s="10"/>
      <c r="AG136" s="10"/>
      <c r="AH136" s="10"/>
      <c r="AI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</row>
    <row r="137" spans="1:56" x14ac:dyDescent="0.35">
      <c r="A137" s="28" t="s">
        <v>21</v>
      </c>
      <c r="B137" s="31" t="s">
        <v>62</v>
      </c>
      <c r="C137" s="31" t="str">
        <f>VLOOKUP(B137,templateLookup!A:B,2,0)</f>
        <v>PrimeVminSearchTestMethod</v>
      </c>
      <c r="D137" s="31" t="str">
        <f>E137&amp;"_"&amp;F137&amp;"_"&amp;G137&amp;"_"&amp;H137&amp;"_"&amp;A137&amp;"_"&amp;I137&amp;"_"&amp;J137&amp;"_"&amp;K137&amp;"_"&amp;L137&amp;"_"&amp;M137&amp;"_"&amp;N137</f>
        <v>LSA_VPU_VCHK_K_END_TITO_VPU_NOM_LFM_1900_ALL</v>
      </c>
      <c r="E137" t="s">
        <v>5</v>
      </c>
      <c r="F137" t="s">
        <v>25</v>
      </c>
      <c r="G137" t="s">
        <v>1018</v>
      </c>
      <c r="H137" t="s">
        <v>253</v>
      </c>
      <c r="I137" t="s">
        <v>260</v>
      </c>
      <c r="J137" t="s">
        <v>25</v>
      </c>
      <c r="K137" t="s">
        <v>284</v>
      </c>
      <c r="L137" t="s">
        <v>285</v>
      </c>
      <c r="M137">
        <v>1900</v>
      </c>
      <c r="N137" t="s">
        <v>7</v>
      </c>
      <c r="O137" t="s">
        <v>267</v>
      </c>
      <c r="P137" t="s">
        <v>268</v>
      </c>
      <c r="Q137" t="s">
        <v>1359</v>
      </c>
      <c r="R137">
        <v>21</v>
      </c>
      <c r="S137">
        <v>32</v>
      </c>
      <c r="T137">
        <v>1</v>
      </c>
      <c r="U137" t="str">
        <f t="shared" si="29"/>
        <v>21321</v>
      </c>
      <c r="V137" s="6">
        <v>-1</v>
      </c>
      <c r="W137" s="6" t="b">
        <v>1</v>
      </c>
      <c r="X137">
        <v>2241</v>
      </c>
      <c r="Y137" t="s">
        <v>1021</v>
      </c>
      <c r="AB137" t="s">
        <v>298</v>
      </c>
      <c r="AC137" t="s">
        <v>257</v>
      </c>
      <c r="AD137" t="s">
        <v>696</v>
      </c>
      <c r="AS137">
        <f>COUNTA(AU137:BD137)</f>
        <v>2</v>
      </c>
      <c r="AT137">
        <v>1</v>
      </c>
      <c r="AU137" t="str">
        <f>$D138</f>
        <v>KS_LSA_NON_REC</v>
      </c>
      <c r="AV137">
        <v>1</v>
      </c>
      <c r="AX137" s="10"/>
    </row>
    <row r="138" spans="1:56" x14ac:dyDescent="0.35">
      <c r="A138" s="5" t="s">
        <v>21</v>
      </c>
      <c r="B138" s="30" t="s">
        <v>49</v>
      </c>
      <c r="C138" s="30" t="str">
        <f>VLOOKUP(B138,templateLookup!A:B,2,0)</f>
        <v>COMPOSITE</v>
      </c>
      <c r="D138" s="30" t="s">
        <v>1360</v>
      </c>
      <c r="E138" s="10"/>
      <c r="F138" s="5" t="s">
        <v>25</v>
      </c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t="str">
        <f t="shared" si="29"/>
        <v/>
      </c>
      <c r="X138" s="10"/>
      <c r="Y138" s="10"/>
      <c r="Z138" s="10"/>
      <c r="AA138" s="10"/>
      <c r="AB138" s="10"/>
      <c r="AC138" t="s">
        <v>960</v>
      </c>
      <c r="AD138" s="10"/>
      <c r="AE138" s="10"/>
      <c r="AF138" s="10"/>
      <c r="AG138" s="10"/>
      <c r="AH138" s="10"/>
      <c r="AI138" s="10"/>
      <c r="AL138" s="10"/>
      <c r="AM138" s="10"/>
      <c r="AN138" s="10"/>
      <c r="AO138" s="10"/>
      <c r="AP138" s="10"/>
      <c r="AQ138" s="10"/>
      <c r="AR138" s="10"/>
      <c r="AS138" s="10">
        <f>COUNTA(AU138:BD138)</f>
        <v>2</v>
      </c>
      <c r="AT138" s="10" t="s">
        <v>218</v>
      </c>
      <c r="AU138" s="10" t="str">
        <f>$D141</f>
        <v>KS_LSA</v>
      </c>
      <c r="AV138" s="10" t="str">
        <f>$D141</f>
        <v>KS_LSA</v>
      </c>
      <c r="AW138" s="10"/>
      <c r="AX138" s="10"/>
      <c r="AY138" s="10"/>
      <c r="AZ138" s="10"/>
      <c r="BA138" s="10"/>
      <c r="BB138" s="10"/>
      <c r="BC138" s="10"/>
      <c r="BD138" s="10"/>
    </row>
    <row r="139" spans="1:56" x14ac:dyDescent="0.35">
      <c r="A139" s="28" t="s">
        <v>21</v>
      </c>
      <c r="B139" s="31" t="s">
        <v>62</v>
      </c>
      <c r="C139" s="31" t="str">
        <f>VLOOKUP(B139,templateLookup!A:B,2,0)</f>
        <v>PrimeVminSearchTestMethod</v>
      </c>
      <c r="D139" s="31" t="str">
        <f>E139&amp;"_"&amp;F139&amp;"_"&amp;G139&amp;"_"&amp;H139&amp;"_"&amp;A139&amp;"_"&amp;I139&amp;"_"&amp;J139&amp;"_"&amp;K139&amp;"_"&amp;L139&amp;"_"&amp;M139&amp;"_"&amp;N139</f>
        <v>LSA_VPU_VCHK_K_END_TITO_VPU_NOM_LFM_1900_CPU</v>
      </c>
      <c r="E139" t="s">
        <v>5</v>
      </c>
      <c r="F139" t="s">
        <v>25</v>
      </c>
      <c r="G139" t="s">
        <v>1018</v>
      </c>
      <c r="H139" t="s">
        <v>253</v>
      </c>
      <c r="I139" t="s">
        <v>260</v>
      </c>
      <c r="J139" t="s">
        <v>25</v>
      </c>
      <c r="K139" t="s">
        <v>284</v>
      </c>
      <c r="L139" t="s">
        <v>285</v>
      </c>
      <c r="M139">
        <v>1900</v>
      </c>
      <c r="N139" t="s">
        <v>1297</v>
      </c>
      <c r="O139" t="s">
        <v>267</v>
      </c>
      <c r="P139" t="s">
        <v>268</v>
      </c>
      <c r="Q139" t="s">
        <v>1361</v>
      </c>
      <c r="R139">
        <v>21</v>
      </c>
      <c r="S139">
        <v>32</v>
      </c>
      <c r="T139">
        <v>2</v>
      </c>
      <c r="U139" t="str">
        <f t="shared" si="29"/>
        <v>21322</v>
      </c>
      <c r="V139" s="6">
        <v>1</v>
      </c>
      <c r="W139" s="6" t="b">
        <v>1</v>
      </c>
      <c r="X139">
        <v>2242</v>
      </c>
      <c r="Y139" t="s">
        <v>1021</v>
      </c>
      <c r="AB139" t="s">
        <v>298</v>
      </c>
      <c r="AC139" t="s">
        <v>960</v>
      </c>
      <c r="AD139" s="10"/>
      <c r="AS139">
        <f>COUNTA(AU139:BD139)</f>
        <v>2</v>
      </c>
      <c r="AT139">
        <v>1</v>
      </c>
      <c r="AU139">
        <v>1</v>
      </c>
      <c r="AV139">
        <v>1</v>
      </c>
    </row>
    <row r="140" spans="1:56" x14ac:dyDescent="0.35">
      <c r="A140" s="5" t="s">
        <v>21</v>
      </c>
      <c r="B140" s="30" t="s">
        <v>50</v>
      </c>
      <c r="C140" s="30" t="str">
        <f>VLOOKUP(B140,templateLookup!A:B,2,0)</f>
        <v>COMPOSITE</v>
      </c>
      <c r="D140" s="3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U140" t="str">
        <f t="shared" si="29"/>
        <v/>
      </c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</row>
    <row r="141" spans="1:56" x14ac:dyDescent="0.35">
      <c r="A141" s="5" t="s">
        <v>21</v>
      </c>
      <c r="B141" s="30" t="s">
        <v>49</v>
      </c>
      <c r="C141" s="30" t="str">
        <f>VLOOKUP(B141,templateLookup!A:B,2,0)</f>
        <v>COMPOSITE</v>
      </c>
      <c r="D141" s="30" t="s">
        <v>1362</v>
      </c>
      <c r="E141" s="10"/>
      <c r="F141" s="5" t="s">
        <v>25</v>
      </c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t="str">
        <f t="shared" si="29"/>
        <v/>
      </c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L141" s="10"/>
      <c r="AM141" s="10"/>
      <c r="AN141" s="10"/>
      <c r="AO141" s="10"/>
      <c r="AP141" s="10"/>
      <c r="AQ141" s="10"/>
      <c r="AR141" s="10"/>
      <c r="AS141" s="10">
        <f>COUNTA(AU141:BD141)</f>
        <v>2</v>
      </c>
      <c r="AT141" s="10" t="s">
        <v>218</v>
      </c>
      <c r="AU141" s="10">
        <v>1</v>
      </c>
      <c r="AV141" s="10">
        <v>1</v>
      </c>
      <c r="AW141" s="10"/>
      <c r="AX141" s="10"/>
      <c r="AY141" s="10"/>
      <c r="AZ141" s="10"/>
      <c r="BA141" s="10"/>
      <c r="BB141" s="10"/>
      <c r="BC141" s="10"/>
      <c r="BD141" s="10"/>
    </row>
    <row r="142" spans="1:56" x14ac:dyDescent="0.35">
      <c r="A142" s="28" t="s">
        <v>21</v>
      </c>
      <c r="B142" s="31" t="s">
        <v>111</v>
      </c>
      <c r="C142" s="31" t="str">
        <f>VLOOKUP(B142,templateLookup!A:B,2,0)</f>
        <v>AuxiliaryTC</v>
      </c>
      <c r="D142" s="31" t="str">
        <f t="shared" ref="D142:D153" si="33">E142&amp;"_"&amp;F142&amp;"_"&amp;G142&amp;"_"&amp;H142&amp;"_"&amp;A142&amp;"_"&amp;I142&amp;"_"&amp;J142&amp;"_"&amp;K142&amp;"_"&amp;L142&amp;"_"&amp;M142&amp;"_"&amp;N142</f>
        <v>CTRL_X_AUX_K_END_X_X_X_X_LSA_VPU0</v>
      </c>
      <c r="E142" t="s">
        <v>215</v>
      </c>
      <c r="F142" t="s">
        <v>208</v>
      </c>
      <c r="G142" t="s">
        <v>876</v>
      </c>
      <c r="H142" t="s">
        <v>253</v>
      </c>
      <c r="I142" t="s">
        <v>208</v>
      </c>
      <c r="J142" t="s">
        <v>208</v>
      </c>
      <c r="K142" t="s">
        <v>208</v>
      </c>
      <c r="L142" t="s">
        <v>208</v>
      </c>
      <c r="M142" t="s">
        <v>5</v>
      </c>
      <c r="N142" t="s">
        <v>1306</v>
      </c>
      <c r="O142" t="s">
        <v>211</v>
      </c>
      <c r="P142" t="s">
        <v>211</v>
      </c>
      <c r="Q142" t="s">
        <v>212</v>
      </c>
      <c r="R142">
        <v>21</v>
      </c>
      <c r="S142">
        <v>32</v>
      </c>
      <c r="T142">
        <v>123</v>
      </c>
      <c r="U142" t="str">
        <f t="shared" si="29"/>
        <v>2132123</v>
      </c>
      <c r="V142" s="12">
        <v>1</v>
      </c>
      <c r="W142" t="b">
        <v>0</v>
      </c>
      <c r="X142">
        <v>2252</v>
      </c>
      <c r="AC142" t="s">
        <v>960</v>
      </c>
      <c r="AL142" s="10"/>
      <c r="AQ142" t="s">
        <v>1339</v>
      </c>
      <c r="AS142">
        <v>3</v>
      </c>
      <c r="AT142" t="s">
        <v>218</v>
      </c>
      <c r="AU142">
        <v>1</v>
      </c>
      <c r="AV142" t="str">
        <f t="shared" ref="AV142:AV152" si="34">$D143</f>
        <v>LSA_VPU_VCHK_K_END_TITO_VPU_NOM_LFM_1900_TILE0</v>
      </c>
      <c r="AW142" t="str">
        <f>$D144</f>
        <v>CTRL_X_AUX_K_END_X_X_X_X_LSA_VPU1</v>
      </c>
      <c r="AX142" s="10"/>
      <c r="AY142" s="10"/>
    </row>
    <row r="143" spans="1:56" x14ac:dyDescent="0.35">
      <c r="A143" s="28" t="s">
        <v>21</v>
      </c>
      <c r="B143" s="31" t="s">
        <v>62</v>
      </c>
      <c r="C143" s="31" t="str">
        <f>VLOOKUP(B143,templateLookup!A:B,2,0)</f>
        <v>PrimeVminSearchTestMethod</v>
      </c>
      <c r="D143" s="31" t="str">
        <f t="shared" si="33"/>
        <v>LSA_VPU_VCHK_K_END_TITO_VPU_NOM_LFM_1900_TILE0</v>
      </c>
      <c r="E143" t="s">
        <v>5</v>
      </c>
      <c r="F143" t="s">
        <v>25</v>
      </c>
      <c r="G143" t="s">
        <v>1018</v>
      </c>
      <c r="H143" t="s">
        <v>253</v>
      </c>
      <c r="I143" t="s">
        <v>260</v>
      </c>
      <c r="J143" t="s">
        <v>25</v>
      </c>
      <c r="K143" t="s">
        <v>284</v>
      </c>
      <c r="L143" t="s">
        <v>285</v>
      </c>
      <c r="M143">
        <v>1900</v>
      </c>
      <c r="N143" t="s">
        <v>1303</v>
      </c>
      <c r="O143" t="s">
        <v>267</v>
      </c>
      <c r="P143" t="s">
        <v>268</v>
      </c>
      <c r="Q143" t="s">
        <v>1363</v>
      </c>
      <c r="R143">
        <v>21</v>
      </c>
      <c r="S143">
        <v>32</v>
      </c>
      <c r="T143">
        <v>112</v>
      </c>
      <c r="U143" t="str">
        <f t="shared" si="29"/>
        <v>2132112</v>
      </c>
      <c r="V143">
        <v>1</v>
      </c>
      <c r="W143" s="6" t="b">
        <v>1</v>
      </c>
      <c r="X143">
        <v>2243</v>
      </c>
      <c r="Y143" t="s">
        <v>1021</v>
      </c>
      <c r="AB143" t="s">
        <v>298</v>
      </c>
      <c r="AC143" t="s">
        <v>960</v>
      </c>
      <c r="AD143" s="10"/>
      <c r="AS143">
        <f>COUNTA(AU143:BD143)</f>
        <v>2</v>
      </c>
      <c r="AT143">
        <v>1</v>
      </c>
      <c r="AU143" t="str">
        <f>$D144</f>
        <v>CTRL_X_AUX_K_END_X_X_X_X_LSA_VPU1</v>
      </c>
      <c r="AV143" t="str">
        <f t="shared" si="34"/>
        <v>CTRL_X_AUX_K_END_X_X_X_X_LSA_VPU1</v>
      </c>
    </row>
    <row r="144" spans="1:56" x14ac:dyDescent="0.35">
      <c r="A144" s="28" t="s">
        <v>21</v>
      </c>
      <c r="B144" s="31" t="s">
        <v>111</v>
      </c>
      <c r="C144" s="31" t="str">
        <f>VLOOKUP(B144,templateLookup!A:B,2,0)</f>
        <v>AuxiliaryTC</v>
      </c>
      <c r="D144" s="31" t="str">
        <f t="shared" si="33"/>
        <v>CTRL_X_AUX_K_END_X_X_X_X_LSA_VPU1</v>
      </c>
      <c r="E144" t="s">
        <v>215</v>
      </c>
      <c r="F144" t="s">
        <v>208</v>
      </c>
      <c r="G144" t="s">
        <v>876</v>
      </c>
      <c r="H144" t="s">
        <v>253</v>
      </c>
      <c r="I144" t="s">
        <v>208</v>
      </c>
      <c r="J144" t="s">
        <v>208</v>
      </c>
      <c r="K144" t="s">
        <v>208</v>
      </c>
      <c r="L144" t="s">
        <v>208</v>
      </c>
      <c r="M144" t="s">
        <v>5</v>
      </c>
      <c r="N144" t="s">
        <v>1310</v>
      </c>
      <c r="O144" t="s">
        <v>211</v>
      </c>
      <c r="P144" t="s">
        <v>211</v>
      </c>
      <c r="Q144" t="s">
        <v>212</v>
      </c>
      <c r="R144">
        <v>21</v>
      </c>
      <c r="S144">
        <v>32</v>
      </c>
      <c r="T144">
        <v>113</v>
      </c>
      <c r="U144" t="str">
        <f t="shared" si="29"/>
        <v>2132113</v>
      </c>
      <c r="V144" s="12">
        <v>1</v>
      </c>
      <c r="W144" t="b">
        <v>0</v>
      </c>
      <c r="X144">
        <v>2253</v>
      </c>
      <c r="AC144" t="s">
        <v>960</v>
      </c>
      <c r="AL144" s="10"/>
      <c r="AQ144" t="s">
        <v>1340</v>
      </c>
      <c r="AS144">
        <v>3</v>
      </c>
      <c r="AT144" t="s">
        <v>218</v>
      </c>
      <c r="AU144">
        <v>1</v>
      </c>
      <c r="AV144" t="str">
        <f t="shared" si="34"/>
        <v>LSA_VPU_VCHK_K_END_TITO_VPU_NOM_LFM_1900_TILE1</v>
      </c>
      <c r="AW144" t="str">
        <f>$D146</f>
        <v>CTRL_X_AUX_K_END_X_X_X_X_LSA_VPU2</v>
      </c>
      <c r="AX144" s="10"/>
      <c r="AY144" s="10"/>
    </row>
    <row r="145" spans="1:56" x14ac:dyDescent="0.35">
      <c r="A145" s="28" t="s">
        <v>21</v>
      </c>
      <c r="B145" s="31" t="s">
        <v>62</v>
      </c>
      <c r="C145" s="31" t="str">
        <f>VLOOKUP(B145,templateLookup!A:B,2,0)</f>
        <v>PrimeVminSearchTestMethod</v>
      </c>
      <c r="D145" s="31" t="str">
        <f t="shared" si="33"/>
        <v>LSA_VPU_VCHK_K_END_TITO_VPU_NOM_LFM_1900_TILE1</v>
      </c>
      <c r="E145" t="s">
        <v>5</v>
      </c>
      <c r="F145" t="s">
        <v>25</v>
      </c>
      <c r="G145" t="s">
        <v>1018</v>
      </c>
      <c r="H145" t="s">
        <v>253</v>
      </c>
      <c r="I145" t="s">
        <v>260</v>
      </c>
      <c r="J145" t="s">
        <v>25</v>
      </c>
      <c r="K145" t="s">
        <v>284</v>
      </c>
      <c r="L145" t="s">
        <v>285</v>
      </c>
      <c r="M145">
        <v>1900</v>
      </c>
      <c r="N145" t="s">
        <v>1307</v>
      </c>
      <c r="O145" t="s">
        <v>267</v>
      </c>
      <c r="P145" t="s">
        <v>268</v>
      </c>
      <c r="Q145" t="s">
        <v>1364</v>
      </c>
      <c r="R145">
        <v>21</v>
      </c>
      <c r="S145">
        <v>32</v>
      </c>
      <c r="T145">
        <v>114</v>
      </c>
      <c r="U145" t="str">
        <f t="shared" si="29"/>
        <v>2132114</v>
      </c>
      <c r="V145">
        <v>1</v>
      </c>
      <c r="W145" s="6" t="b">
        <v>1</v>
      </c>
      <c r="X145">
        <v>2244</v>
      </c>
      <c r="Y145" t="s">
        <v>1021</v>
      </c>
      <c r="AB145" t="s">
        <v>298</v>
      </c>
      <c r="AC145" t="s">
        <v>960</v>
      </c>
      <c r="AD145" s="10"/>
      <c r="AS145">
        <f>COUNTA(AU145:BD145)</f>
        <v>2</v>
      </c>
      <c r="AT145">
        <v>1</v>
      </c>
      <c r="AU145" t="str">
        <f>$D146</f>
        <v>CTRL_X_AUX_K_END_X_X_X_X_LSA_VPU2</v>
      </c>
      <c r="AV145" t="str">
        <f t="shared" si="34"/>
        <v>CTRL_X_AUX_K_END_X_X_X_X_LSA_VPU2</v>
      </c>
    </row>
    <row r="146" spans="1:56" x14ac:dyDescent="0.35">
      <c r="A146" s="28" t="s">
        <v>21</v>
      </c>
      <c r="B146" s="31" t="s">
        <v>111</v>
      </c>
      <c r="C146" s="31" t="str">
        <f>VLOOKUP(B146,templateLookup!A:B,2,0)</f>
        <v>AuxiliaryTC</v>
      </c>
      <c r="D146" s="31" t="str">
        <f t="shared" si="33"/>
        <v>CTRL_X_AUX_K_END_X_X_X_X_LSA_VPU2</v>
      </c>
      <c r="E146" t="s">
        <v>215</v>
      </c>
      <c r="F146" t="s">
        <v>208</v>
      </c>
      <c r="G146" t="s">
        <v>876</v>
      </c>
      <c r="H146" t="s">
        <v>253</v>
      </c>
      <c r="I146" t="s">
        <v>208</v>
      </c>
      <c r="J146" t="s">
        <v>208</v>
      </c>
      <c r="K146" t="s">
        <v>208</v>
      </c>
      <c r="L146" t="s">
        <v>208</v>
      </c>
      <c r="M146" t="s">
        <v>5</v>
      </c>
      <c r="N146" t="s">
        <v>1314</v>
      </c>
      <c r="O146" t="s">
        <v>211</v>
      </c>
      <c r="P146" t="s">
        <v>211</v>
      </c>
      <c r="Q146" t="s">
        <v>212</v>
      </c>
      <c r="R146">
        <v>21</v>
      </c>
      <c r="S146">
        <v>32</v>
      </c>
      <c r="T146">
        <v>115</v>
      </c>
      <c r="U146" t="str">
        <f t="shared" si="29"/>
        <v>2132115</v>
      </c>
      <c r="V146" s="12">
        <v>1</v>
      </c>
      <c r="W146" t="b">
        <v>0</v>
      </c>
      <c r="X146">
        <v>2254</v>
      </c>
      <c r="AC146" t="s">
        <v>960</v>
      </c>
      <c r="AL146" s="10"/>
      <c r="AQ146" t="s">
        <v>1341</v>
      </c>
      <c r="AS146">
        <v>3</v>
      </c>
      <c r="AT146" t="s">
        <v>218</v>
      </c>
      <c r="AU146">
        <v>1</v>
      </c>
      <c r="AV146" t="str">
        <f t="shared" si="34"/>
        <v>LSA_VPU_VCHK_K_END_TITO_VPU_NOM_LFM_1900_TILE2</v>
      </c>
      <c r="AW146" t="str">
        <f>$D148</f>
        <v>CTRL_X_AUX_K_END_X_X_X_X_LSA_VPU3</v>
      </c>
      <c r="AX146" s="10"/>
      <c r="AY146" s="10"/>
    </row>
    <row r="147" spans="1:56" x14ac:dyDescent="0.35">
      <c r="A147" s="28" t="s">
        <v>21</v>
      </c>
      <c r="B147" s="31" t="s">
        <v>62</v>
      </c>
      <c r="C147" s="31" t="str">
        <f>VLOOKUP(B147,templateLookup!A:B,2,0)</f>
        <v>PrimeVminSearchTestMethod</v>
      </c>
      <c r="D147" s="31" t="str">
        <f t="shared" si="33"/>
        <v>LSA_VPU_VCHK_K_END_TITO_VPU_NOM_LFM_1900_TILE2</v>
      </c>
      <c r="E147" t="s">
        <v>5</v>
      </c>
      <c r="F147" t="s">
        <v>25</v>
      </c>
      <c r="G147" t="s">
        <v>1018</v>
      </c>
      <c r="H147" t="s">
        <v>253</v>
      </c>
      <c r="I147" t="s">
        <v>260</v>
      </c>
      <c r="J147" t="s">
        <v>25</v>
      </c>
      <c r="K147" t="s">
        <v>284</v>
      </c>
      <c r="L147" t="s">
        <v>285</v>
      </c>
      <c r="M147">
        <v>1900</v>
      </c>
      <c r="N147" t="s">
        <v>1311</v>
      </c>
      <c r="O147" t="s">
        <v>267</v>
      </c>
      <c r="P147" t="s">
        <v>268</v>
      </c>
      <c r="Q147" t="s">
        <v>1365</v>
      </c>
      <c r="R147">
        <v>21</v>
      </c>
      <c r="S147">
        <v>32</v>
      </c>
      <c r="T147">
        <v>116</v>
      </c>
      <c r="U147" t="str">
        <f t="shared" si="29"/>
        <v>2132116</v>
      </c>
      <c r="V147">
        <v>1</v>
      </c>
      <c r="W147" s="6" t="b">
        <v>1</v>
      </c>
      <c r="X147">
        <v>2245</v>
      </c>
      <c r="Y147" t="s">
        <v>1021</v>
      </c>
      <c r="AB147" t="s">
        <v>298</v>
      </c>
      <c r="AC147" t="s">
        <v>960</v>
      </c>
      <c r="AD147" s="10"/>
      <c r="AS147">
        <f>COUNTA(AU147:BD147)</f>
        <v>2</v>
      </c>
      <c r="AT147">
        <v>1</v>
      </c>
      <c r="AU147" t="str">
        <f>$D148</f>
        <v>CTRL_X_AUX_K_END_X_X_X_X_LSA_VPU3</v>
      </c>
      <c r="AV147" t="str">
        <f t="shared" si="34"/>
        <v>CTRL_X_AUX_K_END_X_X_X_X_LSA_VPU3</v>
      </c>
    </row>
    <row r="148" spans="1:56" x14ac:dyDescent="0.35">
      <c r="A148" s="28" t="s">
        <v>21</v>
      </c>
      <c r="B148" s="31" t="s">
        <v>111</v>
      </c>
      <c r="C148" s="31" t="str">
        <f>VLOOKUP(B148,templateLookup!A:B,2,0)</f>
        <v>AuxiliaryTC</v>
      </c>
      <c r="D148" s="31" t="str">
        <f t="shared" si="33"/>
        <v>CTRL_X_AUX_K_END_X_X_X_X_LSA_VPU3</v>
      </c>
      <c r="E148" t="s">
        <v>215</v>
      </c>
      <c r="F148" t="s">
        <v>208</v>
      </c>
      <c r="G148" t="s">
        <v>876</v>
      </c>
      <c r="H148" t="s">
        <v>253</v>
      </c>
      <c r="I148" t="s">
        <v>208</v>
      </c>
      <c r="J148" t="s">
        <v>208</v>
      </c>
      <c r="K148" t="s">
        <v>208</v>
      </c>
      <c r="L148" t="s">
        <v>208</v>
      </c>
      <c r="M148" t="s">
        <v>5</v>
      </c>
      <c r="N148" t="s">
        <v>1318</v>
      </c>
      <c r="O148" t="s">
        <v>211</v>
      </c>
      <c r="P148" t="s">
        <v>211</v>
      </c>
      <c r="Q148" t="s">
        <v>212</v>
      </c>
      <c r="R148">
        <v>21</v>
      </c>
      <c r="S148">
        <v>32</v>
      </c>
      <c r="T148">
        <v>117</v>
      </c>
      <c r="U148" t="str">
        <f t="shared" si="29"/>
        <v>2132117</v>
      </c>
      <c r="V148" s="12">
        <v>1</v>
      </c>
      <c r="W148" t="b">
        <v>0</v>
      </c>
      <c r="X148">
        <v>2255</v>
      </c>
      <c r="AC148" t="s">
        <v>960</v>
      </c>
      <c r="AL148" s="10"/>
      <c r="AQ148" t="s">
        <v>1342</v>
      </c>
      <c r="AS148">
        <v>3</v>
      </c>
      <c r="AT148" t="s">
        <v>218</v>
      </c>
      <c r="AU148">
        <v>1</v>
      </c>
      <c r="AV148" t="str">
        <f t="shared" si="34"/>
        <v>LSA_VPU_VCHK_K_END_TITO_VPU_NOM_LFM_1900_TILE3</v>
      </c>
      <c r="AW148" t="str">
        <f>$D150</f>
        <v>CTRL_X_AUX_K_END_X_X_X_X_LSA_VPU4</v>
      </c>
      <c r="AX148" s="10"/>
      <c r="AY148" s="10"/>
    </row>
    <row r="149" spans="1:56" x14ac:dyDescent="0.35">
      <c r="A149" s="28" t="s">
        <v>21</v>
      </c>
      <c r="B149" s="31" t="s">
        <v>62</v>
      </c>
      <c r="C149" s="31" t="str">
        <f>VLOOKUP(B149,templateLookup!A:B,2,0)</f>
        <v>PrimeVminSearchTestMethod</v>
      </c>
      <c r="D149" s="31" t="str">
        <f t="shared" si="33"/>
        <v>LSA_VPU_VCHK_K_END_TITO_VPU_NOM_LFM_1900_TILE3</v>
      </c>
      <c r="E149" t="s">
        <v>5</v>
      </c>
      <c r="F149" t="s">
        <v>25</v>
      </c>
      <c r="G149" t="s">
        <v>1018</v>
      </c>
      <c r="H149" t="s">
        <v>253</v>
      </c>
      <c r="I149" t="s">
        <v>260</v>
      </c>
      <c r="J149" t="s">
        <v>25</v>
      </c>
      <c r="K149" t="s">
        <v>284</v>
      </c>
      <c r="L149" t="s">
        <v>285</v>
      </c>
      <c r="M149">
        <v>1900</v>
      </c>
      <c r="N149" t="s">
        <v>1315</v>
      </c>
      <c r="O149" t="s">
        <v>267</v>
      </c>
      <c r="P149" t="s">
        <v>268</v>
      </c>
      <c r="Q149" t="s">
        <v>1366</v>
      </c>
      <c r="R149">
        <v>21</v>
      </c>
      <c r="S149">
        <v>32</v>
      </c>
      <c r="T149">
        <v>118</v>
      </c>
      <c r="U149" t="str">
        <f t="shared" si="29"/>
        <v>2132118</v>
      </c>
      <c r="V149">
        <v>1</v>
      </c>
      <c r="W149" s="6" t="b">
        <v>1</v>
      </c>
      <c r="X149">
        <v>2246</v>
      </c>
      <c r="Y149" t="s">
        <v>1021</v>
      </c>
      <c r="AB149" t="s">
        <v>298</v>
      </c>
      <c r="AC149" t="s">
        <v>960</v>
      </c>
      <c r="AD149" s="10"/>
      <c r="AS149">
        <f>COUNTA(AU149:BD149)</f>
        <v>2</v>
      </c>
      <c r="AT149">
        <v>1</v>
      </c>
      <c r="AU149" t="str">
        <f>$D150</f>
        <v>CTRL_X_AUX_K_END_X_X_X_X_LSA_VPU4</v>
      </c>
      <c r="AV149" t="str">
        <f t="shared" si="34"/>
        <v>CTRL_X_AUX_K_END_X_X_X_X_LSA_VPU4</v>
      </c>
    </row>
    <row r="150" spans="1:56" x14ac:dyDescent="0.35">
      <c r="A150" s="28" t="s">
        <v>21</v>
      </c>
      <c r="B150" s="31" t="s">
        <v>111</v>
      </c>
      <c r="C150" s="31" t="str">
        <f>VLOOKUP(B150,templateLookup!A:B,2,0)</f>
        <v>AuxiliaryTC</v>
      </c>
      <c r="D150" s="31" t="str">
        <f t="shared" si="33"/>
        <v>CTRL_X_AUX_K_END_X_X_X_X_LSA_VPU4</v>
      </c>
      <c r="E150" t="s">
        <v>215</v>
      </c>
      <c r="F150" t="s">
        <v>208</v>
      </c>
      <c r="G150" t="s">
        <v>876</v>
      </c>
      <c r="H150" t="s">
        <v>253</v>
      </c>
      <c r="I150" t="s">
        <v>208</v>
      </c>
      <c r="J150" t="s">
        <v>208</v>
      </c>
      <c r="K150" t="s">
        <v>208</v>
      </c>
      <c r="L150" t="s">
        <v>208</v>
      </c>
      <c r="M150" t="s">
        <v>5</v>
      </c>
      <c r="N150" t="s">
        <v>1322</v>
      </c>
      <c r="O150" t="s">
        <v>211</v>
      </c>
      <c r="P150" t="s">
        <v>211</v>
      </c>
      <c r="Q150" t="s">
        <v>212</v>
      </c>
      <c r="R150">
        <v>21</v>
      </c>
      <c r="S150">
        <v>32</v>
      </c>
      <c r="T150">
        <v>119</v>
      </c>
      <c r="U150" t="str">
        <f t="shared" si="29"/>
        <v>2132119</v>
      </c>
      <c r="V150" s="12">
        <v>1</v>
      </c>
      <c r="W150" t="b">
        <v>0</v>
      </c>
      <c r="X150">
        <v>2256</v>
      </c>
      <c r="AC150" t="s">
        <v>960</v>
      </c>
      <c r="AL150" s="10"/>
      <c r="AQ150" t="s">
        <v>1343</v>
      </c>
      <c r="AS150">
        <v>3</v>
      </c>
      <c r="AT150" t="s">
        <v>218</v>
      </c>
      <c r="AU150">
        <v>1</v>
      </c>
      <c r="AV150" t="str">
        <f t="shared" si="34"/>
        <v>LSA_VPU_VCHK_K_END_TITO_VPU_NOM_LFM_1900_TILE4</v>
      </c>
      <c r="AW150" t="str">
        <f>$D152</f>
        <v>CTRL_X_AUX_K_END_X_X_X_X_LSA_VPU5</v>
      </c>
      <c r="AX150" s="10"/>
      <c r="AY150" s="10"/>
    </row>
    <row r="151" spans="1:56" x14ac:dyDescent="0.35">
      <c r="A151" s="28" t="s">
        <v>21</v>
      </c>
      <c r="B151" s="31" t="s">
        <v>62</v>
      </c>
      <c r="C151" s="31" t="str">
        <f>VLOOKUP(B151,templateLookup!A:B,2,0)</f>
        <v>PrimeVminSearchTestMethod</v>
      </c>
      <c r="D151" s="31" t="str">
        <f t="shared" si="33"/>
        <v>LSA_VPU_VCHK_K_END_TITO_VPU_NOM_LFM_1900_TILE4</v>
      </c>
      <c r="E151" t="s">
        <v>5</v>
      </c>
      <c r="F151" t="s">
        <v>25</v>
      </c>
      <c r="G151" t="s">
        <v>1018</v>
      </c>
      <c r="H151" t="s">
        <v>253</v>
      </c>
      <c r="I151" t="s">
        <v>260</v>
      </c>
      <c r="J151" t="s">
        <v>25</v>
      </c>
      <c r="K151" t="s">
        <v>284</v>
      </c>
      <c r="L151" t="s">
        <v>285</v>
      </c>
      <c r="M151">
        <v>1900</v>
      </c>
      <c r="N151" t="s">
        <v>1319</v>
      </c>
      <c r="O151" t="s">
        <v>267</v>
      </c>
      <c r="P151" t="s">
        <v>268</v>
      </c>
      <c r="Q151" t="s">
        <v>1367</v>
      </c>
      <c r="R151">
        <v>21</v>
      </c>
      <c r="S151">
        <v>32</v>
      </c>
      <c r="T151">
        <v>120</v>
      </c>
      <c r="U151" t="str">
        <f t="shared" si="29"/>
        <v>2132120</v>
      </c>
      <c r="V151">
        <v>1</v>
      </c>
      <c r="W151" s="6" t="b">
        <v>1</v>
      </c>
      <c r="X151">
        <v>2247</v>
      </c>
      <c r="Y151" t="s">
        <v>1021</v>
      </c>
      <c r="AB151" t="s">
        <v>298</v>
      </c>
      <c r="AC151" t="s">
        <v>960</v>
      </c>
      <c r="AD151" s="10"/>
      <c r="AS151">
        <f>COUNTA(AU151:BD151)</f>
        <v>2</v>
      </c>
      <c r="AT151">
        <v>1</v>
      </c>
      <c r="AU151" t="str">
        <f>$D152</f>
        <v>CTRL_X_AUX_K_END_X_X_X_X_LSA_VPU5</v>
      </c>
      <c r="AV151" t="str">
        <f t="shared" si="34"/>
        <v>CTRL_X_AUX_K_END_X_X_X_X_LSA_VPU5</v>
      </c>
    </row>
    <row r="152" spans="1:56" x14ac:dyDescent="0.35">
      <c r="A152" s="28" t="s">
        <v>21</v>
      </c>
      <c r="B152" s="31" t="s">
        <v>111</v>
      </c>
      <c r="C152" s="31" t="str">
        <f>VLOOKUP(B152,templateLookup!A:B,2,0)</f>
        <v>AuxiliaryTC</v>
      </c>
      <c r="D152" s="31" t="str">
        <f t="shared" si="33"/>
        <v>CTRL_X_AUX_K_END_X_X_X_X_LSA_VPU5</v>
      </c>
      <c r="E152" t="s">
        <v>215</v>
      </c>
      <c r="F152" t="s">
        <v>208</v>
      </c>
      <c r="G152" t="s">
        <v>876</v>
      </c>
      <c r="H152" t="s">
        <v>253</v>
      </c>
      <c r="I152" t="s">
        <v>208</v>
      </c>
      <c r="J152" t="s">
        <v>208</v>
      </c>
      <c r="K152" t="s">
        <v>208</v>
      </c>
      <c r="L152" t="s">
        <v>208</v>
      </c>
      <c r="M152" t="s">
        <v>5</v>
      </c>
      <c r="N152" t="s">
        <v>1326</v>
      </c>
      <c r="O152" t="s">
        <v>211</v>
      </c>
      <c r="P152" t="s">
        <v>211</v>
      </c>
      <c r="Q152" t="s">
        <v>212</v>
      </c>
      <c r="R152">
        <v>21</v>
      </c>
      <c r="S152">
        <v>32</v>
      </c>
      <c r="T152">
        <v>121</v>
      </c>
      <c r="U152" t="str">
        <f t="shared" si="29"/>
        <v>2132121</v>
      </c>
      <c r="V152" s="12">
        <v>1</v>
      </c>
      <c r="W152" t="b">
        <v>0</v>
      </c>
      <c r="X152">
        <v>2257</v>
      </c>
      <c r="AC152" t="s">
        <v>960</v>
      </c>
      <c r="AL152" s="10"/>
      <c r="AQ152" t="s">
        <v>1344</v>
      </c>
      <c r="AS152">
        <v>3</v>
      </c>
      <c r="AT152" t="s">
        <v>218</v>
      </c>
      <c r="AU152">
        <v>1</v>
      </c>
      <c r="AV152" t="str">
        <f t="shared" si="34"/>
        <v>LSA_VPU_VCHK_K_END_TITO_VPU_NOM_LFM_1900_TILE5</v>
      </c>
      <c r="AW152">
        <v>1</v>
      </c>
      <c r="AX152" s="10"/>
      <c r="AY152" s="10"/>
    </row>
    <row r="153" spans="1:56" x14ac:dyDescent="0.35">
      <c r="A153" s="28" t="s">
        <v>21</v>
      </c>
      <c r="B153" s="31" t="s">
        <v>62</v>
      </c>
      <c r="C153" s="31" t="str">
        <f>VLOOKUP(B153,templateLookup!A:B,2,0)</f>
        <v>PrimeVminSearchTestMethod</v>
      </c>
      <c r="D153" s="31" t="str">
        <f t="shared" si="33"/>
        <v>LSA_VPU_VCHK_K_END_TITO_VPU_NOM_LFM_1900_TILE5</v>
      </c>
      <c r="E153" t="s">
        <v>5</v>
      </c>
      <c r="F153" t="s">
        <v>25</v>
      </c>
      <c r="G153" t="s">
        <v>1018</v>
      </c>
      <c r="H153" t="s">
        <v>253</v>
      </c>
      <c r="I153" t="s">
        <v>260</v>
      </c>
      <c r="J153" t="s">
        <v>25</v>
      </c>
      <c r="K153" t="s">
        <v>284</v>
      </c>
      <c r="L153" t="s">
        <v>285</v>
      </c>
      <c r="M153">
        <v>1900</v>
      </c>
      <c r="N153" t="s">
        <v>1323</v>
      </c>
      <c r="O153" t="s">
        <v>267</v>
      </c>
      <c r="P153" t="s">
        <v>268</v>
      </c>
      <c r="Q153" t="s">
        <v>1368</v>
      </c>
      <c r="R153">
        <v>21</v>
      </c>
      <c r="S153">
        <v>32</v>
      </c>
      <c r="T153">
        <v>122</v>
      </c>
      <c r="U153" t="str">
        <f t="shared" si="29"/>
        <v>2132122</v>
      </c>
      <c r="V153">
        <v>1</v>
      </c>
      <c r="W153" s="6" t="b">
        <v>1</v>
      </c>
      <c r="X153">
        <v>2248</v>
      </c>
      <c r="Y153" t="s">
        <v>1021</v>
      </c>
      <c r="AB153" t="s">
        <v>298</v>
      </c>
      <c r="AC153" t="s">
        <v>960</v>
      </c>
      <c r="AD153" s="10"/>
      <c r="AS153">
        <f>COUNTA(AU153:BD153)</f>
        <v>2</v>
      </c>
      <c r="AT153">
        <v>1</v>
      </c>
      <c r="AU153">
        <v>1</v>
      </c>
      <c r="AV153">
        <v>1</v>
      </c>
    </row>
    <row r="154" spans="1:56" x14ac:dyDescent="0.35">
      <c r="A154" s="5" t="s">
        <v>21</v>
      </c>
      <c r="B154" s="30" t="s">
        <v>50</v>
      </c>
      <c r="C154" s="30" t="str">
        <f>VLOOKUP(B154,templateLookup!A:B,2,0)</f>
        <v>COMPOSITE</v>
      </c>
      <c r="D154" s="3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</row>
    <row r="155" spans="1:56" x14ac:dyDescent="0.35">
      <c r="A155" s="5" t="s">
        <v>21</v>
      </c>
      <c r="B155" s="30" t="s">
        <v>50</v>
      </c>
      <c r="C155" s="30" t="str">
        <f>VLOOKUP(B155,templateLookup!A:B,2,0)</f>
        <v>COMPOSITE</v>
      </c>
      <c r="D155" s="3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U155" t="str">
        <f t="shared" ref="U155:U171" si="35">R155&amp;S155&amp;T155</f>
        <v/>
      </c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</row>
    <row r="156" spans="1:56" x14ac:dyDescent="0.35">
      <c r="A156" s="5" t="s">
        <v>21</v>
      </c>
      <c r="B156" s="35" t="s">
        <v>49</v>
      </c>
      <c r="C156" s="35" t="str">
        <f>VLOOKUP(B156,templateLookup!A:B,2,0)</f>
        <v>COMPOSITE</v>
      </c>
      <c r="D156" s="35" t="s">
        <v>1036</v>
      </c>
      <c r="E156" s="10"/>
      <c r="F156" s="5" t="s">
        <v>25</v>
      </c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U156" t="str">
        <f t="shared" si="35"/>
        <v/>
      </c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L156" s="10"/>
      <c r="AM156" s="10"/>
      <c r="AN156" s="10"/>
      <c r="AO156" s="10"/>
      <c r="AP156" s="10"/>
      <c r="AQ156" s="10"/>
      <c r="AR156" s="10"/>
      <c r="AS156" s="10">
        <f>COUNTA(AU156:BD156)</f>
        <v>2</v>
      </c>
      <c r="AT156" s="10" t="s">
        <v>218</v>
      </c>
      <c r="AU156" s="10">
        <v>1</v>
      </c>
      <c r="AV156" s="10">
        <v>1</v>
      </c>
      <c r="AW156" s="10"/>
      <c r="AX156" s="10"/>
      <c r="AY156" s="10"/>
      <c r="AZ156" s="10"/>
      <c r="BA156" s="10"/>
      <c r="BB156" s="10"/>
      <c r="BC156" s="10"/>
      <c r="BD156" s="10"/>
    </row>
    <row r="157" spans="1:56" x14ac:dyDescent="0.35">
      <c r="A157" s="28" t="s">
        <v>21</v>
      </c>
      <c r="B157" s="36" t="s">
        <v>62</v>
      </c>
      <c r="C157" s="36" t="str">
        <f>VLOOKUP(B157,templateLookup!A:B,2,0)</f>
        <v>PrimeVminSearchTestMethod</v>
      </c>
      <c r="D157" s="36" t="str">
        <f>E157&amp;"_"&amp;F157&amp;"_"&amp;G157&amp;"_"&amp;H157&amp;"_"&amp;A157&amp;"_"&amp;I157&amp;"_"&amp;J157&amp;"_"&amp;K157&amp;"_"&amp;L157&amp;"_"&amp;M157&amp;"_"&amp;N157</f>
        <v>XSA_VPU_VMAX_K_END_TITO_VPU_NOM_LFM_1900_VPU_ALL</v>
      </c>
      <c r="E157" t="s">
        <v>205</v>
      </c>
      <c r="F157" t="s">
        <v>25</v>
      </c>
      <c r="G157" t="s">
        <v>1036</v>
      </c>
      <c r="H157" t="s">
        <v>253</v>
      </c>
      <c r="I157" t="s">
        <v>260</v>
      </c>
      <c r="J157" t="s">
        <v>25</v>
      </c>
      <c r="K157" t="s">
        <v>284</v>
      </c>
      <c r="L157" t="s">
        <v>285</v>
      </c>
      <c r="M157">
        <v>1900</v>
      </c>
      <c r="N157" t="s">
        <v>1334</v>
      </c>
      <c r="O157" t="s">
        <v>267</v>
      </c>
      <c r="P157" t="s">
        <v>268</v>
      </c>
      <c r="Q157" t="s">
        <v>1295</v>
      </c>
      <c r="R157">
        <v>17</v>
      </c>
      <c r="S157">
        <v>61</v>
      </c>
      <c r="T157">
        <v>50</v>
      </c>
      <c r="U157" t="str">
        <f t="shared" si="35"/>
        <v>176150</v>
      </c>
      <c r="V157">
        <v>1</v>
      </c>
      <c r="W157" t="b">
        <v>0</v>
      </c>
      <c r="X157">
        <v>2249</v>
      </c>
      <c r="Y157" t="s">
        <v>1021</v>
      </c>
      <c r="AB157" t="s">
        <v>298</v>
      </c>
      <c r="AC157" t="s">
        <v>960</v>
      </c>
      <c r="AS157">
        <f>COUNTA(AU157:BD157)</f>
        <v>5</v>
      </c>
      <c r="AT157" t="s">
        <v>273</v>
      </c>
      <c r="AU157">
        <v>1</v>
      </c>
      <c r="AV157">
        <v>1</v>
      </c>
      <c r="AW157">
        <v>1</v>
      </c>
      <c r="AX157">
        <v>1</v>
      </c>
      <c r="AY157">
        <v>1</v>
      </c>
    </row>
    <row r="158" spans="1:56" x14ac:dyDescent="0.35">
      <c r="A158" s="5" t="s">
        <v>21</v>
      </c>
      <c r="B158" s="35" t="s">
        <v>50</v>
      </c>
      <c r="C158" s="35" t="str">
        <f>VLOOKUP(B158,templateLookup!A:B,2,0)</f>
        <v>COMPOSITE</v>
      </c>
      <c r="D158" s="35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 t="str">
        <f t="shared" si="35"/>
        <v/>
      </c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</row>
    <row r="159" spans="1:56" x14ac:dyDescent="0.35">
      <c r="A159" s="5" t="s">
        <v>21</v>
      </c>
      <c r="B159" s="21" t="s">
        <v>49</v>
      </c>
      <c r="C159" s="21" t="str">
        <f>VLOOKUP(B159,templateLookup!A:B,2,0)</f>
        <v>COMPOSITE</v>
      </c>
      <c r="D159" s="21" t="s">
        <v>1011</v>
      </c>
      <c r="E159" s="10"/>
      <c r="F159" s="5" t="s">
        <v>25</v>
      </c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 t="str">
        <f t="shared" si="35"/>
        <v/>
      </c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L159" s="10"/>
      <c r="AM159" s="10"/>
      <c r="AN159" s="10"/>
      <c r="AO159" s="10"/>
      <c r="AP159" s="10"/>
      <c r="AQ159" s="10"/>
      <c r="AR159" s="10"/>
      <c r="AS159" s="10">
        <f>COUNTA(AU159:BD159)</f>
        <v>2</v>
      </c>
      <c r="AT159" s="10" t="s">
        <v>218</v>
      </c>
      <c r="AU159" s="10">
        <v>1</v>
      </c>
      <c r="AV159" s="10">
        <v>1</v>
      </c>
      <c r="AW159" s="10"/>
      <c r="AX159" s="10"/>
      <c r="AY159" s="10"/>
      <c r="AZ159" s="10"/>
      <c r="BA159" s="10"/>
      <c r="BB159" s="10"/>
      <c r="BC159" s="10"/>
      <c r="BD159" s="10"/>
    </row>
    <row r="160" spans="1:56" x14ac:dyDescent="0.35">
      <c r="A160" s="28" t="s">
        <v>21</v>
      </c>
      <c r="B160" s="22" t="s">
        <v>99</v>
      </c>
      <c r="C160" s="22" t="str">
        <f>VLOOKUP(B160,templateLookup!A:B,2,0)</f>
        <v>PrimeShmooTestMethod</v>
      </c>
      <c r="D160" s="22" t="str">
        <f>E160&amp;"_"&amp;F160&amp;"_"&amp;G160&amp;"_"&amp;H160&amp;"_"&amp;A160&amp;"_"&amp;I160&amp;"_"&amp;J160&amp;"_"&amp;K160&amp;"_"&amp;L160&amp;"_"&amp;M160&amp;"_"&amp;N160</f>
        <v>SSA_VPU_SHMOO_E_END_TITO_VPU_NOM_LFM_1900_ALL</v>
      </c>
      <c r="E160" t="s">
        <v>4</v>
      </c>
      <c r="F160" t="s">
        <v>25</v>
      </c>
      <c r="G160" t="s">
        <v>1011</v>
      </c>
      <c r="H160" t="s">
        <v>207</v>
      </c>
      <c r="I160" t="s">
        <v>260</v>
      </c>
      <c r="J160" t="s">
        <v>25</v>
      </c>
      <c r="K160" t="s">
        <v>284</v>
      </c>
      <c r="L160" t="s">
        <v>285</v>
      </c>
      <c r="M160">
        <v>1900</v>
      </c>
      <c r="N160" t="s">
        <v>7</v>
      </c>
      <c r="O160" t="s">
        <v>1012</v>
      </c>
      <c r="P160" t="s">
        <v>268</v>
      </c>
      <c r="Q160" t="s">
        <v>1349</v>
      </c>
      <c r="R160">
        <v>61</v>
      </c>
      <c r="S160">
        <v>32</v>
      </c>
      <c r="T160">
        <v>20</v>
      </c>
      <c r="U160" t="str">
        <f t="shared" si="35"/>
        <v>613220</v>
      </c>
      <c r="V160">
        <v>1</v>
      </c>
      <c r="W160" t="b">
        <v>0</v>
      </c>
      <c r="AA160" t="s">
        <v>1062</v>
      </c>
      <c r="AB160" t="s">
        <v>298</v>
      </c>
      <c r="AS160">
        <f>COUNTA(AU160:BD160)</f>
        <v>4</v>
      </c>
      <c r="AT160" t="s">
        <v>920</v>
      </c>
      <c r="AU160" t="str">
        <f>$D161</f>
        <v>LSA_VPU_SHMOO_E_END_TITO_VPU_NOM_LFM_1900_ALL</v>
      </c>
      <c r="AV160" t="str">
        <f>$D161</f>
        <v>LSA_VPU_SHMOO_E_END_TITO_VPU_NOM_LFM_1900_ALL</v>
      </c>
      <c r="AW160" t="str">
        <f>$D161</f>
        <v>LSA_VPU_SHMOO_E_END_TITO_VPU_NOM_LFM_1900_ALL</v>
      </c>
      <c r="AX160" t="str">
        <f>$D161</f>
        <v>LSA_VPU_SHMOO_E_END_TITO_VPU_NOM_LFM_1900_ALL</v>
      </c>
    </row>
    <row r="161" spans="1:100" x14ac:dyDescent="0.35">
      <c r="A161" s="28" t="s">
        <v>21</v>
      </c>
      <c r="B161" s="22" t="s">
        <v>99</v>
      </c>
      <c r="C161" s="22" t="str">
        <f>VLOOKUP(B161,templateLookup!A:B,2,0)</f>
        <v>PrimeShmooTestMethod</v>
      </c>
      <c r="D161" s="22" t="str">
        <f>E161&amp;"_"&amp;F161&amp;"_"&amp;G161&amp;"_"&amp;H161&amp;"_"&amp;A161&amp;"_"&amp;I161&amp;"_"&amp;J161&amp;"_"&amp;K161&amp;"_"&amp;L161&amp;"_"&amp;M161&amp;"_"&amp;N161</f>
        <v>LSA_VPU_SHMOO_E_END_TITO_VPU_NOM_LFM_1900_ALL</v>
      </c>
      <c r="E161" t="s">
        <v>5</v>
      </c>
      <c r="F161" t="s">
        <v>25</v>
      </c>
      <c r="G161" t="s">
        <v>1011</v>
      </c>
      <c r="H161" t="s">
        <v>207</v>
      </c>
      <c r="I161" t="s">
        <v>260</v>
      </c>
      <c r="J161" t="s">
        <v>25</v>
      </c>
      <c r="K161" t="s">
        <v>284</v>
      </c>
      <c r="L161" t="s">
        <v>285</v>
      </c>
      <c r="M161">
        <v>1900</v>
      </c>
      <c r="N161" t="s">
        <v>7</v>
      </c>
      <c r="O161" t="s">
        <v>1012</v>
      </c>
      <c r="P161" t="s">
        <v>268</v>
      </c>
      <c r="Q161" t="s">
        <v>1359</v>
      </c>
      <c r="R161">
        <v>21</v>
      </c>
      <c r="S161">
        <v>32</v>
      </c>
      <c r="T161">
        <v>21</v>
      </c>
      <c r="U161" t="str">
        <f t="shared" si="35"/>
        <v>213221</v>
      </c>
      <c r="V161">
        <v>1</v>
      </c>
      <c r="W161" t="b">
        <v>0</v>
      </c>
      <c r="AA161" t="s">
        <v>1062</v>
      </c>
      <c r="AB161" t="s">
        <v>298</v>
      </c>
      <c r="AS161">
        <f>COUNTA(AU161:BD161)</f>
        <v>4</v>
      </c>
      <c r="AT161" t="s">
        <v>920</v>
      </c>
      <c r="AU161">
        <v>1</v>
      </c>
      <c r="AV161">
        <v>1</v>
      </c>
      <c r="AW161">
        <v>1</v>
      </c>
      <c r="AX161">
        <v>1</v>
      </c>
    </row>
    <row r="162" spans="1:100" x14ac:dyDescent="0.35">
      <c r="A162" s="5" t="s">
        <v>21</v>
      </c>
      <c r="B162" s="21" t="s">
        <v>50</v>
      </c>
      <c r="C162" s="21" t="str">
        <f>VLOOKUP(B162,templateLookup!A:B,2,0)</f>
        <v>COMPOSITE</v>
      </c>
      <c r="D162" s="21"/>
      <c r="E162" s="10"/>
      <c r="F162" s="10"/>
      <c r="G162" s="10"/>
      <c r="H162" s="10"/>
      <c r="I162" s="10"/>
      <c r="J162" s="10"/>
      <c r="K162" s="10"/>
      <c r="L162" s="10"/>
      <c r="M162" s="10"/>
      <c r="O162" s="10"/>
      <c r="P162" s="10"/>
      <c r="Q162" s="10"/>
      <c r="R162" s="10"/>
      <c r="S162" s="10"/>
      <c r="U162" t="str">
        <f t="shared" si="35"/>
        <v/>
      </c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</row>
    <row r="163" spans="1:100" x14ac:dyDescent="0.35">
      <c r="A163" s="5" t="s">
        <v>21</v>
      </c>
      <c r="B163" s="34" t="s">
        <v>50</v>
      </c>
      <c r="C163" s="34" t="str">
        <f>VLOOKUP(B163,templateLookup!A:B,2,0)</f>
        <v>COMPOSITE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 t="str">
        <f t="shared" si="35"/>
        <v/>
      </c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</row>
    <row r="164" spans="1:100" s="3" customFormat="1" x14ac:dyDescent="0.35">
      <c r="A164" s="28" t="s">
        <v>1039</v>
      </c>
      <c r="B164" s="17" t="s">
        <v>49</v>
      </c>
      <c r="C164" s="17" t="str">
        <f>VLOOKUP(B164,templateLookup!A:B,2,0)</f>
        <v>COMPOSITE</v>
      </c>
      <c r="D164" s="17" t="s">
        <v>1039</v>
      </c>
      <c r="F164" s="5" t="s">
        <v>25</v>
      </c>
      <c r="U164" s="3" t="str">
        <f t="shared" si="35"/>
        <v/>
      </c>
    </row>
    <row r="165" spans="1:100" x14ac:dyDescent="0.35">
      <c r="A165" s="28" t="s">
        <v>1039</v>
      </c>
      <c r="B165" s="3" t="s">
        <v>67</v>
      </c>
      <c r="C165" s="3" t="str">
        <f>VLOOKUP(B165,templateLookup!A:B,2,0)</f>
        <v>PrimeVminSearchTestMethod</v>
      </c>
      <c r="D165" s="3" t="str">
        <f>E165&amp;"_"&amp;F165&amp;"_"&amp;G165&amp;"_"&amp;H165&amp;"_"&amp;A165&amp;"_"&amp;I165&amp;"_"&amp;J165&amp;"_"&amp;K165&amp;"_"&amp;L165&amp;"_"&amp;M165&amp;"_"&amp;N165</f>
        <v>XSA_VPU_VMIN_K_ENDXFM_TITO_VPU_NOM_HFM_3100_ALL</v>
      </c>
      <c r="E165" t="s">
        <v>205</v>
      </c>
      <c r="F165" t="s">
        <v>25</v>
      </c>
      <c r="G165" t="s">
        <v>951</v>
      </c>
      <c r="H165" t="s">
        <v>253</v>
      </c>
      <c r="I165" t="s">
        <v>260</v>
      </c>
      <c r="J165" t="s">
        <v>25</v>
      </c>
      <c r="K165" t="s">
        <v>284</v>
      </c>
      <c r="L165" t="s">
        <v>1038</v>
      </c>
      <c r="M165">
        <v>3100</v>
      </c>
      <c r="N165" t="s">
        <v>7</v>
      </c>
      <c r="O165" t="s">
        <v>267</v>
      </c>
      <c r="P165" t="s">
        <v>268</v>
      </c>
      <c r="Q165" t="s">
        <v>1295</v>
      </c>
      <c r="R165">
        <v>61</v>
      </c>
      <c r="S165">
        <v>33</v>
      </c>
      <c r="T165">
        <v>70</v>
      </c>
      <c r="U165" t="str">
        <f t="shared" si="35"/>
        <v>613370</v>
      </c>
      <c r="V165">
        <v>-1</v>
      </c>
      <c r="W165" t="b">
        <v>0</v>
      </c>
      <c r="X165">
        <v>2250</v>
      </c>
      <c r="Y165" t="s">
        <v>955</v>
      </c>
      <c r="AB165" t="s">
        <v>298</v>
      </c>
      <c r="AC165" t="s">
        <v>257</v>
      </c>
      <c r="AD165" t="s">
        <v>1369</v>
      </c>
      <c r="AE165" t="s">
        <v>696</v>
      </c>
      <c r="AS165">
        <f>COUNTA(AU165:BD165)</f>
        <v>2</v>
      </c>
      <c r="AT165">
        <v>1</v>
      </c>
      <c r="AU165">
        <v>1</v>
      </c>
      <c r="AV165">
        <v>1</v>
      </c>
    </row>
    <row r="166" spans="1:100" s="3" customFormat="1" x14ac:dyDescent="0.35">
      <c r="A166" s="5" t="s">
        <v>1039</v>
      </c>
      <c r="B166" s="17" t="s">
        <v>50</v>
      </c>
      <c r="C166" s="17" t="str">
        <f>VLOOKUP(B166,templateLookup!A:B,2,0)</f>
        <v>COMPOSITE</v>
      </c>
      <c r="D166" s="17"/>
      <c r="U166" s="3" t="str">
        <f t="shared" si="35"/>
        <v/>
      </c>
    </row>
    <row r="167" spans="1:100" s="26" customFormat="1" x14ac:dyDescent="0.35">
      <c r="A167" s="5" t="s">
        <v>1041</v>
      </c>
      <c r="B167" s="25" t="s">
        <v>49</v>
      </c>
      <c r="C167" s="25" t="str">
        <f>VLOOKUP(B167,templateLookup!A:B,2,0)</f>
        <v>COMPOSITE</v>
      </c>
      <c r="D167" s="25" t="s">
        <v>1041</v>
      </c>
      <c r="F167" s="5" t="s">
        <v>25</v>
      </c>
      <c r="U167" s="26" t="str">
        <f t="shared" si="35"/>
        <v/>
      </c>
    </row>
    <row r="168" spans="1:100" x14ac:dyDescent="0.35">
      <c r="A168" s="28" t="s">
        <v>1041</v>
      </c>
      <c r="B168" s="26" t="s">
        <v>67</v>
      </c>
      <c r="C168" s="26" t="str">
        <f>VLOOKUP(B168,templateLookup!A:B,2,0)</f>
        <v>PrimeVminSearchTestMethod</v>
      </c>
      <c r="D168" s="26" t="str">
        <f>E168&amp;"_"&amp;F168&amp;"_"&amp;G168&amp;"_"&amp;H168&amp;"_"&amp;A168&amp;"_"&amp;I168&amp;"_"&amp;J168&amp;"_"&amp;K168&amp;"_"&amp;L168&amp;"_"&amp;M168&amp;"_"&amp;N168</f>
        <v>XSA_VPU_VMIN_K_ENDTFM_TITO_VPU_NOM_TFM_3700_ALL</v>
      </c>
      <c r="E168" t="s">
        <v>205</v>
      </c>
      <c r="F168" t="s">
        <v>25</v>
      </c>
      <c r="G168" t="s">
        <v>951</v>
      </c>
      <c r="H168" t="s">
        <v>253</v>
      </c>
      <c r="I168" t="s">
        <v>260</v>
      </c>
      <c r="J168" t="s">
        <v>25</v>
      </c>
      <c r="K168" t="s">
        <v>284</v>
      </c>
      <c r="L168" t="s">
        <v>1042</v>
      </c>
      <c r="M168">
        <v>3700</v>
      </c>
      <c r="N168" t="s">
        <v>7</v>
      </c>
      <c r="O168" t="s">
        <v>267</v>
      </c>
      <c r="P168" t="s">
        <v>268</v>
      </c>
      <c r="Q168" t="s">
        <v>1295</v>
      </c>
      <c r="R168">
        <v>61</v>
      </c>
      <c r="S168">
        <v>34</v>
      </c>
      <c r="T168">
        <v>71</v>
      </c>
      <c r="U168" t="str">
        <f t="shared" si="35"/>
        <v>613471</v>
      </c>
      <c r="V168">
        <v>-1</v>
      </c>
      <c r="W168" t="b">
        <v>1</v>
      </c>
      <c r="X168">
        <v>2251</v>
      </c>
      <c r="Y168" t="s">
        <v>955</v>
      </c>
      <c r="AB168" t="s">
        <v>298</v>
      </c>
      <c r="AC168" t="s">
        <v>257</v>
      </c>
      <c r="AD168" t="s">
        <v>1370</v>
      </c>
      <c r="AE168" t="s">
        <v>696</v>
      </c>
      <c r="AS168">
        <f>COUNTA(AU168:BD168)</f>
        <v>2</v>
      </c>
      <c r="AT168">
        <v>1</v>
      </c>
      <c r="AU168">
        <v>1</v>
      </c>
      <c r="AV168">
        <v>1</v>
      </c>
    </row>
    <row r="169" spans="1:100" s="26" customFormat="1" x14ac:dyDescent="0.35">
      <c r="A169" s="5" t="s">
        <v>1041</v>
      </c>
      <c r="B169" s="25" t="s">
        <v>50</v>
      </c>
      <c r="C169" s="25" t="str">
        <f>VLOOKUP(B169,templateLookup!A:B,2,0)</f>
        <v>COMPOSITE</v>
      </c>
      <c r="D169" s="25"/>
      <c r="U169" s="26" t="str">
        <f t="shared" si="35"/>
        <v/>
      </c>
    </row>
    <row r="170" spans="1:100" s="28" customFormat="1" x14ac:dyDescent="0.35">
      <c r="A170" s="5" t="s">
        <v>1044</v>
      </c>
      <c r="B170" s="27" t="s">
        <v>49</v>
      </c>
      <c r="C170" s="27" t="str">
        <f>VLOOKUP(B170,templateLookup!A:B,2,0)</f>
        <v>COMPOSITE</v>
      </c>
      <c r="D170" s="27" t="s">
        <v>1044</v>
      </c>
      <c r="F170" s="5" t="s">
        <v>25</v>
      </c>
      <c r="U170" s="28" t="str">
        <f t="shared" si="35"/>
        <v/>
      </c>
    </row>
    <row r="171" spans="1:100" s="28" customFormat="1" x14ac:dyDescent="0.35">
      <c r="A171" s="28" t="s">
        <v>1044</v>
      </c>
      <c r="B171" s="28" t="s">
        <v>79</v>
      </c>
      <c r="C171" s="28" t="str">
        <f>VLOOKUP(B171,templateLookup!A:B,2,0)</f>
        <v>iCHVQKTest</v>
      </c>
      <c r="D171" s="28" t="str">
        <f>E171&amp;"_"&amp;F171&amp;"_"&amp;G171&amp;"_"&amp;H171&amp;"_"&amp;A171&amp;"_"&amp;I171&amp;"_"&amp;J171&amp;"_"&amp;K171&amp;"_"&amp;L171&amp;"_"&amp;M171&amp;"_"&amp;N171</f>
        <v>XSA_VPU_HVQK_E_HOTSTRESS_TITO_VPU_NOM_LFM_1900_VPU_ALL</v>
      </c>
      <c r="E171" s="28" t="s">
        <v>205</v>
      </c>
      <c r="F171" s="28" t="s">
        <v>25</v>
      </c>
      <c r="G171" s="28" t="s">
        <v>1005</v>
      </c>
      <c r="H171" s="28" t="s">
        <v>207</v>
      </c>
      <c r="I171" s="28" t="s">
        <v>260</v>
      </c>
      <c r="J171" s="28" t="s">
        <v>25</v>
      </c>
      <c r="K171" s="28" t="s">
        <v>284</v>
      </c>
      <c r="L171" s="28" t="s">
        <v>285</v>
      </c>
      <c r="M171" s="28">
        <v>1900</v>
      </c>
      <c r="N171" s="28" t="s">
        <v>1334</v>
      </c>
      <c r="O171" s="28" t="s">
        <v>1189</v>
      </c>
      <c r="P171" s="28" t="s">
        <v>268</v>
      </c>
      <c r="Q171" s="28" t="s">
        <v>1295</v>
      </c>
      <c r="R171" s="28">
        <v>17</v>
      </c>
      <c r="S171" s="28">
        <v>61</v>
      </c>
      <c r="T171" s="28">
        <v>32</v>
      </c>
      <c r="U171" s="28" t="str">
        <f t="shared" si="35"/>
        <v>176132</v>
      </c>
      <c r="V171" s="28">
        <v>-1</v>
      </c>
      <c r="W171" s="28" t="b">
        <v>0</v>
      </c>
      <c r="AB171" s="28" t="s">
        <v>298</v>
      </c>
      <c r="AI171" s="28" t="s">
        <v>1046</v>
      </c>
      <c r="AP171" s="28" t="s">
        <v>1371</v>
      </c>
      <c r="AS171" s="28">
        <f>COUNTA(AU171:BD171)</f>
        <v>5</v>
      </c>
      <c r="AT171" s="28" t="s">
        <v>218</v>
      </c>
      <c r="AU171" t="str">
        <f>$D172</f>
        <v>XSA_NON_RECOVERY_HOTSTRESS</v>
      </c>
      <c r="AV171" t="str">
        <f>$D172</f>
        <v>XSA_NON_RECOVERY_HOTSTRESS</v>
      </c>
      <c r="AW171" t="str">
        <f>$D172</f>
        <v>XSA_NON_RECOVERY_HOTSTRESS</v>
      </c>
      <c r="AX171" t="str">
        <f>$D172</f>
        <v>XSA_NON_RECOVERY_HOTSTRESS</v>
      </c>
      <c r="AY171" t="str">
        <f>$D172</f>
        <v>XSA_NON_RECOVERY_HOTSTRESS</v>
      </c>
      <c r="AZ171"/>
      <c r="BA171"/>
      <c r="BB171"/>
      <c r="BC171"/>
      <c r="BD171"/>
      <c r="BE171"/>
      <c r="BF171"/>
    </row>
    <row r="172" spans="1:100" s="28" customFormat="1" x14ac:dyDescent="0.35">
      <c r="A172" s="28" t="s">
        <v>1044</v>
      </c>
      <c r="B172" s="27" t="s">
        <v>49</v>
      </c>
      <c r="C172" s="27" t="str">
        <f>VLOOKUP(B172,templateLookup!A:B,2,0)</f>
        <v>COMPOSITE</v>
      </c>
      <c r="D172" s="27" t="s">
        <v>1372</v>
      </c>
      <c r="E172"/>
      <c r="F172" t="s">
        <v>25</v>
      </c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f>COUNTA(AU172:BD172)</f>
        <v>2</v>
      </c>
      <c r="AT172" t="s">
        <v>218</v>
      </c>
      <c r="AU172" t="str">
        <f>$D177</f>
        <v>LSA_RECOVERY_HOTSTRESS</v>
      </c>
      <c r="AV172" t="str">
        <f>$D177</f>
        <v>LSA_RECOVERY_HOTSTRESS</v>
      </c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</row>
    <row r="173" spans="1:100" s="28" customFormat="1" x14ac:dyDescent="0.35">
      <c r="A173" s="28" t="s">
        <v>1044</v>
      </c>
      <c r="B173" s="28" t="s">
        <v>79</v>
      </c>
      <c r="C173" s="28" t="str">
        <f>VLOOKUP(B173,templateLookup!A:B,2,0)</f>
        <v>iCHVQKTest</v>
      </c>
      <c r="D173" s="28" t="str">
        <f>E173&amp;"_"&amp;F173&amp;"_"&amp;G173&amp;"_"&amp;H173&amp;"_"&amp;A173&amp;"_"&amp;I173&amp;"_"&amp;J173&amp;"_"&amp;K173&amp;"_"&amp;L173&amp;"_"&amp;M173&amp;"_"&amp;N173</f>
        <v>LSA_VPU_HVQK_E_HOTSTRESS_TITO_VPU_NOM_LFM_1900_CPU</v>
      </c>
      <c r="E173" t="s">
        <v>5</v>
      </c>
      <c r="F173" t="s">
        <v>25</v>
      </c>
      <c r="G173" t="s">
        <v>1005</v>
      </c>
      <c r="H173" s="28" t="s">
        <v>207</v>
      </c>
      <c r="I173" t="s">
        <v>260</v>
      </c>
      <c r="J173" t="s">
        <v>25</v>
      </c>
      <c r="K173" t="s">
        <v>284</v>
      </c>
      <c r="L173" t="s">
        <v>285</v>
      </c>
      <c r="M173">
        <v>1900</v>
      </c>
      <c r="N173" t="s">
        <v>1297</v>
      </c>
      <c r="O173" t="s">
        <v>1189</v>
      </c>
      <c r="P173" t="s">
        <v>268</v>
      </c>
      <c r="Q173" t="s">
        <v>1298</v>
      </c>
      <c r="R173">
        <v>17</v>
      </c>
      <c r="S173">
        <v>61</v>
      </c>
      <c r="T173">
        <v>13</v>
      </c>
      <c r="U173" t="str">
        <f>R173&amp;S173&amp;T173</f>
        <v>176113</v>
      </c>
      <c r="V173">
        <v>1</v>
      </c>
      <c r="W173" t="b">
        <v>0</v>
      </c>
      <c r="X173"/>
      <c r="Y173"/>
      <c r="Z173"/>
      <c r="AA173"/>
      <c r="AB173" t="s">
        <v>298</v>
      </c>
      <c r="AC173"/>
      <c r="AD173"/>
      <c r="AE173"/>
      <c r="AF173"/>
      <c r="AG173"/>
      <c r="AH173"/>
      <c r="AI173" s="28" t="s">
        <v>1046</v>
      </c>
      <c r="AJ173"/>
      <c r="AK173"/>
      <c r="AL173"/>
      <c r="AM173"/>
      <c r="AN173"/>
      <c r="AO173"/>
      <c r="AP173" s="28" t="s">
        <v>1371</v>
      </c>
      <c r="AQ173"/>
      <c r="AR173"/>
      <c r="AS173">
        <f>COUNTA(AU173:BD173)</f>
        <v>5</v>
      </c>
      <c r="AT173" t="s">
        <v>218</v>
      </c>
      <c r="AU173" t="str">
        <f t="shared" ref="AU173:AY174" si="36">$D174</f>
        <v>LSA_VPU_HVQK_E_HOTSTRESS_TITO_VPU_NOM_LFM_1900_BTR</v>
      </c>
      <c r="AV173" t="str">
        <f t="shared" si="36"/>
        <v>LSA_VPU_HVQK_E_HOTSTRESS_TITO_VPU_NOM_LFM_1900_BTR</v>
      </c>
      <c r="AW173" t="str">
        <f t="shared" si="36"/>
        <v>LSA_VPU_HVQK_E_HOTSTRESS_TITO_VPU_NOM_LFM_1900_BTR</v>
      </c>
      <c r="AX173" t="str">
        <f t="shared" si="36"/>
        <v>LSA_VPU_HVQK_E_HOTSTRESS_TITO_VPU_NOM_LFM_1900_BTR</v>
      </c>
      <c r="AY173" t="str">
        <f t="shared" si="36"/>
        <v>LSA_VPU_HVQK_E_HOTSTRESS_TITO_VPU_NOM_LFM_1900_BTR</v>
      </c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</row>
    <row r="174" spans="1:100" s="28" customFormat="1" x14ac:dyDescent="0.35">
      <c r="A174" s="28" t="s">
        <v>1044</v>
      </c>
      <c r="B174" s="28" t="s">
        <v>79</v>
      </c>
      <c r="C174" s="28" t="str">
        <f>VLOOKUP(B174,templateLookup!A:B,2,0)</f>
        <v>iCHVQKTest</v>
      </c>
      <c r="D174" s="28" t="str">
        <f>E174&amp;"_"&amp;F174&amp;"_"&amp;G174&amp;"_"&amp;H174&amp;"_"&amp;A174&amp;"_"&amp;I174&amp;"_"&amp;J174&amp;"_"&amp;K174&amp;"_"&amp;L174&amp;"_"&amp;M174&amp;"_"&amp;N174</f>
        <v>LSA_VPU_HVQK_E_HOTSTRESS_TITO_VPU_NOM_LFM_1900_BTR</v>
      </c>
      <c r="E174" t="s">
        <v>5</v>
      </c>
      <c r="F174" t="s">
        <v>25</v>
      </c>
      <c r="G174" t="s">
        <v>1005</v>
      </c>
      <c r="H174" s="28" t="s">
        <v>207</v>
      </c>
      <c r="I174" t="s">
        <v>260</v>
      </c>
      <c r="J174" t="s">
        <v>25</v>
      </c>
      <c r="K174" t="s">
        <v>284</v>
      </c>
      <c r="L174" t="s">
        <v>285</v>
      </c>
      <c r="M174">
        <v>1900</v>
      </c>
      <c r="N174" t="s">
        <v>1299</v>
      </c>
      <c r="O174" t="s">
        <v>1189</v>
      </c>
      <c r="P174" t="s">
        <v>268</v>
      </c>
      <c r="Q174" t="s">
        <v>1300</v>
      </c>
      <c r="R174">
        <v>17</v>
      </c>
      <c r="S174">
        <v>61</v>
      </c>
      <c r="T174">
        <f>T173+12</f>
        <v>25</v>
      </c>
      <c r="U174" t="str">
        <f>R174&amp;S174&amp;T174</f>
        <v>176125</v>
      </c>
      <c r="V174">
        <v>1</v>
      </c>
      <c r="W174" t="b">
        <v>0</v>
      </c>
      <c r="X174"/>
      <c r="Y174"/>
      <c r="Z174"/>
      <c r="AA174"/>
      <c r="AB174" t="s">
        <v>298</v>
      </c>
      <c r="AC174"/>
      <c r="AD174"/>
      <c r="AE174"/>
      <c r="AF174"/>
      <c r="AG174"/>
      <c r="AH174"/>
      <c r="AI174" s="28" t="s">
        <v>1046</v>
      </c>
      <c r="AJ174"/>
      <c r="AK174"/>
      <c r="AL174"/>
      <c r="AM174"/>
      <c r="AN174"/>
      <c r="AO174"/>
      <c r="AP174" s="28" t="s">
        <v>1371</v>
      </c>
      <c r="AQ174"/>
      <c r="AR174"/>
      <c r="AS174">
        <f>COUNTA(AU174:BD174)</f>
        <v>5</v>
      </c>
      <c r="AT174" t="s">
        <v>218</v>
      </c>
      <c r="AU174" t="str">
        <f t="shared" si="36"/>
        <v>SSA_VPU_HVQK_E_HOTSTRESS_TITO_VPU_NOM_LFM_1900_CPU</v>
      </c>
      <c r="AV174" t="str">
        <f t="shared" si="36"/>
        <v>SSA_VPU_HVQK_E_HOTSTRESS_TITO_VPU_NOM_LFM_1900_CPU</v>
      </c>
      <c r="AW174" t="str">
        <f t="shared" si="36"/>
        <v>SSA_VPU_HVQK_E_HOTSTRESS_TITO_VPU_NOM_LFM_1900_CPU</v>
      </c>
      <c r="AX174" t="str">
        <f t="shared" si="36"/>
        <v>SSA_VPU_HVQK_E_HOTSTRESS_TITO_VPU_NOM_LFM_1900_CPU</v>
      </c>
      <c r="AY174" t="str">
        <f t="shared" si="36"/>
        <v>SSA_VPU_HVQK_E_HOTSTRESS_TITO_VPU_NOM_LFM_1900_CPU</v>
      </c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</row>
    <row r="175" spans="1:100" s="28" customFormat="1" x14ac:dyDescent="0.35">
      <c r="A175" s="28" t="s">
        <v>1044</v>
      </c>
      <c r="B175" s="28" t="s">
        <v>79</v>
      </c>
      <c r="C175" s="28" t="str">
        <f>VLOOKUP(B175,templateLookup!A:B,2,0)</f>
        <v>iCHVQKTest</v>
      </c>
      <c r="D175" s="28" t="str">
        <f>E175&amp;"_"&amp;F175&amp;"_"&amp;G175&amp;"_"&amp;H175&amp;"_"&amp;A175&amp;"_"&amp;I175&amp;"_"&amp;J175&amp;"_"&amp;K175&amp;"_"&amp;L175&amp;"_"&amp;M175&amp;"_"&amp;N175</f>
        <v>SSA_VPU_HVQK_E_HOTSTRESS_TITO_VPU_NOM_LFM_1900_CPU</v>
      </c>
      <c r="E175" t="s">
        <v>4</v>
      </c>
      <c r="F175" t="s">
        <v>25</v>
      </c>
      <c r="G175" t="s">
        <v>1005</v>
      </c>
      <c r="H175" s="28" t="s">
        <v>207</v>
      </c>
      <c r="I175" t="s">
        <v>260</v>
      </c>
      <c r="J175" t="s">
        <v>25</v>
      </c>
      <c r="K175" t="s">
        <v>284</v>
      </c>
      <c r="L175" t="s">
        <v>285</v>
      </c>
      <c r="M175">
        <v>1900</v>
      </c>
      <c r="N175" t="s">
        <v>1297</v>
      </c>
      <c r="O175" t="s">
        <v>1189</v>
      </c>
      <c r="P175" t="s">
        <v>268</v>
      </c>
      <c r="Q175" t="s">
        <v>1301</v>
      </c>
      <c r="R175">
        <v>17</v>
      </c>
      <c r="S175">
        <v>61</v>
      </c>
      <c r="T175">
        <f>T174+12</f>
        <v>37</v>
      </c>
      <c r="U175" t="str">
        <f>R175&amp;S175&amp;T175</f>
        <v>176137</v>
      </c>
      <c r="V175">
        <v>1</v>
      </c>
      <c r="W175" t="b">
        <v>0</v>
      </c>
      <c r="X175"/>
      <c r="Y175"/>
      <c r="Z175"/>
      <c r="AA175"/>
      <c r="AB175" t="s">
        <v>298</v>
      </c>
      <c r="AC175"/>
      <c r="AD175"/>
      <c r="AE175"/>
      <c r="AF175"/>
      <c r="AG175"/>
      <c r="AH175"/>
      <c r="AI175" s="28" t="s">
        <v>1046</v>
      </c>
      <c r="AJ175"/>
      <c r="AK175"/>
      <c r="AL175"/>
      <c r="AM175"/>
      <c r="AN175"/>
      <c r="AO175"/>
      <c r="AP175" s="28" t="s">
        <v>1371</v>
      </c>
      <c r="AQ175"/>
      <c r="AR175"/>
      <c r="AS175">
        <f>COUNTA(AU175:AZ175)</f>
        <v>5</v>
      </c>
      <c r="AT175" t="s">
        <v>218</v>
      </c>
      <c r="AU175">
        <v>1</v>
      </c>
      <c r="AV175">
        <v>1</v>
      </c>
      <c r="AW175">
        <v>1</v>
      </c>
      <c r="AX175">
        <v>1</v>
      </c>
      <c r="AY175">
        <v>1</v>
      </c>
      <c r="AZ175"/>
      <c r="BA175" t="s">
        <v>1337</v>
      </c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</row>
    <row r="176" spans="1:100" s="28" customFormat="1" x14ac:dyDescent="0.35">
      <c r="A176" s="27" t="s">
        <v>1044</v>
      </c>
      <c r="B176" s="27" t="s">
        <v>50</v>
      </c>
      <c r="C176" s="27" t="str">
        <f>VLOOKUP(B176,templateLookup!A:B,2,0)</f>
        <v>COMPOSITE</v>
      </c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</row>
    <row r="177" spans="1:100" s="28" customFormat="1" x14ac:dyDescent="0.35">
      <c r="A177" s="27" t="s">
        <v>1044</v>
      </c>
      <c r="B177" s="27" t="s">
        <v>49</v>
      </c>
      <c r="C177" s="27" t="str">
        <f>VLOOKUP(B177,templateLookup!A:B,2,0)</f>
        <v>COMPOSITE</v>
      </c>
      <c r="D177" s="27" t="s">
        <v>1373</v>
      </c>
      <c r="E177"/>
      <c r="F177" s="5" t="s">
        <v>25</v>
      </c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f t="shared" ref="AS177:AS189" si="37">COUNTA(AU177:BD177)</f>
        <v>2</v>
      </c>
      <c r="AT177" t="s">
        <v>218</v>
      </c>
      <c r="AU177" t="str">
        <f>$D191</f>
        <v>SSA_RECOVERY_HOTSTRESS</v>
      </c>
      <c r="AV177" t="str">
        <f>$D191</f>
        <v>SSA_RECOVERY_HOTSTRESS</v>
      </c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</row>
    <row r="178" spans="1:100" x14ac:dyDescent="0.35">
      <c r="A178" s="28" t="s">
        <v>1044</v>
      </c>
      <c r="B178" s="28" t="s">
        <v>111</v>
      </c>
      <c r="C178" s="28" t="str">
        <f>VLOOKUP(B178,templateLookup!A:B,2,0)</f>
        <v>AuxiliaryTC</v>
      </c>
      <c r="D178" s="28" t="str">
        <f t="shared" ref="D178:D189" si="38">E178&amp;"_"&amp;F178&amp;"_"&amp;G178&amp;"_"&amp;H178&amp;"_"&amp;A178&amp;"_"&amp;I178&amp;"_"&amp;J178&amp;"_"&amp;K178&amp;"_"&amp;L178&amp;"_"&amp;M178&amp;"_"&amp;N178</f>
        <v>CTRL_X_AUX_E_HOTSTRESS_X_X_X_X_LSA_VPU0</v>
      </c>
      <c r="E178" t="s">
        <v>215</v>
      </c>
      <c r="F178" t="s">
        <v>208</v>
      </c>
      <c r="G178" t="s">
        <v>876</v>
      </c>
      <c r="H178" t="s">
        <v>207</v>
      </c>
      <c r="I178" t="s">
        <v>208</v>
      </c>
      <c r="J178" t="s">
        <v>208</v>
      </c>
      <c r="K178" t="s">
        <v>208</v>
      </c>
      <c r="L178" t="s">
        <v>208</v>
      </c>
      <c r="M178" t="s">
        <v>5</v>
      </c>
      <c r="N178" t="s">
        <v>1306</v>
      </c>
      <c r="O178" t="s">
        <v>211</v>
      </c>
      <c r="P178" t="s">
        <v>211</v>
      </c>
      <c r="Q178" t="s">
        <v>212</v>
      </c>
      <c r="R178">
        <v>17</v>
      </c>
      <c r="S178">
        <v>32</v>
      </c>
      <c r="T178">
        <v>34</v>
      </c>
      <c r="U178" t="str">
        <f t="shared" ref="U178:U189" si="39">R178&amp;S178&amp;T178</f>
        <v>173234</v>
      </c>
      <c r="V178">
        <v>1</v>
      </c>
      <c r="W178" t="b">
        <v>0</v>
      </c>
      <c r="AI178" s="28"/>
      <c r="AQ178" t="s">
        <v>1339</v>
      </c>
      <c r="AS178">
        <f t="shared" si="37"/>
        <v>3</v>
      </c>
      <c r="AT178" t="s">
        <v>218</v>
      </c>
      <c r="AU178">
        <v>1</v>
      </c>
      <c r="AV178" t="str">
        <f t="shared" ref="AV178:AV188" si="40">$D179</f>
        <v>LSA_VPU_HVQK_E_HOTSTRESS_TITO_VPU_NOM_LFM_1900_TILE0</v>
      </c>
      <c r="AW178" t="str">
        <f>$D180</f>
        <v>CTRL_X_AUX_E_HOTSTRESS_X_X_X_X_LSA_VPU1</v>
      </c>
    </row>
    <row r="179" spans="1:100" s="28" customFormat="1" x14ac:dyDescent="0.35">
      <c r="A179" s="28" t="s">
        <v>1044</v>
      </c>
      <c r="B179" s="28" t="s">
        <v>79</v>
      </c>
      <c r="C179" s="28" t="str">
        <f>VLOOKUP(B179,templateLookup!A:B,2,0)</f>
        <v>iCHVQKTest</v>
      </c>
      <c r="D179" s="28" t="str">
        <f t="shared" si="38"/>
        <v>LSA_VPU_HVQK_E_HOTSTRESS_TITO_VPU_NOM_LFM_1900_TILE0</v>
      </c>
      <c r="E179" t="s">
        <v>5</v>
      </c>
      <c r="F179" t="s">
        <v>25</v>
      </c>
      <c r="G179" t="s">
        <v>1005</v>
      </c>
      <c r="H179" t="s">
        <v>207</v>
      </c>
      <c r="I179" t="s">
        <v>260</v>
      </c>
      <c r="J179" t="s">
        <v>25</v>
      </c>
      <c r="K179" t="s">
        <v>284</v>
      </c>
      <c r="L179" t="s">
        <v>285</v>
      </c>
      <c r="M179">
        <v>1900</v>
      </c>
      <c r="N179" t="s">
        <v>1303</v>
      </c>
      <c r="O179" t="s">
        <v>1189</v>
      </c>
      <c r="P179" t="s">
        <v>268</v>
      </c>
      <c r="Q179" t="s">
        <v>1304</v>
      </c>
      <c r="R179">
        <v>17</v>
      </c>
      <c r="S179">
        <v>61</v>
      </c>
      <c r="T179">
        <f t="shared" ref="T179:T189" si="41">T178+12</f>
        <v>46</v>
      </c>
      <c r="U179" t="str">
        <f t="shared" si="39"/>
        <v>176146</v>
      </c>
      <c r="V179">
        <v>1</v>
      </c>
      <c r="W179" t="b">
        <v>0</v>
      </c>
      <c r="X179"/>
      <c r="Y179"/>
      <c r="Z179"/>
      <c r="AA179"/>
      <c r="AB179" t="s">
        <v>298</v>
      </c>
      <c r="AC179"/>
      <c r="AD179"/>
      <c r="AE179"/>
      <c r="AF179"/>
      <c r="AG179"/>
      <c r="AH179"/>
      <c r="AI179" s="28" t="s">
        <v>1046</v>
      </c>
      <c r="AJ179"/>
      <c r="AK179"/>
      <c r="AL179"/>
      <c r="AM179"/>
      <c r="AN179"/>
      <c r="AO179"/>
      <c r="AP179" s="28" t="s">
        <v>1371</v>
      </c>
      <c r="AQ179"/>
      <c r="AR179"/>
      <c r="AS179">
        <f t="shared" si="37"/>
        <v>5</v>
      </c>
      <c r="AT179" t="s">
        <v>218</v>
      </c>
      <c r="AU179" t="str">
        <f>$D180</f>
        <v>CTRL_X_AUX_E_HOTSTRESS_X_X_X_X_LSA_VPU1</v>
      </c>
      <c r="AV179" t="str">
        <f t="shared" si="40"/>
        <v>CTRL_X_AUX_E_HOTSTRESS_X_X_X_X_LSA_VPU1</v>
      </c>
      <c r="AW179" t="str">
        <f>$D180</f>
        <v>CTRL_X_AUX_E_HOTSTRESS_X_X_X_X_LSA_VPU1</v>
      </c>
      <c r="AX179" t="str">
        <f>$D180</f>
        <v>CTRL_X_AUX_E_HOTSTRESS_X_X_X_X_LSA_VPU1</v>
      </c>
      <c r="AY179" t="str">
        <f>$D180</f>
        <v>CTRL_X_AUX_E_HOTSTRESS_X_X_X_X_LSA_VPU1</v>
      </c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</row>
    <row r="180" spans="1:100" x14ac:dyDescent="0.35">
      <c r="A180" s="28" t="s">
        <v>1044</v>
      </c>
      <c r="B180" s="28" t="s">
        <v>111</v>
      </c>
      <c r="C180" s="28" t="str">
        <f>VLOOKUP(B180,templateLookup!A:B,2,0)</f>
        <v>AuxiliaryTC</v>
      </c>
      <c r="D180" s="28" t="str">
        <f t="shared" si="38"/>
        <v>CTRL_X_AUX_E_HOTSTRESS_X_X_X_X_LSA_VPU1</v>
      </c>
      <c r="E180" t="s">
        <v>215</v>
      </c>
      <c r="F180" t="s">
        <v>208</v>
      </c>
      <c r="G180" t="s">
        <v>876</v>
      </c>
      <c r="H180" t="s">
        <v>207</v>
      </c>
      <c r="I180" t="s">
        <v>208</v>
      </c>
      <c r="J180" t="s">
        <v>208</v>
      </c>
      <c r="K180" t="s">
        <v>208</v>
      </c>
      <c r="L180" t="s">
        <v>208</v>
      </c>
      <c r="M180" t="s">
        <v>5</v>
      </c>
      <c r="N180" t="s">
        <v>1310</v>
      </c>
      <c r="O180" t="s">
        <v>211</v>
      </c>
      <c r="P180" t="s">
        <v>211</v>
      </c>
      <c r="Q180" t="s">
        <v>212</v>
      </c>
      <c r="R180">
        <v>17</v>
      </c>
      <c r="S180">
        <v>32</v>
      </c>
      <c r="T180">
        <f t="shared" si="41"/>
        <v>58</v>
      </c>
      <c r="U180" t="str">
        <f t="shared" si="39"/>
        <v>173258</v>
      </c>
      <c r="V180">
        <v>1</v>
      </c>
      <c r="W180" t="b">
        <v>0</v>
      </c>
      <c r="AI180" s="28"/>
      <c r="AQ180" t="s">
        <v>1340</v>
      </c>
      <c r="AS180">
        <f t="shared" si="37"/>
        <v>3</v>
      </c>
      <c r="AT180" t="s">
        <v>218</v>
      </c>
      <c r="AU180">
        <v>1</v>
      </c>
      <c r="AV180" t="str">
        <f t="shared" si="40"/>
        <v>LSA_VPU_HVQK_E_HOTSTRESS_TITO_VPU_NOM_LFM_1900_TILE1</v>
      </c>
      <c r="AW180" t="str">
        <f>$D182</f>
        <v>CTRL_X_AUX_E_HOTSTRESS_X_X_X_X_LSA_VPU2</v>
      </c>
    </row>
    <row r="181" spans="1:100" s="28" customFormat="1" x14ac:dyDescent="0.35">
      <c r="A181" s="28" t="s">
        <v>1044</v>
      </c>
      <c r="B181" s="28" t="s">
        <v>79</v>
      </c>
      <c r="C181" s="28" t="str">
        <f>VLOOKUP(B181,templateLookup!A:B,2,0)</f>
        <v>iCHVQKTest</v>
      </c>
      <c r="D181" s="28" t="str">
        <f t="shared" si="38"/>
        <v>LSA_VPU_HVQK_E_HOTSTRESS_TITO_VPU_NOM_LFM_1900_TILE1</v>
      </c>
      <c r="E181" t="s">
        <v>5</v>
      </c>
      <c r="F181" t="s">
        <v>25</v>
      </c>
      <c r="G181" t="s">
        <v>1005</v>
      </c>
      <c r="H181" t="s">
        <v>207</v>
      </c>
      <c r="I181" t="s">
        <v>260</v>
      </c>
      <c r="J181" t="s">
        <v>25</v>
      </c>
      <c r="K181" t="s">
        <v>284</v>
      </c>
      <c r="L181" t="s">
        <v>285</v>
      </c>
      <c r="M181">
        <v>1900</v>
      </c>
      <c r="N181" t="s">
        <v>1307</v>
      </c>
      <c r="O181" t="s">
        <v>1189</v>
      </c>
      <c r="P181" t="s">
        <v>268</v>
      </c>
      <c r="Q181" t="s">
        <v>1308</v>
      </c>
      <c r="R181">
        <v>17</v>
      </c>
      <c r="S181">
        <v>61</v>
      </c>
      <c r="T181">
        <f t="shared" si="41"/>
        <v>70</v>
      </c>
      <c r="U181" t="str">
        <f t="shared" si="39"/>
        <v>176170</v>
      </c>
      <c r="V181">
        <v>1</v>
      </c>
      <c r="W181" t="b">
        <v>0</v>
      </c>
      <c r="X181"/>
      <c r="Y181"/>
      <c r="Z181"/>
      <c r="AA181"/>
      <c r="AB181" t="s">
        <v>298</v>
      </c>
      <c r="AC181"/>
      <c r="AD181"/>
      <c r="AE181"/>
      <c r="AF181"/>
      <c r="AG181"/>
      <c r="AH181"/>
      <c r="AI181" s="28" t="s">
        <v>1046</v>
      </c>
      <c r="AJ181"/>
      <c r="AK181"/>
      <c r="AL181"/>
      <c r="AM181"/>
      <c r="AN181"/>
      <c r="AO181"/>
      <c r="AP181" s="28" t="s">
        <v>1371</v>
      </c>
      <c r="AQ181"/>
      <c r="AR181"/>
      <c r="AS181">
        <f t="shared" si="37"/>
        <v>5</v>
      </c>
      <c r="AT181" t="s">
        <v>218</v>
      </c>
      <c r="AU181" t="str">
        <f>$D182</f>
        <v>CTRL_X_AUX_E_HOTSTRESS_X_X_X_X_LSA_VPU2</v>
      </c>
      <c r="AV181" t="str">
        <f t="shared" si="40"/>
        <v>CTRL_X_AUX_E_HOTSTRESS_X_X_X_X_LSA_VPU2</v>
      </c>
      <c r="AW181" t="str">
        <f>$D182</f>
        <v>CTRL_X_AUX_E_HOTSTRESS_X_X_X_X_LSA_VPU2</v>
      </c>
      <c r="AX181" t="str">
        <f>$D182</f>
        <v>CTRL_X_AUX_E_HOTSTRESS_X_X_X_X_LSA_VPU2</v>
      </c>
      <c r="AY181" t="str">
        <f>$D182</f>
        <v>CTRL_X_AUX_E_HOTSTRESS_X_X_X_X_LSA_VPU2</v>
      </c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</row>
    <row r="182" spans="1:100" x14ac:dyDescent="0.35">
      <c r="A182" s="28" t="s">
        <v>1044</v>
      </c>
      <c r="B182" s="28" t="s">
        <v>111</v>
      </c>
      <c r="C182" s="28" t="str">
        <f>VLOOKUP(B182,templateLookup!A:B,2,0)</f>
        <v>AuxiliaryTC</v>
      </c>
      <c r="D182" s="28" t="str">
        <f t="shared" si="38"/>
        <v>CTRL_X_AUX_E_HOTSTRESS_X_X_X_X_LSA_VPU2</v>
      </c>
      <c r="E182" t="s">
        <v>215</v>
      </c>
      <c r="F182" t="s">
        <v>208</v>
      </c>
      <c r="G182" t="s">
        <v>876</v>
      </c>
      <c r="H182" t="s">
        <v>207</v>
      </c>
      <c r="I182" t="s">
        <v>208</v>
      </c>
      <c r="J182" t="s">
        <v>208</v>
      </c>
      <c r="K182" t="s">
        <v>208</v>
      </c>
      <c r="L182" t="s">
        <v>208</v>
      </c>
      <c r="M182" t="s">
        <v>5</v>
      </c>
      <c r="N182" t="s">
        <v>1314</v>
      </c>
      <c r="O182" t="s">
        <v>211</v>
      </c>
      <c r="P182" t="s">
        <v>211</v>
      </c>
      <c r="Q182" t="s">
        <v>212</v>
      </c>
      <c r="R182">
        <v>17</v>
      </c>
      <c r="S182">
        <v>32</v>
      </c>
      <c r="T182">
        <f t="shared" si="41"/>
        <v>82</v>
      </c>
      <c r="U182" t="str">
        <f t="shared" si="39"/>
        <v>173282</v>
      </c>
      <c r="V182">
        <v>1</v>
      </c>
      <c r="W182" t="b">
        <v>0</v>
      </c>
      <c r="AI182" s="28"/>
      <c r="AQ182" t="s">
        <v>1341</v>
      </c>
      <c r="AS182">
        <f t="shared" si="37"/>
        <v>3</v>
      </c>
      <c r="AT182" t="s">
        <v>218</v>
      </c>
      <c r="AU182">
        <v>1</v>
      </c>
      <c r="AV182" t="str">
        <f t="shared" si="40"/>
        <v>LSA_VPU_HVQK_E_HOTSTRESS_TITO_VPU_NOM_LFM_1900_TILE2</v>
      </c>
      <c r="AW182" t="str">
        <f>$D184</f>
        <v>CTRL_X_AUX_E_HOTSTRESS_X_X_X_X_LSA_VPU3</v>
      </c>
    </row>
    <row r="183" spans="1:100" s="28" customFormat="1" x14ac:dyDescent="0.35">
      <c r="A183" s="28" t="s">
        <v>1044</v>
      </c>
      <c r="B183" s="28" t="s">
        <v>79</v>
      </c>
      <c r="C183" s="28" t="str">
        <f>VLOOKUP(B183,templateLookup!A:B,2,0)</f>
        <v>iCHVQKTest</v>
      </c>
      <c r="D183" s="28" t="str">
        <f t="shared" si="38"/>
        <v>LSA_VPU_HVQK_E_HOTSTRESS_TITO_VPU_NOM_LFM_1900_TILE2</v>
      </c>
      <c r="E183" t="s">
        <v>5</v>
      </c>
      <c r="F183" t="s">
        <v>25</v>
      </c>
      <c r="G183" t="s">
        <v>1005</v>
      </c>
      <c r="H183" t="s">
        <v>207</v>
      </c>
      <c r="I183" t="s">
        <v>260</v>
      </c>
      <c r="J183" t="s">
        <v>25</v>
      </c>
      <c r="K183" t="s">
        <v>284</v>
      </c>
      <c r="L183" t="s">
        <v>285</v>
      </c>
      <c r="M183">
        <v>1900</v>
      </c>
      <c r="N183" t="s">
        <v>1311</v>
      </c>
      <c r="O183" t="s">
        <v>1189</v>
      </c>
      <c r="P183" t="s">
        <v>268</v>
      </c>
      <c r="Q183" t="s">
        <v>1312</v>
      </c>
      <c r="R183">
        <v>17</v>
      </c>
      <c r="S183">
        <v>61</v>
      </c>
      <c r="T183">
        <f t="shared" si="41"/>
        <v>94</v>
      </c>
      <c r="U183" t="str">
        <f t="shared" si="39"/>
        <v>176194</v>
      </c>
      <c r="V183">
        <v>1</v>
      </c>
      <c r="W183" t="b">
        <v>0</v>
      </c>
      <c r="X183"/>
      <c r="Y183"/>
      <c r="Z183"/>
      <c r="AA183"/>
      <c r="AB183" t="s">
        <v>298</v>
      </c>
      <c r="AC183"/>
      <c r="AD183"/>
      <c r="AE183"/>
      <c r="AF183"/>
      <c r="AG183"/>
      <c r="AH183"/>
      <c r="AI183" s="28" t="s">
        <v>1046</v>
      </c>
      <c r="AJ183"/>
      <c r="AK183"/>
      <c r="AL183"/>
      <c r="AM183"/>
      <c r="AN183"/>
      <c r="AO183"/>
      <c r="AP183" s="28" t="s">
        <v>1371</v>
      </c>
      <c r="AQ183"/>
      <c r="AR183"/>
      <c r="AS183">
        <f t="shared" si="37"/>
        <v>5</v>
      </c>
      <c r="AT183" t="s">
        <v>218</v>
      </c>
      <c r="AU183" t="str">
        <f>$D184</f>
        <v>CTRL_X_AUX_E_HOTSTRESS_X_X_X_X_LSA_VPU3</v>
      </c>
      <c r="AV183" t="str">
        <f t="shared" si="40"/>
        <v>CTRL_X_AUX_E_HOTSTRESS_X_X_X_X_LSA_VPU3</v>
      </c>
      <c r="AW183" t="str">
        <f>$D184</f>
        <v>CTRL_X_AUX_E_HOTSTRESS_X_X_X_X_LSA_VPU3</v>
      </c>
      <c r="AX183" t="str">
        <f>$D184</f>
        <v>CTRL_X_AUX_E_HOTSTRESS_X_X_X_X_LSA_VPU3</v>
      </c>
      <c r="AY183" t="str">
        <f>$D184</f>
        <v>CTRL_X_AUX_E_HOTSTRESS_X_X_X_X_LSA_VPU3</v>
      </c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</row>
    <row r="184" spans="1:100" x14ac:dyDescent="0.35">
      <c r="A184" s="28" t="s">
        <v>1044</v>
      </c>
      <c r="B184" s="28" t="s">
        <v>111</v>
      </c>
      <c r="C184" s="28" t="str">
        <f>VLOOKUP(B184,templateLookup!A:B,2,0)</f>
        <v>AuxiliaryTC</v>
      </c>
      <c r="D184" s="28" t="str">
        <f t="shared" si="38"/>
        <v>CTRL_X_AUX_E_HOTSTRESS_X_X_X_X_LSA_VPU3</v>
      </c>
      <c r="E184" t="s">
        <v>215</v>
      </c>
      <c r="F184" t="s">
        <v>208</v>
      </c>
      <c r="G184" t="s">
        <v>876</v>
      </c>
      <c r="H184" t="s">
        <v>207</v>
      </c>
      <c r="I184" t="s">
        <v>208</v>
      </c>
      <c r="J184" t="s">
        <v>208</v>
      </c>
      <c r="K184" t="s">
        <v>208</v>
      </c>
      <c r="L184" t="s">
        <v>208</v>
      </c>
      <c r="M184" t="s">
        <v>5</v>
      </c>
      <c r="N184" t="s">
        <v>1318</v>
      </c>
      <c r="O184" t="s">
        <v>211</v>
      </c>
      <c r="P184" t="s">
        <v>211</v>
      </c>
      <c r="Q184" t="s">
        <v>212</v>
      </c>
      <c r="R184">
        <v>17</v>
      </c>
      <c r="S184">
        <v>32</v>
      </c>
      <c r="T184">
        <f t="shared" si="41"/>
        <v>106</v>
      </c>
      <c r="U184" t="str">
        <f t="shared" si="39"/>
        <v>1732106</v>
      </c>
      <c r="V184">
        <v>1</v>
      </c>
      <c r="W184" t="b">
        <v>0</v>
      </c>
      <c r="AI184" s="28"/>
      <c r="AQ184" t="s">
        <v>1342</v>
      </c>
      <c r="AS184">
        <f t="shared" si="37"/>
        <v>3</v>
      </c>
      <c r="AT184" t="s">
        <v>218</v>
      </c>
      <c r="AU184">
        <v>1</v>
      </c>
      <c r="AV184" t="str">
        <f t="shared" si="40"/>
        <v>LSA_VPU_HVQK_E_HOTSTRESS_TITO_VPU_NOM_LFM_1900_TILE3</v>
      </c>
      <c r="AW184" t="str">
        <f>$D186</f>
        <v>CTRL_X_AUX_E_HOTSTRESS_X_X_X_X_LSA_VPU4</v>
      </c>
    </row>
    <row r="185" spans="1:100" s="28" customFormat="1" x14ac:dyDescent="0.35">
      <c r="A185" s="28" t="s">
        <v>1044</v>
      </c>
      <c r="B185" s="28" t="s">
        <v>79</v>
      </c>
      <c r="C185" s="28" t="str">
        <f>VLOOKUP(B185,templateLookup!A:B,2,0)</f>
        <v>iCHVQKTest</v>
      </c>
      <c r="D185" s="28" t="str">
        <f t="shared" si="38"/>
        <v>LSA_VPU_HVQK_E_HOTSTRESS_TITO_VPU_NOM_LFM_1900_TILE3</v>
      </c>
      <c r="E185" t="s">
        <v>5</v>
      </c>
      <c r="F185" t="s">
        <v>25</v>
      </c>
      <c r="G185" t="s">
        <v>1005</v>
      </c>
      <c r="H185" t="s">
        <v>207</v>
      </c>
      <c r="I185" t="s">
        <v>260</v>
      </c>
      <c r="J185" t="s">
        <v>25</v>
      </c>
      <c r="K185" t="s">
        <v>284</v>
      </c>
      <c r="L185" t="s">
        <v>285</v>
      </c>
      <c r="M185">
        <v>1900</v>
      </c>
      <c r="N185" t="s">
        <v>1315</v>
      </c>
      <c r="O185" t="s">
        <v>1189</v>
      </c>
      <c r="P185" t="s">
        <v>268</v>
      </c>
      <c r="Q185" t="s">
        <v>1316</v>
      </c>
      <c r="R185">
        <v>17</v>
      </c>
      <c r="S185">
        <v>61</v>
      </c>
      <c r="T185">
        <f t="shared" si="41"/>
        <v>118</v>
      </c>
      <c r="U185" t="str">
        <f t="shared" si="39"/>
        <v>1761118</v>
      </c>
      <c r="V185">
        <v>1</v>
      </c>
      <c r="W185" t="b">
        <v>0</v>
      </c>
      <c r="X185"/>
      <c r="Y185"/>
      <c r="Z185"/>
      <c r="AA185"/>
      <c r="AB185" t="s">
        <v>298</v>
      </c>
      <c r="AC185"/>
      <c r="AD185"/>
      <c r="AE185"/>
      <c r="AF185"/>
      <c r="AG185"/>
      <c r="AH185"/>
      <c r="AI185" s="28" t="s">
        <v>1046</v>
      </c>
      <c r="AJ185"/>
      <c r="AK185"/>
      <c r="AL185"/>
      <c r="AM185"/>
      <c r="AN185"/>
      <c r="AO185"/>
      <c r="AP185" s="28" t="s">
        <v>1371</v>
      </c>
      <c r="AQ185"/>
      <c r="AR185"/>
      <c r="AS185">
        <f t="shared" si="37"/>
        <v>5</v>
      </c>
      <c r="AT185" t="s">
        <v>218</v>
      </c>
      <c r="AU185" t="str">
        <f>$D186</f>
        <v>CTRL_X_AUX_E_HOTSTRESS_X_X_X_X_LSA_VPU4</v>
      </c>
      <c r="AV185" t="str">
        <f t="shared" si="40"/>
        <v>CTRL_X_AUX_E_HOTSTRESS_X_X_X_X_LSA_VPU4</v>
      </c>
      <c r="AW185" t="str">
        <f>$D186</f>
        <v>CTRL_X_AUX_E_HOTSTRESS_X_X_X_X_LSA_VPU4</v>
      </c>
      <c r="AX185" t="str">
        <f>$D186</f>
        <v>CTRL_X_AUX_E_HOTSTRESS_X_X_X_X_LSA_VPU4</v>
      </c>
      <c r="AY185" t="str">
        <f>$D186</f>
        <v>CTRL_X_AUX_E_HOTSTRESS_X_X_X_X_LSA_VPU4</v>
      </c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</row>
    <row r="186" spans="1:100" x14ac:dyDescent="0.35">
      <c r="A186" s="28" t="s">
        <v>1044</v>
      </c>
      <c r="B186" s="28" t="s">
        <v>111</v>
      </c>
      <c r="C186" s="28" t="str">
        <f>VLOOKUP(B186,templateLookup!A:B,2,0)</f>
        <v>AuxiliaryTC</v>
      </c>
      <c r="D186" s="28" t="str">
        <f t="shared" si="38"/>
        <v>CTRL_X_AUX_E_HOTSTRESS_X_X_X_X_LSA_VPU4</v>
      </c>
      <c r="E186" t="s">
        <v>215</v>
      </c>
      <c r="F186" t="s">
        <v>208</v>
      </c>
      <c r="G186" t="s">
        <v>876</v>
      </c>
      <c r="H186" t="s">
        <v>207</v>
      </c>
      <c r="I186" t="s">
        <v>208</v>
      </c>
      <c r="J186" t="s">
        <v>208</v>
      </c>
      <c r="K186" t="s">
        <v>208</v>
      </c>
      <c r="L186" t="s">
        <v>208</v>
      </c>
      <c r="M186" t="s">
        <v>5</v>
      </c>
      <c r="N186" t="s">
        <v>1322</v>
      </c>
      <c r="O186" t="s">
        <v>211</v>
      </c>
      <c r="P186" t="s">
        <v>211</v>
      </c>
      <c r="Q186" t="s">
        <v>212</v>
      </c>
      <c r="R186">
        <v>17</v>
      </c>
      <c r="S186">
        <v>32</v>
      </c>
      <c r="T186">
        <f t="shared" si="41"/>
        <v>130</v>
      </c>
      <c r="U186" t="str">
        <f t="shared" si="39"/>
        <v>1732130</v>
      </c>
      <c r="V186">
        <v>1</v>
      </c>
      <c r="W186" t="b">
        <v>0</v>
      </c>
      <c r="AI186" s="28"/>
      <c r="AQ186" t="s">
        <v>1343</v>
      </c>
      <c r="AS186">
        <f t="shared" si="37"/>
        <v>3</v>
      </c>
      <c r="AT186" t="s">
        <v>218</v>
      </c>
      <c r="AU186">
        <v>1</v>
      </c>
      <c r="AV186" t="str">
        <f t="shared" si="40"/>
        <v>LSA_VPU_HVQK_E_HOTSTRESS_TITO_VPU_NOM_LFM_1900_TILE4</v>
      </c>
      <c r="AW186" t="str">
        <f>$D188</f>
        <v>CTRL_X_AUX_E_HOTSTRESS_X_X_X_X_LSA_VPU5</v>
      </c>
    </row>
    <row r="187" spans="1:100" s="28" customFormat="1" x14ac:dyDescent="0.35">
      <c r="A187" s="28" t="s">
        <v>1044</v>
      </c>
      <c r="B187" s="28" t="s">
        <v>79</v>
      </c>
      <c r="C187" s="28" t="str">
        <f>VLOOKUP(B187,templateLookup!A:B,2,0)</f>
        <v>iCHVQKTest</v>
      </c>
      <c r="D187" s="28" t="str">
        <f t="shared" si="38"/>
        <v>LSA_VPU_HVQK_E_HOTSTRESS_TITO_VPU_NOM_LFM_1900_TILE4</v>
      </c>
      <c r="E187" t="s">
        <v>5</v>
      </c>
      <c r="F187" t="s">
        <v>25</v>
      </c>
      <c r="G187" t="s">
        <v>1005</v>
      </c>
      <c r="H187" t="s">
        <v>207</v>
      </c>
      <c r="I187" t="s">
        <v>260</v>
      </c>
      <c r="J187" t="s">
        <v>25</v>
      </c>
      <c r="K187" t="s">
        <v>284</v>
      </c>
      <c r="L187" t="s">
        <v>285</v>
      </c>
      <c r="M187">
        <v>1900</v>
      </c>
      <c r="N187" t="s">
        <v>1319</v>
      </c>
      <c r="O187" t="s">
        <v>1189</v>
      </c>
      <c r="P187" t="s">
        <v>268</v>
      </c>
      <c r="Q187" t="s">
        <v>1320</v>
      </c>
      <c r="R187">
        <v>17</v>
      </c>
      <c r="S187">
        <v>61</v>
      </c>
      <c r="T187">
        <f t="shared" si="41"/>
        <v>142</v>
      </c>
      <c r="U187" t="str">
        <f t="shared" si="39"/>
        <v>1761142</v>
      </c>
      <c r="V187">
        <v>1</v>
      </c>
      <c r="W187" t="b">
        <v>0</v>
      </c>
      <c r="X187"/>
      <c r="Y187"/>
      <c r="Z187"/>
      <c r="AA187"/>
      <c r="AB187" t="s">
        <v>298</v>
      </c>
      <c r="AC187"/>
      <c r="AD187"/>
      <c r="AE187"/>
      <c r="AF187"/>
      <c r="AG187"/>
      <c r="AH187"/>
      <c r="AI187" s="28" t="s">
        <v>1046</v>
      </c>
      <c r="AJ187"/>
      <c r="AK187"/>
      <c r="AL187"/>
      <c r="AM187"/>
      <c r="AN187"/>
      <c r="AO187"/>
      <c r="AP187" s="28" t="s">
        <v>1371</v>
      </c>
      <c r="AQ187"/>
      <c r="AR187"/>
      <c r="AS187">
        <f t="shared" si="37"/>
        <v>5</v>
      </c>
      <c r="AT187" t="s">
        <v>218</v>
      </c>
      <c r="AU187" t="str">
        <f>$D188</f>
        <v>CTRL_X_AUX_E_HOTSTRESS_X_X_X_X_LSA_VPU5</v>
      </c>
      <c r="AV187" t="str">
        <f t="shared" si="40"/>
        <v>CTRL_X_AUX_E_HOTSTRESS_X_X_X_X_LSA_VPU5</v>
      </c>
      <c r="AW187" t="str">
        <f>$D188</f>
        <v>CTRL_X_AUX_E_HOTSTRESS_X_X_X_X_LSA_VPU5</v>
      </c>
      <c r="AX187" t="str">
        <f>$D188</f>
        <v>CTRL_X_AUX_E_HOTSTRESS_X_X_X_X_LSA_VPU5</v>
      </c>
      <c r="AY187" t="str">
        <f>$D188</f>
        <v>CTRL_X_AUX_E_HOTSTRESS_X_X_X_X_LSA_VPU5</v>
      </c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</row>
    <row r="188" spans="1:100" x14ac:dyDescent="0.35">
      <c r="A188" s="28" t="s">
        <v>1044</v>
      </c>
      <c r="B188" s="28" t="s">
        <v>111</v>
      </c>
      <c r="C188" s="28" t="str">
        <f>VLOOKUP(B188,templateLookup!A:B,2,0)</f>
        <v>AuxiliaryTC</v>
      </c>
      <c r="D188" s="28" t="str">
        <f t="shared" si="38"/>
        <v>CTRL_X_AUX_E_HOTSTRESS_X_X_X_X_LSA_VPU5</v>
      </c>
      <c r="E188" t="s">
        <v>215</v>
      </c>
      <c r="F188" t="s">
        <v>208</v>
      </c>
      <c r="G188" t="s">
        <v>876</v>
      </c>
      <c r="H188" t="s">
        <v>207</v>
      </c>
      <c r="I188" t="s">
        <v>208</v>
      </c>
      <c r="J188" t="s">
        <v>208</v>
      </c>
      <c r="K188" t="s">
        <v>208</v>
      </c>
      <c r="L188" t="s">
        <v>208</v>
      </c>
      <c r="M188" t="s">
        <v>5</v>
      </c>
      <c r="N188" t="s">
        <v>1326</v>
      </c>
      <c r="O188" t="s">
        <v>211</v>
      </c>
      <c r="P188" t="s">
        <v>211</v>
      </c>
      <c r="Q188" t="s">
        <v>212</v>
      </c>
      <c r="R188">
        <v>17</v>
      </c>
      <c r="S188">
        <v>32</v>
      </c>
      <c r="T188">
        <f t="shared" si="41"/>
        <v>154</v>
      </c>
      <c r="U188" t="str">
        <f t="shared" si="39"/>
        <v>1732154</v>
      </c>
      <c r="V188">
        <v>1</v>
      </c>
      <c r="W188" t="b">
        <v>0</v>
      </c>
      <c r="AI188" s="28"/>
      <c r="AQ188" t="s">
        <v>1344</v>
      </c>
      <c r="AS188">
        <f t="shared" si="37"/>
        <v>3</v>
      </c>
      <c r="AT188" t="s">
        <v>218</v>
      </c>
      <c r="AU188">
        <v>1</v>
      </c>
      <c r="AV188" t="str">
        <f t="shared" si="40"/>
        <v>LSA_VPU_HVQK_E_HOTSTRESS_TITO_VPU_NOM_LFM_1900_TILE5</v>
      </c>
      <c r="AW188">
        <v>1</v>
      </c>
    </row>
    <row r="189" spans="1:100" s="28" customFormat="1" x14ac:dyDescent="0.35">
      <c r="A189" s="28" t="s">
        <v>1044</v>
      </c>
      <c r="B189" s="28" t="s">
        <v>79</v>
      </c>
      <c r="C189" s="28" t="str">
        <f>VLOOKUP(B189,templateLookup!A:B,2,0)</f>
        <v>iCHVQKTest</v>
      </c>
      <c r="D189" s="28" t="str">
        <f t="shared" si="38"/>
        <v>LSA_VPU_HVQK_E_HOTSTRESS_TITO_VPU_NOM_LFM_1900_TILE5</v>
      </c>
      <c r="E189" t="s">
        <v>5</v>
      </c>
      <c r="F189" t="s">
        <v>25</v>
      </c>
      <c r="G189" t="s">
        <v>1005</v>
      </c>
      <c r="H189" t="s">
        <v>207</v>
      </c>
      <c r="I189" t="s">
        <v>260</v>
      </c>
      <c r="J189" t="s">
        <v>25</v>
      </c>
      <c r="K189" t="s">
        <v>284</v>
      </c>
      <c r="L189" t="s">
        <v>285</v>
      </c>
      <c r="M189">
        <v>1900</v>
      </c>
      <c r="N189" t="s">
        <v>1323</v>
      </c>
      <c r="O189" t="s">
        <v>1189</v>
      </c>
      <c r="P189" t="s">
        <v>268</v>
      </c>
      <c r="Q189" t="s">
        <v>1324</v>
      </c>
      <c r="R189">
        <v>17</v>
      </c>
      <c r="S189">
        <v>61</v>
      </c>
      <c r="T189">
        <f t="shared" si="41"/>
        <v>166</v>
      </c>
      <c r="U189" t="str">
        <f t="shared" si="39"/>
        <v>1761166</v>
      </c>
      <c r="V189">
        <v>1</v>
      </c>
      <c r="W189" t="b">
        <v>0</v>
      </c>
      <c r="X189"/>
      <c r="Y189"/>
      <c r="Z189"/>
      <c r="AA189"/>
      <c r="AB189" t="s">
        <v>298</v>
      </c>
      <c r="AC189"/>
      <c r="AD189"/>
      <c r="AE189"/>
      <c r="AF189"/>
      <c r="AG189"/>
      <c r="AH189"/>
      <c r="AI189" s="28" t="s">
        <v>1046</v>
      </c>
      <c r="AJ189"/>
      <c r="AK189"/>
      <c r="AL189"/>
      <c r="AM189"/>
      <c r="AN189"/>
      <c r="AO189"/>
      <c r="AP189" s="28" t="s">
        <v>1371</v>
      </c>
      <c r="AQ189"/>
      <c r="AR189"/>
      <c r="AS189">
        <f t="shared" si="37"/>
        <v>5</v>
      </c>
      <c r="AT189" t="s">
        <v>218</v>
      </c>
      <c r="AU189">
        <v>1</v>
      </c>
      <c r="AV189">
        <v>1</v>
      </c>
      <c r="AW189">
        <v>1</v>
      </c>
      <c r="AX189">
        <v>1</v>
      </c>
      <c r="AY189">
        <v>1</v>
      </c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</row>
    <row r="190" spans="1:100" s="28" customFormat="1" x14ac:dyDescent="0.35">
      <c r="A190" s="27" t="s">
        <v>1044</v>
      </c>
      <c r="B190" s="27" t="s">
        <v>50</v>
      </c>
      <c r="C190" s="27" t="str">
        <f>VLOOKUP(B190,templateLookup!A:B,2,0)</f>
        <v>COMPOSITE</v>
      </c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</row>
    <row r="191" spans="1:100" s="28" customFormat="1" x14ac:dyDescent="0.35">
      <c r="A191" s="27" t="s">
        <v>1044</v>
      </c>
      <c r="B191" s="27" t="s">
        <v>49</v>
      </c>
      <c r="C191" s="27" t="str">
        <f>VLOOKUP(B191,templateLookup!A:B,2,0)</f>
        <v>COMPOSITE</v>
      </c>
      <c r="D191" s="27" t="s">
        <v>1374</v>
      </c>
      <c r="E191"/>
      <c r="F191" s="5" t="s">
        <v>25</v>
      </c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f t="shared" ref="AS191:AS203" si="42">COUNTA(AU191:BD191)</f>
        <v>2</v>
      </c>
      <c r="AT191" t="s">
        <v>218</v>
      </c>
      <c r="AU191">
        <v>1</v>
      </c>
      <c r="AV191">
        <v>1</v>
      </c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</row>
    <row r="192" spans="1:100" x14ac:dyDescent="0.35">
      <c r="A192" s="28" t="s">
        <v>1044</v>
      </c>
      <c r="B192" s="28" t="s">
        <v>111</v>
      </c>
      <c r="C192" s="28" t="str">
        <f>VLOOKUP(B192,templateLookup!A:B,2,0)</f>
        <v>AuxiliaryTC</v>
      </c>
      <c r="D192" s="28" t="str">
        <f t="shared" ref="D192:D203" si="43">E192&amp;"_"&amp;F192&amp;"_"&amp;G192&amp;"_"&amp;H192&amp;"_"&amp;A192&amp;"_"&amp;I192&amp;"_"&amp;J192&amp;"_"&amp;K192&amp;"_"&amp;L192&amp;"_"&amp;M192&amp;"_"&amp;N192</f>
        <v>CTRL_X_AUX_E_HOTSTRESS_X_X_X_X_SSA_VPU0</v>
      </c>
      <c r="E192" t="s">
        <v>215</v>
      </c>
      <c r="F192" t="s">
        <v>208</v>
      </c>
      <c r="G192" t="s">
        <v>876</v>
      </c>
      <c r="H192" t="s">
        <v>207</v>
      </c>
      <c r="I192" t="s">
        <v>208</v>
      </c>
      <c r="J192" t="s">
        <v>208</v>
      </c>
      <c r="K192" t="s">
        <v>208</v>
      </c>
      <c r="L192" t="s">
        <v>208</v>
      </c>
      <c r="M192" t="s">
        <v>4</v>
      </c>
      <c r="N192" t="s">
        <v>1306</v>
      </c>
      <c r="O192" t="s">
        <v>211</v>
      </c>
      <c r="P192" t="s">
        <v>211</v>
      </c>
      <c r="Q192" t="s">
        <v>212</v>
      </c>
      <c r="R192">
        <v>17</v>
      </c>
      <c r="S192">
        <v>32</v>
      </c>
      <c r="T192">
        <v>12</v>
      </c>
      <c r="U192" t="str">
        <f t="shared" ref="U192:U203" si="44">R192&amp;S192&amp;T192</f>
        <v>173212</v>
      </c>
      <c r="V192">
        <v>1</v>
      </c>
      <c r="W192" t="b">
        <v>0</v>
      </c>
      <c r="AI192" s="28"/>
      <c r="AQ192" t="s">
        <v>1339</v>
      </c>
      <c r="AS192">
        <f t="shared" si="42"/>
        <v>3</v>
      </c>
      <c r="AT192" t="s">
        <v>218</v>
      </c>
      <c r="AU192">
        <v>1</v>
      </c>
      <c r="AV192" t="str">
        <f t="shared" ref="AV192:AV202" si="45">$D193</f>
        <v>SSA_VPU_HVQK_E_HOTSTRESS_TITO_VPU_NOM_LFM_1900_TILE0</v>
      </c>
      <c r="AW192" t="str">
        <f>$D194</f>
        <v>CTRL_X_AUX_E_HOTSTRESS_X_X_X_X_SSA_VPU1</v>
      </c>
    </row>
    <row r="193" spans="1:100" s="28" customFormat="1" x14ac:dyDescent="0.35">
      <c r="A193" s="28" t="s">
        <v>1044</v>
      </c>
      <c r="B193" s="28" t="s">
        <v>79</v>
      </c>
      <c r="C193" s="28" t="str">
        <f>VLOOKUP(B193,templateLookup!A:B,2,0)</f>
        <v>iCHVQKTest</v>
      </c>
      <c r="D193" s="28" t="str">
        <f t="shared" si="43"/>
        <v>SSA_VPU_HVQK_E_HOTSTRESS_TITO_VPU_NOM_LFM_1900_TILE0</v>
      </c>
      <c r="E193" t="s">
        <v>4</v>
      </c>
      <c r="F193" t="s">
        <v>25</v>
      </c>
      <c r="G193" t="s">
        <v>1005</v>
      </c>
      <c r="H193" t="s">
        <v>207</v>
      </c>
      <c r="I193" t="s">
        <v>260</v>
      </c>
      <c r="J193" t="s">
        <v>25</v>
      </c>
      <c r="K193" t="s">
        <v>284</v>
      </c>
      <c r="L193" t="s">
        <v>285</v>
      </c>
      <c r="M193">
        <v>1900</v>
      </c>
      <c r="N193" t="s">
        <v>1303</v>
      </c>
      <c r="O193" t="s">
        <v>1189</v>
      </c>
      <c r="P193" t="s">
        <v>268</v>
      </c>
      <c r="Q193" t="s">
        <v>1328</v>
      </c>
      <c r="R193">
        <v>17</v>
      </c>
      <c r="S193">
        <v>61</v>
      </c>
      <c r="T193">
        <f t="shared" ref="T193:T202" si="46">T192+12</f>
        <v>24</v>
      </c>
      <c r="U193" t="str">
        <f t="shared" si="44"/>
        <v>176124</v>
      </c>
      <c r="V193">
        <v>1</v>
      </c>
      <c r="W193" t="b">
        <v>0</v>
      </c>
      <c r="X193"/>
      <c r="Y193"/>
      <c r="Z193"/>
      <c r="AA193"/>
      <c r="AB193" t="s">
        <v>298</v>
      </c>
      <c r="AC193"/>
      <c r="AD193"/>
      <c r="AE193"/>
      <c r="AF193"/>
      <c r="AG193"/>
      <c r="AH193"/>
      <c r="AI193" s="28" t="s">
        <v>1046</v>
      </c>
      <c r="AJ193"/>
      <c r="AK193"/>
      <c r="AL193"/>
      <c r="AM193"/>
      <c r="AN193"/>
      <c r="AO193"/>
      <c r="AP193" s="28" t="s">
        <v>1371</v>
      </c>
      <c r="AQ193"/>
      <c r="AR193"/>
      <c r="AS193">
        <f t="shared" si="42"/>
        <v>5</v>
      </c>
      <c r="AT193" t="s">
        <v>218</v>
      </c>
      <c r="AU193" t="str">
        <f>$D194</f>
        <v>CTRL_X_AUX_E_HOTSTRESS_X_X_X_X_SSA_VPU1</v>
      </c>
      <c r="AV193" t="str">
        <f t="shared" si="45"/>
        <v>CTRL_X_AUX_E_HOTSTRESS_X_X_X_X_SSA_VPU1</v>
      </c>
      <c r="AW193" t="str">
        <f>$D194</f>
        <v>CTRL_X_AUX_E_HOTSTRESS_X_X_X_X_SSA_VPU1</v>
      </c>
      <c r="AX193" t="str">
        <f>$D194</f>
        <v>CTRL_X_AUX_E_HOTSTRESS_X_X_X_X_SSA_VPU1</v>
      </c>
      <c r="AY193" t="str">
        <f>$D194</f>
        <v>CTRL_X_AUX_E_HOTSTRESS_X_X_X_X_SSA_VPU1</v>
      </c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</row>
    <row r="194" spans="1:100" x14ac:dyDescent="0.35">
      <c r="A194" s="28" t="s">
        <v>1044</v>
      </c>
      <c r="B194" s="28" t="s">
        <v>111</v>
      </c>
      <c r="C194" s="28" t="str">
        <f>VLOOKUP(B194,templateLookup!A:B,2,0)</f>
        <v>AuxiliaryTC</v>
      </c>
      <c r="D194" s="28" t="str">
        <f t="shared" si="43"/>
        <v>CTRL_X_AUX_E_HOTSTRESS_X_X_X_X_SSA_VPU1</v>
      </c>
      <c r="E194" t="s">
        <v>215</v>
      </c>
      <c r="F194" t="s">
        <v>208</v>
      </c>
      <c r="G194" t="s">
        <v>876</v>
      </c>
      <c r="H194" t="s">
        <v>207</v>
      </c>
      <c r="I194" t="s">
        <v>208</v>
      </c>
      <c r="J194" t="s">
        <v>208</v>
      </c>
      <c r="K194" t="s">
        <v>208</v>
      </c>
      <c r="L194" t="s">
        <v>208</v>
      </c>
      <c r="M194" t="s">
        <v>4</v>
      </c>
      <c r="N194" t="s">
        <v>1310</v>
      </c>
      <c r="O194" t="s">
        <v>211</v>
      </c>
      <c r="P194" t="s">
        <v>211</v>
      </c>
      <c r="Q194" t="s">
        <v>212</v>
      </c>
      <c r="R194">
        <v>17</v>
      </c>
      <c r="S194">
        <v>32</v>
      </c>
      <c r="T194">
        <f t="shared" si="46"/>
        <v>36</v>
      </c>
      <c r="U194" t="str">
        <f t="shared" si="44"/>
        <v>173236</v>
      </c>
      <c r="V194">
        <v>1</v>
      </c>
      <c r="W194" t="b">
        <v>0</v>
      </c>
      <c r="AI194" s="28"/>
      <c r="AQ194" t="s">
        <v>1340</v>
      </c>
      <c r="AS194">
        <f t="shared" si="42"/>
        <v>3</v>
      </c>
      <c r="AT194" t="s">
        <v>218</v>
      </c>
      <c r="AU194">
        <v>1</v>
      </c>
      <c r="AV194" t="str">
        <f t="shared" si="45"/>
        <v>SSA_VPU_HVQK_E_HOTSTRESS_TITO_VPU_NOM_LFM_1900_TILE1</v>
      </c>
      <c r="AW194" t="str">
        <f>$D196</f>
        <v>CTRL_X_AUX_E_HOTSTRESS_X_X_X_X_SSA_VPU2</v>
      </c>
    </row>
    <row r="195" spans="1:100" s="28" customFormat="1" x14ac:dyDescent="0.35">
      <c r="A195" s="28" t="s">
        <v>1044</v>
      </c>
      <c r="B195" s="28" t="s">
        <v>79</v>
      </c>
      <c r="C195" s="28" t="str">
        <f>VLOOKUP(B195,templateLookup!A:B,2,0)</f>
        <v>iCHVQKTest</v>
      </c>
      <c r="D195" s="28" t="str">
        <f t="shared" si="43"/>
        <v>SSA_VPU_HVQK_E_HOTSTRESS_TITO_VPU_NOM_LFM_1900_TILE1</v>
      </c>
      <c r="E195" t="s">
        <v>4</v>
      </c>
      <c r="F195" t="s">
        <v>25</v>
      </c>
      <c r="G195" t="s">
        <v>1005</v>
      </c>
      <c r="H195" t="s">
        <v>207</v>
      </c>
      <c r="I195" t="s">
        <v>260</v>
      </c>
      <c r="J195" t="s">
        <v>25</v>
      </c>
      <c r="K195" t="s">
        <v>284</v>
      </c>
      <c r="L195" t="s">
        <v>285</v>
      </c>
      <c r="M195">
        <v>1900</v>
      </c>
      <c r="N195" t="s">
        <v>1307</v>
      </c>
      <c r="O195" t="s">
        <v>1189</v>
      </c>
      <c r="P195" t="s">
        <v>268</v>
      </c>
      <c r="Q195" t="s">
        <v>1329</v>
      </c>
      <c r="R195">
        <v>17</v>
      </c>
      <c r="S195">
        <v>61</v>
      </c>
      <c r="T195">
        <f t="shared" si="46"/>
        <v>48</v>
      </c>
      <c r="U195" t="str">
        <f t="shared" si="44"/>
        <v>176148</v>
      </c>
      <c r="V195">
        <v>1</v>
      </c>
      <c r="W195" t="b">
        <v>0</v>
      </c>
      <c r="X195"/>
      <c r="Y195"/>
      <c r="Z195"/>
      <c r="AA195"/>
      <c r="AB195" t="s">
        <v>298</v>
      </c>
      <c r="AC195"/>
      <c r="AD195"/>
      <c r="AE195"/>
      <c r="AF195"/>
      <c r="AG195"/>
      <c r="AH195"/>
      <c r="AI195" s="28" t="s">
        <v>1046</v>
      </c>
      <c r="AJ195"/>
      <c r="AK195"/>
      <c r="AL195"/>
      <c r="AM195"/>
      <c r="AN195"/>
      <c r="AO195"/>
      <c r="AP195" s="28" t="s">
        <v>1371</v>
      </c>
      <c r="AQ195"/>
      <c r="AR195"/>
      <c r="AS195">
        <f t="shared" si="42"/>
        <v>5</v>
      </c>
      <c r="AT195" t="s">
        <v>218</v>
      </c>
      <c r="AU195" t="str">
        <f>$D196</f>
        <v>CTRL_X_AUX_E_HOTSTRESS_X_X_X_X_SSA_VPU2</v>
      </c>
      <c r="AV195" t="str">
        <f t="shared" si="45"/>
        <v>CTRL_X_AUX_E_HOTSTRESS_X_X_X_X_SSA_VPU2</v>
      </c>
      <c r="AW195" t="str">
        <f>$D196</f>
        <v>CTRL_X_AUX_E_HOTSTRESS_X_X_X_X_SSA_VPU2</v>
      </c>
      <c r="AX195" t="str">
        <f>$D196</f>
        <v>CTRL_X_AUX_E_HOTSTRESS_X_X_X_X_SSA_VPU2</v>
      </c>
      <c r="AY195" t="str">
        <f>$D196</f>
        <v>CTRL_X_AUX_E_HOTSTRESS_X_X_X_X_SSA_VPU2</v>
      </c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</row>
    <row r="196" spans="1:100" x14ac:dyDescent="0.35">
      <c r="A196" s="28" t="s">
        <v>1044</v>
      </c>
      <c r="B196" s="28" t="s">
        <v>111</v>
      </c>
      <c r="C196" s="28" t="str">
        <f>VLOOKUP(B196,templateLookup!A:B,2,0)</f>
        <v>AuxiliaryTC</v>
      </c>
      <c r="D196" s="28" t="str">
        <f t="shared" si="43"/>
        <v>CTRL_X_AUX_E_HOTSTRESS_X_X_X_X_SSA_VPU2</v>
      </c>
      <c r="E196" t="s">
        <v>215</v>
      </c>
      <c r="F196" t="s">
        <v>208</v>
      </c>
      <c r="G196" t="s">
        <v>876</v>
      </c>
      <c r="H196" t="s">
        <v>207</v>
      </c>
      <c r="I196" t="s">
        <v>208</v>
      </c>
      <c r="J196" t="s">
        <v>208</v>
      </c>
      <c r="K196" t="s">
        <v>208</v>
      </c>
      <c r="L196" t="s">
        <v>208</v>
      </c>
      <c r="M196" t="s">
        <v>4</v>
      </c>
      <c r="N196" t="s">
        <v>1314</v>
      </c>
      <c r="O196" t="s">
        <v>211</v>
      </c>
      <c r="P196" t="s">
        <v>211</v>
      </c>
      <c r="Q196" t="s">
        <v>212</v>
      </c>
      <c r="R196">
        <v>17</v>
      </c>
      <c r="S196">
        <v>32</v>
      </c>
      <c r="T196">
        <f t="shared" si="46"/>
        <v>60</v>
      </c>
      <c r="U196" t="str">
        <f t="shared" si="44"/>
        <v>173260</v>
      </c>
      <c r="V196">
        <v>1</v>
      </c>
      <c r="W196" t="b">
        <v>0</v>
      </c>
      <c r="AI196" s="28"/>
      <c r="AQ196" t="s">
        <v>1341</v>
      </c>
      <c r="AS196">
        <f t="shared" si="42"/>
        <v>3</v>
      </c>
      <c r="AT196" t="s">
        <v>218</v>
      </c>
      <c r="AU196">
        <v>1</v>
      </c>
      <c r="AV196" t="str">
        <f t="shared" si="45"/>
        <v>SSA_VPU_HVQK_E_HOTSTRESS_TITO_VPU_NOM_LFM_1900_TILE2</v>
      </c>
      <c r="AW196" t="str">
        <f>$D198</f>
        <v>CTRL_X_AUX_E_HOTSTRESS_X_X_X_X_SSA_VPU3</v>
      </c>
    </row>
    <row r="197" spans="1:100" s="28" customFormat="1" x14ac:dyDescent="0.35">
      <c r="A197" s="28" t="s">
        <v>1044</v>
      </c>
      <c r="B197" s="28" t="s">
        <v>79</v>
      </c>
      <c r="C197" s="28" t="str">
        <f>VLOOKUP(B197,templateLookup!A:B,2,0)</f>
        <v>iCHVQKTest</v>
      </c>
      <c r="D197" s="28" t="str">
        <f t="shared" si="43"/>
        <v>SSA_VPU_HVQK_E_HOTSTRESS_TITO_VPU_NOM_LFM_1900_TILE2</v>
      </c>
      <c r="E197" t="s">
        <v>4</v>
      </c>
      <c r="F197" t="s">
        <v>25</v>
      </c>
      <c r="G197" t="s">
        <v>1005</v>
      </c>
      <c r="H197" t="s">
        <v>207</v>
      </c>
      <c r="I197" t="s">
        <v>260</v>
      </c>
      <c r="J197" t="s">
        <v>25</v>
      </c>
      <c r="K197" t="s">
        <v>284</v>
      </c>
      <c r="L197" t="s">
        <v>285</v>
      </c>
      <c r="M197">
        <v>1900</v>
      </c>
      <c r="N197" t="s">
        <v>1311</v>
      </c>
      <c r="O197" t="s">
        <v>1189</v>
      </c>
      <c r="P197" t="s">
        <v>268</v>
      </c>
      <c r="Q197" t="s">
        <v>1330</v>
      </c>
      <c r="R197">
        <v>17</v>
      </c>
      <c r="S197">
        <v>61</v>
      </c>
      <c r="T197">
        <f t="shared" si="46"/>
        <v>72</v>
      </c>
      <c r="U197" t="str">
        <f t="shared" si="44"/>
        <v>176172</v>
      </c>
      <c r="V197">
        <v>1</v>
      </c>
      <c r="W197" t="b">
        <v>0</v>
      </c>
      <c r="X197"/>
      <c r="Y197"/>
      <c r="Z197"/>
      <c r="AA197"/>
      <c r="AB197" t="s">
        <v>298</v>
      </c>
      <c r="AC197"/>
      <c r="AD197"/>
      <c r="AE197"/>
      <c r="AF197"/>
      <c r="AG197"/>
      <c r="AH197"/>
      <c r="AI197" s="28" t="s">
        <v>1046</v>
      </c>
      <c r="AJ197"/>
      <c r="AK197"/>
      <c r="AL197"/>
      <c r="AM197"/>
      <c r="AN197"/>
      <c r="AO197"/>
      <c r="AP197" s="28" t="s">
        <v>1371</v>
      </c>
      <c r="AQ197"/>
      <c r="AR197"/>
      <c r="AS197">
        <f t="shared" si="42"/>
        <v>5</v>
      </c>
      <c r="AT197" t="s">
        <v>218</v>
      </c>
      <c r="AU197" t="str">
        <f>$D198</f>
        <v>CTRL_X_AUX_E_HOTSTRESS_X_X_X_X_SSA_VPU3</v>
      </c>
      <c r="AV197" t="str">
        <f t="shared" si="45"/>
        <v>CTRL_X_AUX_E_HOTSTRESS_X_X_X_X_SSA_VPU3</v>
      </c>
      <c r="AW197" t="str">
        <f>$D198</f>
        <v>CTRL_X_AUX_E_HOTSTRESS_X_X_X_X_SSA_VPU3</v>
      </c>
      <c r="AX197" t="str">
        <f>$D198</f>
        <v>CTRL_X_AUX_E_HOTSTRESS_X_X_X_X_SSA_VPU3</v>
      </c>
      <c r="AY197" t="str">
        <f>$D198</f>
        <v>CTRL_X_AUX_E_HOTSTRESS_X_X_X_X_SSA_VPU3</v>
      </c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</row>
    <row r="198" spans="1:100" x14ac:dyDescent="0.35">
      <c r="A198" s="28" t="s">
        <v>1044</v>
      </c>
      <c r="B198" s="28" t="s">
        <v>111</v>
      </c>
      <c r="C198" s="28" t="str">
        <f>VLOOKUP(B198,templateLookup!A:B,2,0)</f>
        <v>AuxiliaryTC</v>
      </c>
      <c r="D198" s="28" t="str">
        <f t="shared" si="43"/>
        <v>CTRL_X_AUX_E_HOTSTRESS_X_X_X_X_SSA_VPU3</v>
      </c>
      <c r="E198" t="s">
        <v>215</v>
      </c>
      <c r="F198" t="s">
        <v>208</v>
      </c>
      <c r="G198" t="s">
        <v>876</v>
      </c>
      <c r="H198" t="s">
        <v>207</v>
      </c>
      <c r="I198" t="s">
        <v>208</v>
      </c>
      <c r="J198" t="s">
        <v>208</v>
      </c>
      <c r="K198" t="s">
        <v>208</v>
      </c>
      <c r="L198" t="s">
        <v>208</v>
      </c>
      <c r="M198" t="s">
        <v>4</v>
      </c>
      <c r="N198" t="s">
        <v>1318</v>
      </c>
      <c r="O198" t="s">
        <v>211</v>
      </c>
      <c r="P198" t="s">
        <v>211</v>
      </c>
      <c r="Q198" t="s">
        <v>212</v>
      </c>
      <c r="R198">
        <v>17</v>
      </c>
      <c r="S198">
        <v>32</v>
      </c>
      <c r="T198">
        <f t="shared" si="46"/>
        <v>84</v>
      </c>
      <c r="U198" t="str">
        <f t="shared" si="44"/>
        <v>173284</v>
      </c>
      <c r="V198">
        <v>1</v>
      </c>
      <c r="W198" t="b">
        <v>0</v>
      </c>
      <c r="AI198" s="28"/>
      <c r="AQ198" t="s">
        <v>1342</v>
      </c>
      <c r="AS198">
        <f t="shared" si="42"/>
        <v>3</v>
      </c>
      <c r="AT198" t="s">
        <v>218</v>
      </c>
      <c r="AU198">
        <v>1</v>
      </c>
      <c r="AV198" t="str">
        <f t="shared" si="45"/>
        <v>SSA_VPU_HVQK_E_HOTSTRESS_TITO_VPU_NOM_LFM_1900_TILE3</v>
      </c>
      <c r="AW198" t="str">
        <f>$D200</f>
        <v>CTRL_X_AUX_E_HOTSTRESS_X_X_X_X_SSA_VPU4</v>
      </c>
    </row>
    <row r="199" spans="1:100" s="28" customFormat="1" x14ac:dyDescent="0.35">
      <c r="A199" s="28" t="s">
        <v>1044</v>
      </c>
      <c r="B199" s="28" t="s">
        <v>79</v>
      </c>
      <c r="C199" s="28" t="str">
        <f>VLOOKUP(B199,templateLookup!A:B,2,0)</f>
        <v>iCHVQKTest</v>
      </c>
      <c r="D199" s="28" t="str">
        <f t="shared" si="43"/>
        <v>SSA_VPU_HVQK_E_HOTSTRESS_TITO_VPU_NOM_LFM_1900_TILE3</v>
      </c>
      <c r="E199" t="s">
        <v>4</v>
      </c>
      <c r="F199" t="s">
        <v>25</v>
      </c>
      <c r="G199" t="s">
        <v>1005</v>
      </c>
      <c r="H199" t="s">
        <v>207</v>
      </c>
      <c r="I199" t="s">
        <v>260</v>
      </c>
      <c r="J199" t="s">
        <v>25</v>
      </c>
      <c r="K199" t="s">
        <v>284</v>
      </c>
      <c r="L199" t="s">
        <v>285</v>
      </c>
      <c r="M199">
        <v>1900</v>
      </c>
      <c r="N199" t="s">
        <v>1315</v>
      </c>
      <c r="O199" t="s">
        <v>1189</v>
      </c>
      <c r="P199" t="s">
        <v>268</v>
      </c>
      <c r="Q199" t="s">
        <v>1331</v>
      </c>
      <c r="R199">
        <v>17</v>
      </c>
      <c r="S199">
        <v>61</v>
      </c>
      <c r="T199">
        <f t="shared" si="46"/>
        <v>96</v>
      </c>
      <c r="U199" t="str">
        <f t="shared" si="44"/>
        <v>176196</v>
      </c>
      <c r="V199">
        <v>1</v>
      </c>
      <c r="W199" t="b">
        <v>0</v>
      </c>
      <c r="X199"/>
      <c r="Y199"/>
      <c r="Z199"/>
      <c r="AA199"/>
      <c r="AB199" t="s">
        <v>298</v>
      </c>
      <c r="AC199"/>
      <c r="AD199"/>
      <c r="AE199"/>
      <c r="AF199"/>
      <c r="AG199"/>
      <c r="AH199"/>
      <c r="AI199" s="28" t="s">
        <v>1046</v>
      </c>
      <c r="AJ199"/>
      <c r="AK199"/>
      <c r="AL199"/>
      <c r="AM199"/>
      <c r="AN199"/>
      <c r="AO199"/>
      <c r="AP199" s="28" t="s">
        <v>1371</v>
      </c>
      <c r="AQ199"/>
      <c r="AR199"/>
      <c r="AS199">
        <f t="shared" si="42"/>
        <v>5</v>
      </c>
      <c r="AT199" t="s">
        <v>218</v>
      </c>
      <c r="AU199" t="str">
        <f>$D200</f>
        <v>CTRL_X_AUX_E_HOTSTRESS_X_X_X_X_SSA_VPU4</v>
      </c>
      <c r="AV199" t="str">
        <f t="shared" si="45"/>
        <v>CTRL_X_AUX_E_HOTSTRESS_X_X_X_X_SSA_VPU4</v>
      </c>
      <c r="AW199" t="str">
        <f>$D200</f>
        <v>CTRL_X_AUX_E_HOTSTRESS_X_X_X_X_SSA_VPU4</v>
      </c>
      <c r="AX199" t="str">
        <f>$D200</f>
        <v>CTRL_X_AUX_E_HOTSTRESS_X_X_X_X_SSA_VPU4</v>
      </c>
      <c r="AY199" t="str">
        <f>$D200</f>
        <v>CTRL_X_AUX_E_HOTSTRESS_X_X_X_X_SSA_VPU4</v>
      </c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</row>
    <row r="200" spans="1:100" x14ac:dyDescent="0.35">
      <c r="A200" s="28" t="s">
        <v>1044</v>
      </c>
      <c r="B200" s="28" t="s">
        <v>111</v>
      </c>
      <c r="C200" s="28" t="str">
        <f>VLOOKUP(B200,templateLookup!A:B,2,0)</f>
        <v>AuxiliaryTC</v>
      </c>
      <c r="D200" s="28" t="str">
        <f t="shared" si="43"/>
        <v>CTRL_X_AUX_E_HOTSTRESS_X_X_X_X_SSA_VPU4</v>
      </c>
      <c r="E200" t="s">
        <v>215</v>
      </c>
      <c r="F200" t="s">
        <v>208</v>
      </c>
      <c r="G200" t="s">
        <v>876</v>
      </c>
      <c r="H200" t="s">
        <v>207</v>
      </c>
      <c r="I200" t="s">
        <v>208</v>
      </c>
      <c r="J200" t="s">
        <v>208</v>
      </c>
      <c r="K200" t="s">
        <v>208</v>
      </c>
      <c r="L200" t="s">
        <v>208</v>
      </c>
      <c r="M200" t="s">
        <v>4</v>
      </c>
      <c r="N200" t="s">
        <v>1322</v>
      </c>
      <c r="O200" t="s">
        <v>211</v>
      </c>
      <c r="P200" t="s">
        <v>211</v>
      </c>
      <c r="Q200" t="s">
        <v>212</v>
      </c>
      <c r="R200">
        <v>17</v>
      </c>
      <c r="S200">
        <v>32</v>
      </c>
      <c r="T200">
        <f t="shared" si="46"/>
        <v>108</v>
      </c>
      <c r="U200" t="str">
        <f t="shared" si="44"/>
        <v>1732108</v>
      </c>
      <c r="V200">
        <v>1</v>
      </c>
      <c r="W200" t="b">
        <v>0</v>
      </c>
      <c r="AI200" s="28"/>
      <c r="AQ200" t="s">
        <v>1343</v>
      </c>
      <c r="AS200">
        <f t="shared" si="42"/>
        <v>3</v>
      </c>
      <c r="AT200" t="s">
        <v>218</v>
      </c>
      <c r="AU200">
        <v>1</v>
      </c>
      <c r="AV200" t="str">
        <f t="shared" si="45"/>
        <v>SSA_VPU_HVQK_E_HOTSTRESS_TITO_VPU_NOM_LFM_1900_TILE4</v>
      </c>
      <c r="AW200" t="str">
        <f>$D202</f>
        <v>CTRL_X_AUX_E_HOTSTRESS_X_X_X_X_SSA_VPU5</v>
      </c>
    </row>
    <row r="201" spans="1:100" s="28" customFormat="1" x14ac:dyDescent="0.35">
      <c r="A201" s="28" t="s">
        <v>1044</v>
      </c>
      <c r="B201" s="28" t="s">
        <v>79</v>
      </c>
      <c r="C201" s="28" t="str">
        <f>VLOOKUP(B201,templateLookup!A:B,2,0)</f>
        <v>iCHVQKTest</v>
      </c>
      <c r="D201" s="28" t="str">
        <f t="shared" si="43"/>
        <v>SSA_VPU_HVQK_E_HOTSTRESS_TITO_VPU_NOM_LFM_1900_TILE4</v>
      </c>
      <c r="E201" t="s">
        <v>4</v>
      </c>
      <c r="F201" t="s">
        <v>25</v>
      </c>
      <c r="G201" t="s">
        <v>1005</v>
      </c>
      <c r="H201" t="s">
        <v>207</v>
      </c>
      <c r="I201" t="s">
        <v>260</v>
      </c>
      <c r="J201" t="s">
        <v>25</v>
      </c>
      <c r="K201" t="s">
        <v>284</v>
      </c>
      <c r="L201" t="s">
        <v>285</v>
      </c>
      <c r="M201">
        <v>1900</v>
      </c>
      <c r="N201" t="s">
        <v>1319</v>
      </c>
      <c r="O201" t="s">
        <v>1189</v>
      </c>
      <c r="P201" t="s">
        <v>268</v>
      </c>
      <c r="Q201" t="s">
        <v>1332</v>
      </c>
      <c r="R201">
        <v>17</v>
      </c>
      <c r="S201">
        <v>61</v>
      </c>
      <c r="T201">
        <f t="shared" si="46"/>
        <v>120</v>
      </c>
      <c r="U201" t="str">
        <f t="shared" si="44"/>
        <v>1761120</v>
      </c>
      <c r="V201">
        <v>1</v>
      </c>
      <c r="W201" t="b">
        <v>0</v>
      </c>
      <c r="X201"/>
      <c r="Y201"/>
      <c r="Z201"/>
      <c r="AA201"/>
      <c r="AB201" t="s">
        <v>298</v>
      </c>
      <c r="AC201"/>
      <c r="AD201"/>
      <c r="AE201"/>
      <c r="AF201"/>
      <c r="AG201"/>
      <c r="AH201"/>
      <c r="AI201" s="28" t="s">
        <v>1046</v>
      </c>
      <c r="AJ201"/>
      <c r="AK201"/>
      <c r="AL201"/>
      <c r="AM201"/>
      <c r="AN201"/>
      <c r="AO201"/>
      <c r="AP201" s="28" t="s">
        <v>1371</v>
      </c>
      <c r="AQ201"/>
      <c r="AR201"/>
      <c r="AS201">
        <f t="shared" si="42"/>
        <v>5</v>
      </c>
      <c r="AT201" t="s">
        <v>218</v>
      </c>
      <c r="AU201" t="str">
        <f>$D202</f>
        <v>CTRL_X_AUX_E_HOTSTRESS_X_X_X_X_SSA_VPU5</v>
      </c>
      <c r="AV201" t="str">
        <f t="shared" si="45"/>
        <v>CTRL_X_AUX_E_HOTSTRESS_X_X_X_X_SSA_VPU5</v>
      </c>
      <c r="AW201" t="str">
        <f>$D202</f>
        <v>CTRL_X_AUX_E_HOTSTRESS_X_X_X_X_SSA_VPU5</v>
      </c>
      <c r="AX201" t="str">
        <f>$D202</f>
        <v>CTRL_X_AUX_E_HOTSTRESS_X_X_X_X_SSA_VPU5</v>
      </c>
      <c r="AY201" t="str">
        <f>$D202</f>
        <v>CTRL_X_AUX_E_HOTSTRESS_X_X_X_X_SSA_VPU5</v>
      </c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</row>
    <row r="202" spans="1:100" x14ac:dyDescent="0.35">
      <c r="A202" s="28" t="s">
        <v>1044</v>
      </c>
      <c r="B202" s="28" t="s">
        <v>111</v>
      </c>
      <c r="C202" s="28" t="str">
        <f>VLOOKUP(B202,templateLookup!A:B,2,0)</f>
        <v>AuxiliaryTC</v>
      </c>
      <c r="D202" s="28" t="str">
        <f t="shared" si="43"/>
        <v>CTRL_X_AUX_E_HOTSTRESS_X_X_X_X_SSA_VPU5</v>
      </c>
      <c r="E202" t="s">
        <v>215</v>
      </c>
      <c r="F202" t="s">
        <v>208</v>
      </c>
      <c r="G202" t="s">
        <v>876</v>
      </c>
      <c r="H202" t="s">
        <v>207</v>
      </c>
      <c r="I202" t="s">
        <v>208</v>
      </c>
      <c r="J202" t="s">
        <v>208</v>
      </c>
      <c r="K202" t="s">
        <v>208</v>
      </c>
      <c r="L202" t="s">
        <v>208</v>
      </c>
      <c r="M202" t="s">
        <v>4</v>
      </c>
      <c r="N202" t="s">
        <v>1326</v>
      </c>
      <c r="O202" t="s">
        <v>211</v>
      </c>
      <c r="P202" t="s">
        <v>211</v>
      </c>
      <c r="Q202" t="s">
        <v>212</v>
      </c>
      <c r="R202">
        <v>17</v>
      </c>
      <c r="S202">
        <v>32</v>
      </c>
      <c r="T202">
        <f t="shared" si="46"/>
        <v>132</v>
      </c>
      <c r="U202" t="str">
        <f t="shared" si="44"/>
        <v>1732132</v>
      </c>
      <c r="V202">
        <v>1</v>
      </c>
      <c r="W202" t="b">
        <v>0</v>
      </c>
      <c r="AI202" s="28"/>
      <c r="AQ202" t="s">
        <v>1344</v>
      </c>
      <c r="AS202">
        <f t="shared" si="42"/>
        <v>3</v>
      </c>
      <c r="AT202" t="s">
        <v>218</v>
      </c>
      <c r="AU202">
        <v>1</v>
      </c>
      <c r="AV202" t="str">
        <f t="shared" si="45"/>
        <v>SSA_VPU_HVQK_E_HOTSTRESS_TITO_VPU_NOM_LFM_1900_TILE5</v>
      </c>
      <c r="AW202">
        <v>1</v>
      </c>
    </row>
    <row r="203" spans="1:100" s="28" customFormat="1" x14ac:dyDescent="0.35">
      <c r="A203" s="28" t="s">
        <v>1044</v>
      </c>
      <c r="B203" s="28" t="s">
        <v>79</v>
      </c>
      <c r="C203" s="28" t="str">
        <f>VLOOKUP(B203,templateLookup!A:B,2,0)</f>
        <v>iCHVQKTest</v>
      </c>
      <c r="D203" s="28" t="str">
        <f t="shared" si="43"/>
        <v>SSA_VPU_HVQK_E_HOTSTRESS_TITO_VPU_NOM_LFM_1900_TILE5</v>
      </c>
      <c r="E203" t="s">
        <v>4</v>
      </c>
      <c r="F203" t="s">
        <v>25</v>
      </c>
      <c r="G203" t="s">
        <v>1005</v>
      </c>
      <c r="H203" t="s">
        <v>207</v>
      </c>
      <c r="I203" t="s">
        <v>260</v>
      </c>
      <c r="J203" t="s">
        <v>25</v>
      </c>
      <c r="K203" t="s">
        <v>284</v>
      </c>
      <c r="L203" t="s">
        <v>285</v>
      </c>
      <c r="M203">
        <v>1900</v>
      </c>
      <c r="N203" t="s">
        <v>1323</v>
      </c>
      <c r="O203" t="s">
        <v>1189</v>
      </c>
      <c r="P203" t="s">
        <v>268</v>
      </c>
      <c r="Q203" t="s">
        <v>1333</v>
      </c>
      <c r="R203">
        <v>17</v>
      </c>
      <c r="S203">
        <v>61</v>
      </c>
      <c r="T203">
        <f>T201+1</f>
        <v>121</v>
      </c>
      <c r="U203" t="str">
        <f t="shared" si="44"/>
        <v>1761121</v>
      </c>
      <c r="V203">
        <v>1</v>
      </c>
      <c r="W203" t="b">
        <v>0</v>
      </c>
      <c r="X203"/>
      <c r="Y203"/>
      <c r="Z203"/>
      <c r="AA203"/>
      <c r="AB203" t="s">
        <v>298</v>
      </c>
      <c r="AC203"/>
      <c r="AD203"/>
      <c r="AE203"/>
      <c r="AF203"/>
      <c r="AG203"/>
      <c r="AH203"/>
      <c r="AI203" s="28" t="s">
        <v>1046</v>
      </c>
      <c r="AJ203"/>
      <c r="AK203"/>
      <c r="AL203"/>
      <c r="AM203"/>
      <c r="AN203"/>
      <c r="AO203"/>
      <c r="AP203" s="28" t="s">
        <v>1371</v>
      </c>
      <c r="AQ203"/>
      <c r="AR203"/>
      <c r="AS203">
        <f t="shared" si="42"/>
        <v>5</v>
      </c>
      <c r="AT203" t="s">
        <v>218</v>
      </c>
      <c r="AU203">
        <v>1</v>
      </c>
      <c r="AV203">
        <v>1</v>
      </c>
      <c r="AW203">
        <v>1</v>
      </c>
      <c r="AX203">
        <v>1</v>
      </c>
      <c r="AY203">
        <v>1</v>
      </c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</row>
    <row r="204" spans="1:100" s="28" customFormat="1" x14ac:dyDescent="0.35">
      <c r="A204" s="27" t="s">
        <v>1044</v>
      </c>
      <c r="B204" s="27" t="s">
        <v>50</v>
      </c>
      <c r="C204" s="27" t="str">
        <f>VLOOKUP(B204,templateLookup!A:B,2,0)</f>
        <v>COMPOSITE</v>
      </c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</row>
    <row r="205" spans="1:100" s="28" customFormat="1" x14ac:dyDescent="0.35">
      <c r="A205" s="27" t="s">
        <v>1044</v>
      </c>
      <c r="B205" s="27" t="s">
        <v>50</v>
      </c>
      <c r="C205" s="27" t="str">
        <f>VLOOKUP(B205,templateLookup!A:B,2,0)</f>
        <v>COMPOSITE</v>
      </c>
      <c r="D205" s="27"/>
      <c r="U205" s="28" t="str">
        <f>R205&amp;S205&amp;T205</f>
        <v/>
      </c>
    </row>
    <row r="206" spans="1:100" s="1" customFormat="1" x14ac:dyDescent="0.35">
      <c r="A206" s="29" t="s">
        <v>1049</v>
      </c>
      <c r="B206" s="29" t="s">
        <v>49</v>
      </c>
      <c r="C206" s="29" t="str">
        <f>VLOOKUP(B206,templateLookup!A:B,2,0)</f>
        <v>COMPOSITE</v>
      </c>
      <c r="D206" s="29" t="s">
        <v>1049</v>
      </c>
      <c r="F206" s="5" t="s">
        <v>25</v>
      </c>
      <c r="U206" s="1" t="str">
        <f>R206&amp;S206&amp;T206</f>
        <v/>
      </c>
    </row>
    <row r="207" spans="1:100" x14ac:dyDescent="0.35">
      <c r="A207" s="1" t="s">
        <v>1049</v>
      </c>
      <c r="B207" s="1" t="s">
        <v>68</v>
      </c>
      <c r="C207" s="1" t="str">
        <f>VLOOKUP(B207,templateLookup!A:B,2,0)</f>
        <v>LNLVminSearch</v>
      </c>
      <c r="D207" s="1" t="str">
        <f>E207&amp;"_"&amp;F207&amp;"_"&amp;G207&amp;"_"&amp;H207&amp;"_"&amp;A207&amp;"_"&amp;I207&amp;"_"&amp;J207&amp;"_"&amp;K207&amp;"_"&amp;L207&amp;"_"&amp;M207&amp;"_"&amp;N207</f>
        <v>XSA_VPU_VMIN_K_SDTEND_TITO_VPU_NOM_LFM_1900_ALL</v>
      </c>
      <c r="E207" t="s">
        <v>205</v>
      </c>
      <c r="F207" t="s">
        <v>25</v>
      </c>
      <c r="G207" t="s">
        <v>951</v>
      </c>
      <c r="H207" t="s">
        <v>253</v>
      </c>
      <c r="I207" t="s">
        <v>260</v>
      </c>
      <c r="J207" t="s">
        <v>25</v>
      </c>
      <c r="K207" t="s">
        <v>284</v>
      </c>
      <c r="L207" t="s">
        <v>285</v>
      </c>
      <c r="M207">
        <v>1900</v>
      </c>
      <c r="N207" t="s">
        <v>7</v>
      </c>
      <c r="O207" t="s">
        <v>267</v>
      </c>
      <c r="P207" t="s">
        <v>268</v>
      </c>
      <c r="Q207" t="s">
        <v>1295</v>
      </c>
      <c r="R207">
        <v>61</v>
      </c>
      <c r="S207">
        <v>37</v>
      </c>
      <c r="T207">
        <v>80</v>
      </c>
      <c r="U207" t="str">
        <f>R207&amp;S207&amp;T207</f>
        <v>613780</v>
      </c>
      <c r="V207">
        <v>-1</v>
      </c>
      <c r="W207" t="b">
        <v>1</v>
      </c>
      <c r="X207">
        <v>2260</v>
      </c>
      <c r="Y207" t="s">
        <v>955</v>
      </c>
      <c r="AB207" t="s">
        <v>298</v>
      </c>
      <c r="AC207" t="s">
        <v>257</v>
      </c>
      <c r="AJ207" t="s">
        <v>7</v>
      </c>
      <c r="AK207">
        <v>0</v>
      </c>
      <c r="AS207">
        <f>COUNTA(AU207:BD207)</f>
        <v>2</v>
      </c>
      <c r="AT207">
        <v>1</v>
      </c>
      <c r="AU207" t="str">
        <f>$D208</f>
        <v>XSA_NON_RECOVERY_SDTEND</v>
      </c>
      <c r="AV207">
        <v>1</v>
      </c>
    </row>
    <row r="208" spans="1:100" x14ac:dyDescent="0.35">
      <c r="A208" s="29" t="s">
        <v>1049</v>
      </c>
      <c r="B208" s="5" t="s">
        <v>49</v>
      </c>
      <c r="C208" s="5" t="str">
        <f>VLOOKUP(B208,templateLookup!A:B,2,0)</f>
        <v>COMPOSITE</v>
      </c>
      <c r="D208" s="5" t="s">
        <v>1375</v>
      </c>
      <c r="E208" s="5"/>
      <c r="F208" s="5" t="s">
        <v>25</v>
      </c>
      <c r="AS208">
        <v>2</v>
      </c>
      <c r="AT208">
        <v>1</v>
      </c>
      <c r="AU208" t="str">
        <f>$D213</f>
        <v>LSA_RECOVERY_POST_SDTEND</v>
      </c>
      <c r="AV208" t="str">
        <f>$D213</f>
        <v>LSA_RECOVERY_POST_SDTEND</v>
      </c>
    </row>
    <row r="209" spans="1:51" x14ac:dyDescent="0.35">
      <c r="A209" s="1" t="s">
        <v>1049</v>
      </c>
      <c r="B209" s="11" t="s">
        <v>68</v>
      </c>
      <c r="C209" s="11" t="str">
        <f>VLOOKUP(B209,templateLookup!A:B,2,0)</f>
        <v>LNLVminSearch</v>
      </c>
      <c r="D209" s="11" t="str">
        <f>E209&amp;"_"&amp;F209&amp;"_"&amp;G209&amp;"_"&amp;H209&amp;"_"&amp;A209&amp;"_"&amp;I209&amp;"_"&amp;J209&amp;"_"&amp;K209&amp;"_"&amp;L209&amp;"_"&amp;M209&amp;"_"&amp;N209</f>
        <v>LSA_VPU_VMIN_K_SDTEND_TITO_VPU_NOM_LFM_1900_CPU</v>
      </c>
      <c r="E209" t="s">
        <v>5</v>
      </c>
      <c r="F209" t="s">
        <v>25</v>
      </c>
      <c r="G209" t="s">
        <v>951</v>
      </c>
      <c r="H209" t="s">
        <v>253</v>
      </c>
      <c r="I209" t="s">
        <v>260</v>
      </c>
      <c r="J209" t="s">
        <v>25</v>
      </c>
      <c r="K209" t="s">
        <v>284</v>
      </c>
      <c r="L209" t="s">
        <v>285</v>
      </c>
      <c r="M209">
        <v>1900</v>
      </c>
      <c r="N209" t="s">
        <v>1297</v>
      </c>
      <c r="O209" t="s">
        <v>267</v>
      </c>
      <c r="P209" t="s">
        <v>268</v>
      </c>
      <c r="Q209" t="s">
        <v>1298</v>
      </c>
      <c r="R209">
        <v>21</v>
      </c>
      <c r="S209">
        <v>21</v>
      </c>
      <c r="T209">
        <v>34</v>
      </c>
      <c r="U209" t="str">
        <f>R209&amp;S209&amp;T209</f>
        <v>212134</v>
      </c>
      <c r="V209">
        <v>1</v>
      </c>
      <c r="W209" t="b">
        <v>1</v>
      </c>
      <c r="Y209" t="s">
        <v>955</v>
      </c>
      <c r="AB209" t="s">
        <v>298</v>
      </c>
      <c r="AC209" t="s">
        <v>960</v>
      </c>
      <c r="AJ209" t="s">
        <v>7</v>
      </c>
      <c r="AK209">
        <v>0</v>
      </c>
      <c r="AS209">
        <f>COUNTA(AU209:BD209)</f>
        <v>2</v>
      </c>
      <c r="AT209">
        <v>1</v>
      </c>
      <c r="AU209" t="str">
        <f>$D210</f>
        <v>LSA_VPU_VMIN_K_SDTEND_TITO_VPU_NOM_LFM_1900_BTR</v>
      </c>
      <c r="AV209" t="str">
        <f>$D210</f>
        <v>LSA_VPU_VMIN_K_SDTEND_TITO_VPU_NOM_LFM_1900_BTR</v>
      </c>
    </row>
    <row r="210" spans="1:51" x14ac:dyDescent="0.35">
      <c r="A210" s="1" t="s">
        <v>1049</v>
      </c>
      <c r="B210" s="11" t="s">
        <v>68</v>
      </c>
      <c r="C210" s="11" t="str">
        <f>VLOOKUP(B210,templateLookup!A:B,2,0)</f>
        <v>LNLVminSearch</v>
      </c>
      <c r="D210" s="11" t="str">
        <f>E210&amp;"_"&amp;F210&amp;"_"&amp;G210&amp;"_"&amp;H210&amp;"_"&amp;A210&amp;"_"&amp;I210&amp;"_"&amp;J210&amp;"_"&amp;K210&amp;"_"&amp;L210&amp;"_"&amp;M210&amp;"_"&amp;N210</f>
        <v>LSA_VPU_VMIN_K_SDTEND_TITO_VPU_NOM_LFM_1900_BTR</v>
      </c>
      <c r="E210" t="s">
        <v>5</v>
      </c>
      <c r="F210" t="s">
        <v>25</v>
      </c>
      <c r="G210" t="s">
        <v>951</v>
      </c>
      <c r="H210" t="s">
        <v>253</v>
      </c>
      <c r="I210" t="s">
        <v>260</v>
      </c>
      <c r="J210" t="s">
        <v>25</v>
      </c>
      <c r="K210" t="s">
        <v>284</v>
      </c>
      <c r="L210" t="s">
        <v>285</v>
      </c>
      <c r="M210">
        <v>1900</v>
      </c>
      <c r="N210" t="s">
        <v>1299</v>
      </c>
      <c r="O210" t="s">
        <v>267</v>
      </c>
      <c r="P210" t="s">
        <v>268</v>
      </c>
      <c r="Q210" t="s">
        <v>1300</v>
      </c>
      <c r="R210">
        <v>21</v>
      </c>
      <c r="S210">
        <v>21</v>
      </c>
      <c r="T210">
        <v>35</v>
      </c>
      <c r="U210" t="str">
        <f>R210&amp;S210&amp;T210</f>
        <v>212135</v>
      </c>
      <c r="V210">
        <v>1</v>
      </c>
      <c r="W210" t="b">
        <v>1</v>
      </c>
      <c r="Y210" t="s">
        <v>955</v>
      </c>
      <c r="AB210" t="s">
        <v>298</v>
      </c>
      <c r="AC210" t="s">
        <v>960</v>
      </c>
      <c r="AJ210" t="s">
        <v>7</v>
      </c>
      <c r="AK210">
        <v>0</v>
      </c>
      <c r="AS210">
        <f>COUNTA(AU210:BD210)</f>
        <v>2</v>
      </c>
      <c r="AT210">
        <v>1</v>
      </c>
      <c r="AU210" t="str">
        <f>$D211</f>
        <v>SSA_VPU_VMIN_K_SDTEND_TITO_VPU_NOM_LFM_1900_CPU</v>
      </c>
      <c r="AV210" t="str">
        <f>$D211</f>
        <v>SSA_VPU_VMIN_K_SDTEND_TITO_VPU_NOM_LFM_1900_CPU</v>
      </c>
    </row>
    <row r="211" spans="1:51" x14ac:dyDescent="0.35">
      <c r="A211" s="1" t="s">
        <v>1049</v>
      </c>
      <c r="B211" s="11" t="s">
        <v>68</v>
      </c>
      <c r="C211" s="11" t="str">
        <f>VLOOKUP(B211,templateLookup!A:B,2,0)</f>
        <v>LNLVminSearch</v>
      </c>
      <c r="D211" s="11" t="str">
        <f>E211&amp;"_"&amp;F211&amp;"_"&amp;G211&amp;"_"&amp;H211&amp;"_"&amp;A211&amp;"_"&amp;I211&amp;"_"&amp;J211&amp;"_"&amp;K211&amp;"_"&amp;L211&amp;"_"&amp;M211&amp;"_"&amp;N211</f>
        <v>SSA_VPU_VMIN_K_SDTEND_TITO_VPU_NOM_LFM_1900_CPU</v>
      </c>
      <c r="E211" t="s">
        <v>4</v>
      </c>
      <c r="F211" t="s">
        <v>25</v>
      </c>
      <c r="G211" t="s">
        <v>951</v>
      </c>
      <c r="H211" t="s">
        <v>253</v>
      </c>
      <c r="I211" t="s">
        <v>260</v>
      </c>
      <c r="J211" t="s">
        <v>25</v>
      </c>
      <c r="K211" t="s">
        <v>284</v>
      </c>
      <c r="L211" t="s">
        <v>285</v>
      </c>
      <c r="M211">
        <v>1900</v>
      </c>
      <c r="N211" t="s">
        <v>1297</v>
      </c>
      <c r="O211" t="s">
        <v>267</v>
      </c>
      <c r="P211" t="s">
        <v>268</v>
      </c>
      <c r="Q211" t="s">
        <v>1301</v>
      </c>
      <c r="R211">
        <v>61</v>
      </c>
      <c r="S211">
        <v>61</v>
      </c>
      <c r="T211">
        <v>36</v>
      </c>
      <c r="U211" t="str">
        <f>R211&amp;S211&amp;T211</f>
        <v>616136</v>
      </c>
      <c r="V211">
        <v>1</v>
      </c>
      <c r="W211" t="b">
        <v>1</v>
      </c>
      <c r="Y211" t="s">
        <v>955</v>
      </c>
      <c r="AB211" t="s">
        <v>298</v>
      </c>
      <c r="AC211" t="s">
        <v>960</v>
      </c>
      <c r="AJ211" t="s">
        <v>7</v>
      </c>
      <c r="AK211">
        <v>0</v>
      </c>
      <c r="AS211">
        <f>COUNTA(AU211:BD211)</f>
        <v>2</v>
      </c>
      <c r="AT211">
        <v>1</v>
      </c>
      <c r="AU211">
        <v>1</v>
      </c>
      <c r="AV211">
        <v>1</v>
      </c>
    </row>
    <row r="212" spans="1:51" x14ac:dyDescent="0.35">
      <c r="A212" s="29" t="s">
        <v>1049</v>
      </c>
      <c r="B212" s="5" t="s">
        <v>50</v>
      </c>
      <c r="C212" s="5" t="str">
        <f>VLOOKUP(B212,templateLookup!A:B,2,0)</f>
        <v>COMPOSITE</v>
      </c>
      <c r="D212" s="6"/>
    </row>
    <row r="213" spans="1:51" x14ac:dyDescent="0.35">
      <c r="A213" s="29" t="s">
        <v>1049</v>
      </c>
      <c r="B213" s="5" t="s">
        <v>49</v>
      </c>
      <c r="C213" s="5" t="str">
        <f>VLOOKUP(B213,templateLookup!A:B,2,0)</f>
        <v>COMPOSITE</v>
      </c>
      <c r="D213" s="5" t="s">
        <v>1376</v>
      </c>
      <c r="E213" s="5"/>
      <c r="F213" s="5" t="s">
        <v>25</v>
      </c>
      <c r="AS213">
        <v>2</v>
      </c>
      <c r="AT213">
        <v>1</v>
      </c>
      <c r="AU213" t="str">
        <f>$D227</f>
        <v>SSA_RECOVERY_POST_SDTEND</v>
      </c>
      <c r="AV213" t="str">
        <f>$D227</f>
        <v>SSA_RECOVERY_POST_SDTEND</v>
      </c>
    </row>
    <row r="214" spans="1:51" x14ac:dyDescent="0.35">
      <c r="A214" s="1" t="s">
        <v>1049</v>
      </c>
      <c r="B214" s="11" t="s">
        <v>111</v>
      </c>
      <c r="C214" s="11" t="str">
        <f>VLOOKUP(B214,templateLookup!A:B,2,0)</f>
        <v>AuxiliaryTC</v>
      </c>
      <c r="D214" s="11" t="str">
        <f t="shared" ref="D214:D225" si="47">E214&amp;"_"&amp;F214&amp;"_"&amp;G214&amp;"_"&amp;H214&amp;"_"&amp;A214&amp;"_"&amp;I214&amp;"_"&amp;J214&amp;"_"&amp;K214&amp;"_"&amp;L214&amp;"_"&amp;M214&amp;"_"&amp;N214</f>
        <v>CTRL_X_AUX_K_SDTEND_X_X_X_X_LSA_VPU0</v>
      </c>
      <c r="E214" t="s">
        <v>215</v>
      </c>
      <c r="F214" t="s">
        <v>208</v>
      </c>
      <c r="G214" t="s">
        <v>876</v>
      </c>
      <c r="H214" t="s">
        <v>253</v>
      </c>
      <c r="I214" t="s">
        <v>208</v>
      </c>
      <c r="J214" t="s">
        <v>208</v>
      </c>
      <c r="K214" t="s">
        <v>208</v>
      </c>
      <c r="L214" t="s">
        <v>208</v>
      </c>
      <c r="M214" t="s">
        <v>5</v>
      </c>
      <c r="N214" t="s">
        <v>1306</v>
      </c>
      <c r="O214" t="s">
        <v>211</v>
      </c>
      <c r="P214" t="s">
        <v>211</v>
      </c>
      <c r="Q214" t="s">
        <v>212</v>
      </c>
      <c r="R214">
        <v>21</v>
      </c>
      <c r="S214">
        <v>37</v>
      </c>
      <c r="T214">
        <v>95</v>
      </c>
      <c r="U214" t="str">
        <f t="shared" ref="U214:U225" si="48">R214&amp;S214&amp;T214</f>
        <v>213795</v>
      </c>
      <c r="V214" s="28">
        <v>1</v>
      </c>
      <c r="W214" t="b">
        <v>0</v>
      </c>
      <c r="X214" s="10"/>
      <c r="AJ214" t="s">
        <v>7</v>
      </c>
      <c r="AK214">
        <v>0</v>
      </c>
      <c r="AL214" s="10"/>
      <c r="AQ214" t="s">
        <v>1339</v>
      </c>
      <c r="AS214">
        <f t="shared" ref="AS214:AS225" si="49">COUNTA(AU214:BD214)</f>
        <v>3</v>
      </c>
      <c r="AT214" t="s">
        <v>218</v>
      </c>
      <c r="AU214">
        <v>1</v>
      </c>
      <c r="AV214" t="str">
        <f t="shared" ref="AV214:AV224" si="50">$D215</f>
        <v>LSA_VPU_VMIN_K_SDTEND_TITO_VPU_NOM_LFM_1900_TILE0</v>
      </c>
      <c r="AW214" t="str">
        <f>$D216</f>
        <v>CTRL_X_AUX_K_SDTEND_X_X_X_X_LSA_VPU1</v>
      </c>
    </row>
    <row r="215" spans="1:51" x14ac:dyDescent="0.35">
      <c r="A215" s="1" t="s">
        <v>1049</v>
      </c>
      <c r="B215" s="11" t="s">
        <v>68</v>
      </c>
      <c r="C215" s="11" t="str">
        <f>VLOOKUP(B215,templateLookup!A:B,2,0)</f>
        <v>LNLVminSearch</v>
      </c>
      <c r="D215" s="11" t="str">
        <f t="shared" si="47"/>
        <v>LSA_VPU_VMIN_K_SDTEND_TITO_VPU_NOM_LFM_1900_TILE0</v>
      </c>
      <c r="E215" t="s">
        <v>5</v>
      </c>
      <c r="F215" t="s">
        <v>25</v>
      </c>
      <c r="G215" t="s">
        <v>951</v>
      </c>
      <c r="H215" t="s">
        <v>253</v>
      </c>
      <c r="I215" t="s">
        <v>260</v>
      </c>
      <c r="J215" t="s">
        <v>25</v>
      </c>
      <c r="K215" t="s">
        <v>284</v>
      </c>
      <c r="L215" t="s">
        <v>285</v>
      </c>
      <c r="M215">
        <v>1900</v>
      </c>
      <c r="N215" t="s">
        <v>1303</v>
      </c>
      <c r="O215" t="s">
        <v>267</v>
      </c>
      <c r="P215" t="s">
        <v>268</v>
      </c>
      <c r="Q215" t="s">
        <v>1304</v>
      </c>
      <c r="R215">
        <v>21</v>
      </c>
      <c r="S215">
        <v>37</v>
      </c>
      <c r="T215">
        <f t="shared" ref="T215:T225" si="51">T214+1</f>
        <v>96</v>
      </c>
      <c r="U215" t="str">
        <f t="shared" si="48"/>
        <v>213796</v>
      </c>
      <c r="V215">
        <v>1</v>
      </c>
      <c r="W215" t="b">
        <v>1</v>
      </c>
      <c r="Y215" t="s">
        <v>955</v>
      </c>
      <c r="AB215" t="s">
        <v>298</v>
      </c>
      <c r="AC215" t="s">
        <v>960</v>
      </c>
      <c r="AJ215" t="s">
        <v>7</v>
      </c>
      <c r="AK215">
        <v>0</v>
      </c>
      <c r="AS215">
        <f t="shared" si="49"/>
        <v>2</v>
      </c>
      <c r="AT215">
        <v>1</v>
      </c>
      <c r="AU215" t="str">
        <f>$D216</f>
        <v>CTRL_X_AUX_K_SDTEND_X_X_X_X_LSA_VPU1</v>
      </c>
      <c r="AV215" t="str">
        <f t="shared" si="50"/>
        <v>CTRL_X_AUX_K_SDTEND_X_X_X_X_LSA_VPU1</v>
      </c>
    </row>
    <row r="216" spans="1:51" x14ac:dyDescent="0.35">
      <c r="A216" s="1" t="s">
        <v>1049</v>
      </c>
      <c r="B216" s="11" t="s">
        <v>111</v>
      </c>
      <c r="C216" s="11" t="str">
        <f>VLOOKUP(B216,templateLookup!A:B,2,0)</f>
        <v>AuxiliaryTC</v>
      </c>
      <c r="D216" s="11" t="str">
        <f t="shared" si="47"/>
        <v>CTRL_X_AUX_K_SDTEND_X_X_X_X_LSA_VPU1</v>
      </c>
      <c r="E216" t="s">
        <v>215</v>
      </c>
      <c r="F216" t="s">
        <v>208</v>
      </c>
      <c r="G216" t="s">
        <v>876</v>
      </c>
      <c r="H216" t="s">
        <v>253</v>
      </c>
      <c r="I216" t="s">
        <v>208</v>
      </c>
      <c r="J216" t="s">
        <v>208</v>
      </c>
      <c r="K216" t="s">
        <v>208</v>
      </c>
      <c r="L216" t="s">
        <v>208</v>
      </c>
      <c r="M216" t="s">
        <v>5</v>
      </c>
      <c r="N216" t="s">
        <v>1310</v>
      </c>
      <c r="O216" t="s">
        <v>211</v>
      </c>
      <c r="P216" t="s">
        <v>211</v>
      </c>
      <c r="Q216" t="s">
        <v>212</v>
      </c>
      <c r="R216">
        <v>21</v>
      </c>
      <c r="S216">
        <v>37</v>
      </c>
      <c r="T216">
        <f t="shared" si="51"/>
        <v>97</v>
      </c>
      <c r="U216" t="str">
        <f t="shared" si="48"/>
        <v>213797</v>
      </c>
      <c r="V216" s="28">
        <v>1</v>
      </c>
      <c r="W216" t="b">
        <v>0</v>
      </c>
      <c r="X216" s="10"/>
      <c r="AC216" t="s">
        <v>960</v>
      </c>
      <c r="AJ216" t="s">
        <v>7</v>
      </c>
      <c r="AK216">
        <v>0</v>
      </c>
      <c r="AL216" s="10"/>
      <c r="AQ216" t="s">
        <v>1340</v>
      </c>
      <c r="AS216">
        <f t="shared" si="49"/>
        <v>3</v>
      </c>
      <c r="AT216" t="s">
        <v>218</v>
      </c>
      <c r="AU216">
        <v>1</v>
      </c>
      <c r="AV216" t="str">
        <f t="shared" si="50"/>
        <v>LSA_VPU_VMIN_K_SDTEND_TITO_VPU_NOM_LFM_1900_TILE1</v>
      </c>
      <c r="AW216" t="str">
        <f>$D218</f>
        <v>CTRL_X_AUX_K_SDTEND_X_X_X_X_LSA_VPU2</v>
      </c>
      <c r="AX216" s="10"/>
      <c r="AY216" s="10"/>
    </row>
    <row r="217" spans="1:51" x14ac:dyDescent="0.35">
      <c r="A217" s="1" t="s">
        <v>1049</v>
      </c>
      <c r="B217" s="11" t="s">
        <v>68</v>
      </c>
      <c r="C217" s="11" t="str">
        <f>VLOOKUP(B217,templateLookup!A:B,2,0)</f>
        <v>LNLVminSearch</v>
      </c>
      <c r="D217" s="11" t="str">
        <f t="shared" si="47"/>
        <v>LSA_VPU_VMIN_K_SDTEND_TITO_VPU_NOM_LFM_1900_TILE1</v>
      </c>
      <c r="E217" t="s">
        <v>5</v>
      </c>
      <c r="F217" t="s">
        <v>25</v>
      </c>
      <c r="G217" t="s">
        <v>951</v>
      </c>
      <c r="H217" t="s">
        <v>253</v>
      </c>
      <c r="I217" t="s">
        <v>260</v>
      </c>
      <c r="J217" t="s">
        <v>25</v>
      </c>
      <c r="K217" t="s">
        <v>284</v>
      </c>
      <c r="L217" t="s">
        <v>285</v>
      </c>
      <c r="M217">
        <v>1900</v>
      </c>
      <c r="N217" t="s">
        <v>1307</v>
      </c>
      <c r="O217" t="s">
        <v>267</v>
      </c>
      <c r="P217" t="s">
        <v>268</v>
      </c>
      <c r="Q217" t="s">
        <v>1308</v>
      </c>
      <c r="R217">
        <v>21</v>
      </c>
      <c r="S217">
        <v>37</v>
      </c>
      <c r="T217">
        <f t="shared" si="51"/>
        <v>98</v>
      </c>
      <c r="U217" t="str">
        <f t="shared" si="48"/>
        <v>213798</v>
      </c>
      <c r="V217">
        <v>1</v>
      </c>
      <c r="W217" t="b">
        <v>1</v>
      </c>
      <c r="Y217" t="s">
        <v>955</v>
      </c>
      <c r="AB217" t="s">
        <v>298</v>
      </c>
      <c r="AC217" t="s">
        <v>960</v>
      </c>
      <c r="AJ217" t="s">
        <v>7</v>
      </c>
      <c r="AK217">
        <v>0</v>
      </c>
      <c r="AS217">
        <f t="shared" si="49"/>
        <v>2</v>
      </c>
      <c r="AT217">
        <v>1</v>
      </c>
      <c r="AU217" t="str">
        <f>$D218</f>
        <v>CTRL_X_AUX_K_SDTEND_X_X_X_X_LSA_VPU2</v>
      </c>
      <c r="AV217" t="str">
        <f t="shared" si="50"/>
        <v>CTRL_X_AUX_K_SDTEND_X_X_X_X_LSA_VPU2</v>
      </c>
    </row>
    <row r="218" spans="1:51" x14ac:dyDescent="0.35">
      <c r="A218" s="1" t="s">
        <v>1049</v>
      </c>
      <c r="B218" s="11" t="s">
        <v>111</v>
      </c>
      <c r="C218" s="11" t="str">
        <f>VLOOKUP(B218,templateLookup!A:B,2,0)</f>
        <v>AuxiliaryTC</v>
      </c>
      <c r="D218" s="11" t="str">
        <f t="shared" si="47"/>
        <v>CTRL_X_AUX_K_SDTEND_X_X_X_X_LSA_VPU2</v>
      </c>
      <c r="E218" t="s">
        <v>215</v>
      </c>
      <c r="F218" t="s">
        <v>208</v>
      </c>
      <c r="G218" t="s">
        <v>876</v>
      </c>
      <c r="H218" t="s">
        <v>253</v>
      </c>
      <c r="I218" t="s">
        <v>208</v>
      </c>
      <c r="J218" t="s">
        <v>208</v>
      </c>
      <c r="K218" t="s">
        <v>208</v>
      </c>
      <c r="L218" t="s">
        <v>208</v>
      </c>
      <c r="M218" t="s">
        <v>5</v>
      </c>
      <c r="N218" t="s">
        <v>1314</v>
      </c>
      <c r="O218" t="s">
        <v>211</v>
      </c>
      <c r="P218" t="s">
        <v>211</v>
      </c>
      <c r="Q218" t="s">
        <v>212</v>
      </c>
      <c r="R218">
        <v>21</v>
      </c>
      <c r="S218">
        <v>37</v>
      </c>
      <c r="T218">
        <f t="shared" si="51"/>
        <v>99</v>
      </c>
      <c r="U218" t="str">
        <f t="shared" si="48"/>
        <v>213799</v>
      </c>
      <c r="V218" s="28">
        <v>1</v>
      </c>
      <c r="W218" t="b">
        <v>0</v>
      </c>
      <c r="X218" s="10"/>
      <c r="AC218" t="s">
        <v>960</v>
      </c>
      <c r="AJ218" t="s">
        <v>7</v>
      </c>
      <c r="AK218">
        <v>0</v>
      </c>
      <c r="AL218" s="10"/>
      <c r="AQ218" t="s">
        <v>1341</v>
      </c>
      <c r="AS218">
        <f t="shared" si="49"/>
        <v>3</v>
      </c>
      <c r="AT218" t="s">
        <v>218</v>
      </c>
      <c r="AU218">
        <v>1</v>
      </c>
      <c r="AV218" t="str">
        <f t="shared" si="50"/>
        <v>LSA_VPU_VMIN_K_SDTEND_TITO_VPU_NOM_LFM_1900_TILE2</v>
      </c>
      <c r="AW218" t="str">
        <f>$D220</f>
        <v>CTRL_X_AUX_K_SDTEND_X_X_X_X_LSA_VPU3</v>
      </c>
      <c r="AX218" s="10"/>
      <c r="AY218" s="10"/>
    </row>
    <row r="219" spans="1:51" x14ac:dyDescent="0.35">
      <c r="A219" s="1" t="s">
        <v>1049</v>
      </c>
      <c r="B219" s="11" t="s">
        <v>68</v>
      </c>
      <c r="C219" s="11" t="str">
        <f>VLOOKUP(B219,templateLookup!A:B,2,0)</f>
        <v>LNLVminSearch</v>
      </c>
      <c r="D219" s="11" t="str">
        <f t="shared" si="47"/>
        <v>LSA_VPU_VMIN_K_SDTEND_TITO_VPU_NOM_LFM_1900_TILE2</v>
      </c>
      <c r="E219" t="s">
        <v>5</v>
      </c>
      <c r="F219" t="s">
        <v>25</v>
      </c>
      <c r="G219" t="s">
        <v>951</v>
      </c>
      <c r="H219" t="s">
        <v>253</v>
      </c>
      <c r="I219" t="s">
        <v>260</v>
      </c>
      <c r="J219" t="s">
        <v>25</v>
      </c>
      <c r="K219" t="s">
        <v>284</v>
      </c>
      <c r="L219" t="s">
        <v>285</v>
      </c>
      <c r="M219">
        <v>1900</v>
      </c>
      <c r="N219" t="s">
        <v>1311</v>
      </c>
      <c r="O219" t="s">
        <v>267</v>
      </c>
      <c r="P219" t="s">
        <v>268</v>
      </c>
      <c r="Q219" t="s">
        <v>1312</v>
      </c>
      <c r="R219">
        <v>21</v>
      </c>
      <c r="S219">
        <v>37</v>
      </c>
      <c r="T219">
        <f t="shared" si="51"/>
        <v>100</v>
      </c>
      <c r="U219" t="str">
        <f t="shared" si="48"/>
        <v>2137100</v>
      </c>
      <c r="V219">
        <v>1</v>
      </c>
      <c r="W219" t="b">
        <v>1</v>
      </c>
      <c r="Y219" t="s">
        <v>955</v>
      </c>
      <c r="AB219" t="s">
        <v>298</v>
      </c>
      <c r="AC219" t="s">
        <v>960</v>
      </c>
      <c r="AJ219" t="s">
        <v>7</v>
      </c>
      <c r="AK219">
        <v>0</v>
      </c>
      <c r="AS219">
        <f t="shared" si="49"/>
        <v>2</v>
      </c>
      <c r="AT219">
        <v>1</v>
      </c>
      <c r="AU219" t="str">
        <f>$D220</f>
        <v>CTRL_X_AUX_K_SDTEND_X_X_X_X_LSA_VPU3</v>
      </c>
      <c r="AV219" t="str">
        <f t="shared" si="50"/>
        <v>CTRL_X_AUX_K_SDTEND_X_X_X_X_LSA_VPU3</v>
      </c>
    </row>
    <row r="220" spans="1:51" x14ac:dyDescent="0.35">
      <c r="A220" s="1" t="s">
        <v>1049</v>
      </c>
      <c r="B220" s="11" t="s">
        <v>111</v>
      </c>
      <c r="C220" s="11" t="str">
        <f>VLOOKUP(B220,templateLookup!A:B,2,0)</f>
        <v>AuxiliaryTC</v>
      </c>
      <c r="D220" s="11" t="str">
        <f t="shared" si="47"/>
        <v>CTRL_X_AUX_K_SDTEND_X_X_X_X_LSA_VPU3</v>
      </c>
      <c r="E220" t="s">
        <v>215</v>
      </c>
      <c r="F220" t="s">
        <v>208</v>
      </c>
      <c r="G220" t="s">
        <v>876</v>
      </c>
      <c r="H220" t="s">
        <v>253</v>
      </c>
      <c r="I220" t="s">
        <v>208</v>
      </c>
      <c r="J220" t="s">
        <v>208</v>
      </c>
      <c r="K220" t="s">
        <v>208</v>
      </c>
      <c r="L220" t="s">
        <v>208</v>
      </c>
      <c r="M220" t="s">
        <v>5</v>
      </c>
      <c r="N220" t="s">
        <v>1318</v>
      </c>
      <c r="O220" t="s">
        <v>211</v>
      </c>
      <c r="P220" t="s">
        <v>211</v>
      </c>
      <c r="Q220" t="s">
        <v>212</v>
      </c>
      <c r="R220">
        <v>21</v>
      </c>
      <c r="S220">
        <v>37</v>
      </c>
      <c r="T220">
        <f t="shared" si="51"/>
        <v>101</v>
      </c>
      <c r="U220" t="str">
        <f t="shared" si="48"/>
        <v>2137101</v>
      </c>
      <c r="V220" s="28">
        <v>1</v>
      </c>
      <c r="W220" t="b">
        <v>0</v>
      </c>
      <c r="X220" s="10"/>
      <c r="AC220" t="s">
        <v>960</v>
      </c>
      <c r="AJ220" t="s">
        <v>7</v>
      </c>
      <c r="AK220">
        <v>0</v>
      </c>
      <c r="AL220" s="10"/>
      <c r="AQ220" t="s">
        <v>1342</v>
      </c>
      <c r="AS220">
        <f t="shared" si="49"/>
        <v>3</v>
      </c>
      <c r="AT220" t="s">
        <v>218</v>
      </c>
      <c r="AU220">
        <v>1</v>
      </c>
      <c r="AV220" t="str">
        <f t="shared" si="50"/>
        <v>LSA_VPU_VMIN_K_SDTEND_TITO_VPU_NOM_LFM_1900_TILE3</v>
      </c>
      <c r="AW220" t="str">
        <f>$D222</f>
        <v>CTRL_X_AUX_K_SDTEND_X_X_X_X_LSA_VPU4</v>
      </c>
      <c r="AX220" s="10"/>
      <c r="AY220" s="10"/>
    </row>
    <row r="221" spans="1:51" x14ac:dyDescent="0.35">
      <c r="A221" s="1" t="s">
        <v>1049</v>
      </c>
      <c r="B221" s="11" t="s">
        <v>68</v>
      </c>
      <c r="C221" s="11" t="str">
        <f>VLOOKUP(B221,templateLookup!A:B,2,0)</f>
        <v>LNLVminSearch</v>
      </c>
      <c r="D221" s="11" t="str">
        <f t="shared" si="47"/>
        <v>LSA_VPU_VMIN_K_SDTEND_TITO_VPU_NOM_LFM_1900_TILE3</v>
      </c>
      <c r="E221" t="s">
        <v>5</v>
      </c>
      <c r="F221" t="s">
        <v>25</v>
      </c>
      <c r="G221" t="s">
        <v>951</v>
      </c>
      <c r="H221" t="s">
        <v>253</v>
      </c>
      <c r="I221" t="s">
        <v>260</v>
      </c>
      <c r="J221" t="s">
        <v>25</v>
      </c>
      <c r="K221" t="s">
        <v>284</v>
      </c>
      <c r="L221" t="s">
        <v>285</v>
      </c>
      <c r="M221">
        <v>1900</v>
      </c>
      <c r="N221" t="s">
        <v>1315</v>
      </c>
      <c r="O221" t="s">
        <v>267</v>
      </c>
      <c r="P221" t="s">
        <v>268</v>
      </c>
      <c r="Q221" t="s">
        <v>1316</v>
      </c>
      <c r="R221">
        <v>21</v>
      </c>
      <c r="S221">
        <v>37</v>
      </c>
      <c r="T221">
        <f t="shared" si="51"/>
        <v>102</v>
      </c>
      <c r="U221" t="str">
        <f t="shared" si="48"/>
        <v>2137102</v>
      </c>
      <c r="V221">
        <v>1</v>
      </c>
      <c r="W221" t="b">
        <v>1</v>
      </c>
      <c r="Y221" t="s">
        <v>955</v>
      </c>
      <c r="AB221" t="s">
        <v>298</v>
      </c>
      <c r="AC221" t="s">
        <v>960</v>
      </c>
      <c r="AJ221" t="s">
        <v>7</v>
      </c>
      <c r="AK221">
        <v>0</v>
      </c>
      <c r="AS221">
        <f t="shared" si="49"/>
        <v>2</v>
      </c>
      <c r="AT221">
        <v>1</v>
      </c>
      <c r="AU221" t="str">
        <f>$D222</f>
        <v>CTRL_X_AUX_K_SDTEND_X_X_X_X_LSA_VPU4</v>
      </c>
      <c r="AV221" t="str">
        <f t="shared" si="50"/>
        <v>CTRL_X_AUX_K_SDTEND_X_X_X_X_LSA_VPU4</v>
      </c>
    </row>
    <row r="222" spans="1:51" x14ac:dyDescent="0.35">
      <c r="A222" s="1" t="s">
        <v>1049</v>
      </c>
      <c r="B222" s="11" t="s">
        <v>111</v>
      </c>
      <c r="C222" s="11" t="str">
        <f>VLOOKUP(B222,templateLookup!A:B,2,0)</f>
        <v>AuxiliaryTC</v>
      </c>
      <c r="D222" s="11" t="str">
        <f t="shared" si="47"/>
        <v>CTRL_X_AUX_K_SDTEND_X_X_X_X_LSA_VPU4</v>
      </c>
      <c r="E222" t="s">
        <v>215</v>
      </c>
      <c r="F222" t="s">
        <v>208</v>
      </c>
      <c r="G222" t="s">
        <v>876</v>
      </c>
      <c r="H222" t="s">
        <v>253</v>
      </c>
      <c r="I222" t="s">
        <v>208</v>
      </c>
      <c r="J222" t="s">
        <v>208</v>
      </c>
      <c r="K222" t="s">
        <v>208</v>
      </c>
      <c r="L222" t="s">
        <v>208</v>
      </c>
      <c r="M222" t="s">
        <v>5</v>
      </c>
      <c r="N222" t="s">
        <v>1322</v>
      </c>
      <c r="O222" t="s">
        <v>211</v>
      </c>
      <c r="P222" t="s">
        <v>211</v>
      </c>
      <c r="Q222" t="s">
        <v>212</v>
      </c>
      <c r="R222">
        <v>21</v>
      </c>
      <c r="S222">
        <v>37</v>
      </c>
      <c r="T222">
        <f t="shared" si="51"/>
        <v>103</v>
      </c>
      <c r="U222" t="str">
        <f t="shared" si="48"/>
        <v>2137103</v>
      </c>
      <c r="V222" s="28">
        <v>1</v>
      </c>
      <c r="W222" t="b">
        <v>0</v>
      </c>
      <c r="X222" s="10"/>
      <c r="AC222" t="s">
        <v>960</v>
      </c>
      <c r="AJ222" t="s">
        <v>7</v>
      </c>
      <c r="AK222">
        <v>0</v>
      </c>
      <c r="AL222" s="10"/>
      <c r="AQ222" t="s">
        <v>1343</v>
      </c>
      <c r="AS222">
        <f t="shared" si="49"/>
        <v>3</v>
      </c>
      <c r="AT222" t="s">
        <v>218</v>
      </c>
      <c r="AU222">
        <v>1</v>
      </c>
      <c r="AV222" t="str">
        <f t="shared" si="50"/>
        <v>LSA_VPU_VMIN_K_SDTEND_TITO_VPU_NOM_LFM_1900_TILE4</v>
      </c>
      <c r="AW222" t="str">
        <f>$D224</f>
        <v>CTRL_X_AUX_K_SDTEND_X_X_X_X_LSA_VPU5</v>
      </c>
      <c r="AX222" s="10"/>
      <c r="AY222" s="10"/>
    </row>
    <row r="223" spans="1:51" x14ac:dyDescent="0.35">
      <c r="A223" s="1" t="s">
        <v>1049</v>
      </c>
      <c r="B223" s="11" t="s">
        <v>68</v>
      </c>
      <c r="C223" s="11" t="str">
        <f>VLOOKUP(B223,templateLookup!A:B,2,0)</f>
        <v>LNLVminSearch</v>
      </c>
      <c r="D223" s="11" t="str">
        <f t="shared" si="47"/>
        <v>LSA_VPU_VMIN_K_SDTEND_TITO_VPU_NOM_LFM_1900_TILE4</v>
      </c>
      <c r="E223" t="s">
        <v>5</v>
      </c>
      <c r="F223" t="s">
        <v>25</v>
      </c>
      <c r="G223" t="s">
        <v>951</v>
      </c>
      <c r="H223" t="s">
        <v>253</v>
      </c>
      <c r="I223" t="s">
        <v>260</v>
      </c>
      <c r="J223" t="s">
        <v>25</v>
      </c>
      <c r="K223" t="s">
        <v>284</v>
      </c>
      <c r="L223" t="s">
        <v>285</v>
      </c>
      <c r="M223">
        <v>1900</v>
      </c>
      <c r="N223" t="s">
        <v>1319</v>
      </c>
      <c r="O223" t="s">
        <v>267</v>
      </c>
      <c r="P223" t="s">
        <v>268</v>
      </c>
      <c r="Q223" t="s">
        <v>1320</v>
      </c>
      <c r="R223">
        <v>21</v>
      </c>
      <c r="S223">
        <v>37</v>
      </c>
      <c r="T223">
        <f t="shared" si="51"/>
        <v>104</v>
      </c>
      <c r="U223" t="str">
        <f t="shared" si="48"/>
        <v>2137104</v>
      </c>
      <c r="V223">
        <v>1</v>
      </c>
      <c r="W223" t="b">
        <v>1</v>
      </c>
      <c r="Y223" t="s">
        <v>955</v>
      </c>
      <c r="AB223" t="s">
        <v>298</v>
      </c>
      <c r="AC223" t="s">
        <v>960</v>
      </c>
      <c r="AJ223" t="s">
        <v>7</v>
      </c>
      <c r="AK223">
        <v>0</v>
      </c>
      <c r="AS223">
        <f t="shared" si="49"/>
        <v>2</v>
      </c>
      <c r="AT223">
        <v>1</v>
      </c>
      <c r="AU223" t="str">
        <f>$D224</f>
        <v>CTRL_X_AUX_K_SDTEND_X_X_X_X_LSA_VPU5</v>
      </c>
      <c r="AV223" t="str">
        <f t="shared" si="50"/>
        <v>CTRL_X_AUX_K_SDTEND_X_X_X_X_LSA_VPU5</v>
      </c>
    </row>
    <row r="224" spans="1:51" x14ac:dyDescent="0.35">
      <c r="A224" s="1" t="s">
        <v>1049</v>
      </c>
      <c r="B224" s="11" t="s">
        <v>111</v>
      </c>
      <c r="C224" s="11" t="str">
        <f>VLOOKUP(B224,templateLookup!A:B,2,0)</f>
        <v>AuxiliaryTC</v>
      </c>
      <c r="D224" s="11" t="str">
        <f t="shared" si="47"/>
        <v>CTRL_X_AUX_K_SDTEND_X_X_X_X_LSA_VPU5</v>
      </c>
      <c r="E224" t="s">
        <v>215</v>
      </c>
      <c r="F224" t="s">
        <v>208</v>
      </c>
      <c r="G224" t="s">
        <v>876</v>
      </c>
      <c r="H224" t="s">
        <v>253</v>
      </c>
      <c r="I224" t="s">
        <v>208</v>
      </c>
      <c r="J224" t="s">
        <v>208</v>
      </c>
      <c r="K224" t="s">
        <v>208</v>
      </c>
      <c r="L224" t="s">
        <v>208</v>
      </c>
      <c r="M224" t="s">
        <v>5</v>
      </c>
      <c r="N224" t="s">
        <v>1326</v>
      </c>
      <c r="O224" t="s">
        <v>211</v>
      </c>
      <c r="P224" t="s">
        <v>211</v>
      </c>
      <c r="Q224" t="s">
        <v>212</v>
      </c>
      <c r="R224">
        <v>21</v>
      </c>
      <c r="S224">
        <v>37</v>
      </c>
      <c r="T224">
        <f t="shared" si="51"/>
        <v>105</v>
      </c>
      <c r="U224" t="str">
        <f t="shared" si="48"/>
        <v>2137105</v>
      </c>
      <c r="V224" s="28">
        <v>1</v>
      </c>
      <c r="W224" t="b">
        <v>0</v>
      </c>
      <c r="X224" s="10"/>
      <c r="AC224" t="s">
        <v>960</v>
      </c>
      <c r="AJ224" t="s">
        <v>7</v>
      </c>
      <c r="AK224">
        <v>0</v>
      </c>
      <c r="AL224" s="10"/>
      <c r="AQ224" t="s">
        <v>1344</v>
      </c>
      <c r="AS224">
        <f t="shared" si="49"/>
        <v>3</v>
      </c>
      <c r="AT224" t="s">
        <v>218</v>
      </c>
      <c r="AU224">
        <v>1</v>
      </c>
      <c r="AV224" t="str">
        <f t="shared" si="50"/>
        <v>LSA_VPU_VMIN_K_SDTEND_TITO_VPU_NOM_LFM_1900_TILE5</v>
      </c>
      <c r="AW224">
        <v>1</v>
      </c>
      <c r="AX224" s="10"/>
      <c r="AY224" s="10"/>
    </row>
    <row r="225" spans="1:51" x14ac:dyDescent="0.35">
      <c r="A225" s="1" t="s">
        <v>1049</v>
      </c>
      <c r="B225" s="11" t="s">
        <v>68</v>
      </c>
      <c r="C225" s="11" t="str">
        <f>VLOOKUP(B225,templateLookup!A:B,2,0)</f>
        <v>LNLVminSearch</v>
      </c>
      <c r="D225" s="11" t="str">
        <f t="shared" si="47"/>
        <v>LSA_VPU_VMIN_K_SDTEND_TITO_VPU_NOM_LFM_1900_TILE5</v>
      </c>
      <c r="E225" t="s">
        <v>5</v>
      </c>
      <c r="F225" t="s">
        <v>25</v>
      </c>
      <c r="G225" t="s">
        <v>951</v>
      </c>
      <c r="H225" t="s">
        <v>253</v>
      </c>
      <c r="I225" t="s">
        <v>260</v>
      </c>
      <c r="J225" t="s">
        <v>25</v>
      </c>
      <c r="K225" t="s">
        <v>284</v>
      </c>
      <c r="L225" t="s">
        <v>285</v>
      </c>
      <c r="M225">
        <v>1900</v>
      </c>
      <c r="N225" t="s">
        <v>1323</v>
      </c>
      <c r="O225" t="s">
        <v>267</v>
      </c>
      <c r="P225" t="s">
        <v>268</v>
      </c>
      <c r="Q225" t="s">
        <v>1324</v>
      </c>
      <c r="R225">
        <v>21</v>
      </c>
      <c r="S225">
        <v>37</v>
      </c>
      <c r="T225">
        <f t="shared" si="51"/>
        <v>106</v>
      </c>
      <c r="U225" t="str">
        <f t="shared" si="48"/>
        <v>2137106</v>
      </c>
      <c r="V225">
        <v>1</v>
      </c>
      <c r="W225" t="b">
        <v>1</v>
      </c>
      <c r="Y225" t="s">
        <v>955</v>
      </c>
      <c r="AB225" t="s">
        <v>298</v>
      </c>
      <c r="AC225" t="s">
        <v>960</v>
      </c>
      <c r="AJ225" t="s">
        <v>7</v>
      </c>
      <c r="AK225">
        <v>0</v>
      </c>
      <c r="AS225">
        <f t="shared" si="49"/>
        <v>2</v>
      </c>
      <c r="AT225">
        <v>1</v>
      </c>
      <c r="AU225">
        <v>1</v>
      </c>
      <c r="AV225">
        <v>1</v>
      </c>
    </row>
    <row r="226" spans="1:51" x14ac:dyDescent="0.35">
      <c r="A226" s="29" t="s">
        <v>1049</v>
      </c>
      <c r="B226" s="5" t="s">
        <v>50</v>
      </c>
      <c r="C226" s="5" t="str">
        <f>VLOOKUP(B226,templateLookup!A:B,2,0)</f>
        <v>COMPOSITE</v>
      </c>
      <c r="D226" s="6"/>
    </row>
    <row r="227" spans="1:51" x14ac:dyDescent="0.35">
      <c r="A227" s="29" t="s">
        <v>1049</v>
      </c>
      <c r="B227" s="5" t="s">
        <v>49</v>
      </c>
      <c r="C227" s="5" t="str">
        <f>VLOOKUP(B227,templateLookup!A:B,2,0)</f>
        <v>COMPOSITE</v>
      </c>
      <c r="D227" s="5" t="s">
        <v>1377</v>
      </c>
      <c r="E227" s="5"/>
      <c r="F227" s="5" t="s">
        <v>25</v>
      </c>
      <c r="AS227">
        <v>2</v>
      </c>
      <c r="AT227">
        <v>1</v>
      </c>
      <c r="AU227">
        <v>1</v>
      </c>
      <c r="AV227">
        <v>1</v>
      </c>
    </row>
    <row r="228" spans="1:51" x14ac:dyDescent="0.35">
      <c r="A228" s="1" t="s">
        <v>1049</v>
      </c>
      <c r="B228" s="11" t="s">
        <v>111</v>
      </c>
      <c r="C228" s="11" t="str">
        <f>VLOOKUP(B228,templateLookup!A:B,2,0)</f>
        <v>AuxiliaryTC</v>
      </c>
      <c r="D228" s="11" t="str">
        <f t="shared" ref="D228:D239" si="52">E228&amp;"_"&amp;F228&amp;"_"&amp;G228&amp;"_"&amp;H228&amp;"_"&amp;A228&amp;"_"&amp;I228&amp;"_"&amp;J228&amp;"_"&amp;K228&amp;"_"&amp;L228&amp;"_"&amp;M228&amp;"_"&amp;N228</f>
        <v>CTRL_X_AUX_K_SDTEND_X_X_X_X_SSA_VPU0</v>
      </c>
      <c r="E228" t="s">
        <v>215</v>
      </c>
      <c r="F228" t="s">
        <v>208</v>
      </c>
      <c r="G228" t="s">
        <v>876</v>
      </c>
      <c r="H228" t="s">
        <v>253</v>
      </c>
      <c r="I228" t="s">
        <v>208</v>
      </c>
      <c r="J228" t="s">
        <v>208</v>
      </c>
      <c r="K228" t="s">
        <v>208</v>
      </c>
      <c r="L228" t="s">
        <v>208</v>
      </c>
      <c r="M228" t="s">
        <v>4</v>
      </c>
      <c r="N228" t="s">
        <v>1306</v>
      </c>
      <c r="O228" t="s">
        <v>211</v>
      </c>
      <c r="P228" t="s">
        <v>211</v>
      </c>
      <c r="Q228" t="s">
        <v>212</v>
      </c>
      <c r="R228">
        <v>61</v>
      </c>
      <c r="S228">
        <v>37</v>
      </c>
      <c r="T228">
        <v>95</v>
      </c>
      <c r="U228" t="str">
        <f t="shared" ref="U228:U239" si="53">R228&amp;S228&amp;T228</f>
        <v>613795</v>
      </c>
      <c r="V228" s="28">
        <v>1</v>
      </c>
      <c r="W228" t="b">
        <v>0</v>
      </c>
      <c r="X228" s="10"/>
      <c r="AJ228" t="s">
        <v>7</v>
      </c>
      <c r="AK228">
        <v>0</v>
      </c>
      <c r="AL228" s="10"/>
      <c r="AQ228" t="s">
        <v>1339</v>
      </c>
      <c r="AS228">
        <f t="shared" ref="AS228:AS239" si="54">COUNTA(AU228:BD228)</f>
        <v>3</v>
      </c>
      <c r="AT228" t="s">
        <v>218</v>
      </c>
      <c r="AU228">
        <v>1</v>
      </c>
      <c r="AV228" t="str">
        <f t="shared" ref="AV228:AV238" si="55">$D229</f>
        <v>SSA_VPU_VMIN_K_SDTEND_TITO_VPU_NOM_LFM_1900_TILE0</v>
      </c>
      <c r="AW228" t="str">
        <f>$D230</f>
        <v>CTRL_X_AUX_K_SDTEND_X_X_X_X_SSA_VPU1</v>
      </c>
    </row>
    <row r="229" spans="1:51" x14ac:dyDescent="0.35">
      <c r="A229" s="1" t="s">
        <v>1049</v>
      </c>
      <c r="B229" s="11" t="s">
        <v>68</v>
      </c>
      <c r="C229" s="11" t="str">
        <f>VLOOKUP(B229,templateLookup!A:B,2,0)</f>
        <v>LNLVminSearch</v>
      </c>
      <c r="D229" s="11" t="str">
        <f t="shared" si="52"/>
        <v>SSA_VPU_VMIN_K_SDTEND_TITO_VPU_NOM_LFM_1900_TILE0</v>
      </c>
      <c r="E229" t="s">
        <v>4</v>
      </c>
      <c r="F229" t="s">
        <v>25</v>
      </c>
      <c r="G229" t="s">
        <v>951</v>
      </c>
      <c r="H229" t="s">
        <v>253</v>
      </c>
      <c r="I229" t="s">
        <v>260</v>
      </c>
      <c r="J229" t="s">
        <v>25</v>
      </c>
      <c r="K229" t="s">
        <v>284</v>
      </c>
      <c r="L229" t="s">
        <v>285</v>
      </c>
      <c r="M229">
        <v>1900</v>
      </c>
      <c r="N229" t="s">
        <v>1303</v>
      </c>
      <c r="O229" t="s">
        <v>267</v>
      </c>
      <c r="P229" t="s">
        <v>268</v>
      </c>
      <c r="Q229" t="s">
        <v>1328</v>
      </c>
      <c r="R229">
        <v>61</v>
      </c>
      <c r="S229">
        <v>37</v>
      </c>
      <c r="T229">
        <v>200</v>
      </c>
      <c r="U229" t="str">
        <f t="shared" si="53"/>
        <v>6137200</v>
      </c>
      <c r="V229">
        <v>1</v>
      </c>
      <c r="W229" t="b">
        <v>1</v>
      </c>
      <c r="Y229" t="s">
        <v>955</v>
      </c>
      <c r="AB229" t="s">
        <v>298</v>
      </c>
      <c r="AC229" t="s">
        <v>960</v>
      </c>
      <c r="AJ229" t="s">
        <v>7</v>
      </c>
      <c r="AK229">
        <v>0</v>
      </c>
      <c r="AS229">
        <f t="shared" si="54"/>
        <v>2</v>
      </c>
      <c r="AT229">
        <v>1</v>
      </c>
      <c r="AU229" t="str">
        <f>$D230</f>
        <v>CTRL_X_AUX_K_SDTEND_X_X_X_X_SSA_VPU1</v>
      </c>
      <c r="AV229" t="str">
        <f t="shared" si="55"/>
        <v>CTRL_X_AUX_K_SDTEND_X_X_X_X_SSA_VPU1</v>
      </c>
    </row>
    <row r="230" spans="1:51" x14ac:dyDescent="0.35">
      <c r="A230" s="1" t="s">
        <v>1049</v>
      </c>
      <c r="B230" s="11" t="s">
        <v>111</v>
      </c>
      <c r="C230" s="11" t="str">
        <f>VLOOKUP(B230,templateLookup!A:B,2,0)</f>
        <v>AuxiliaryTC</v>
      </c>
      <c r="D230" s="11" t="str">
        <f t="shared" si="52"/>
        <v>CTRL_X_AUX_K_SDTEND_X_X_X_X_SSA_VPU1</v>
      </c>
      <c r="E230" t="s">
        <v>215</v>
      </c>
      <c r="F230" t="s">
        <v>208</v>
      </c>
      <c r="G230" t="s">
        <v>876</v>
      </c>
      <c r="H230" t="s">
        <v>253</v>
      </c>
      <c r="I230" t="s">
        <v>208</v>
      </c>
      <c r="J230" t="s">
        <v>208</v>
      </c>
      <c r="K230" t="s">
        <v>208</v>
      </c>
      <c r="L230" t="s">
        <v>208</v>
      </c>
      <c r="M230" t="s">
        <v>4</v>
      </c>
      <c r="N230" t="s">
        <v>1310</v>
      </c>
      <c r="O230" t="s">
        <v>211</v>
      </c>
      <c r="P230" t="s">
        <v>211</v>
      </c>
      <c r="Q230" t="s">
        <v>212</v>
      </c>
      <c r="R230">
        <v>61</v>
      </c>
      <c r="S230">
        <v>37</v>
      </c>
      <c r="T230">
        <f t="shared" ref="T230:T239" si="56">T229+1</f>
        <v>201</v>
      </c>
      <c r="U230" t="str">
        <f t="shared" si="53"/>
        <v>6137201</v>
      </c>
      <c r="V230" s="28">
        <v>1</v>
      </c>
      <c r="W230" t="b">
        <v>0</v>
      </c>
      <c r="X230" s="10"/>
      <c r="AC230" t="s">
        <v>960</v>
      </c>
      <c r="AJ230" t="s">
        <v>7</v>
      </c>
      <c r="AK230">
        <v>0</v>
      </c>
      <c r="AL230" s="10"/>
      <c r="AQ230" t="s">
        <v>1340</v>
      </c>
      <c r="AS230">
        <f t="shared" si="54"/>
        <v>3</v>
      </c>
      <c r="AT230" t="s">
        <v>218</v>
      </c>
      <c r="AU230">
        <v>1</v>
      </c>
      <c r="AV230" t="str">
        <f t="shared" si="55"/>
        <v>SSA_VPU_VMIN_K_SDTEND_TITO_VPU_NOM_LFM_1900_TILE1</v>
      </c>
      <c r="AW230" t="str">
        <f>$D232</f>
        <v>CTRL_X_AUX_K_SDTEND_X_X_X_X_SSA_VPU2</v>
      </c>
      <c r="AX230" s="10"/>
      <c r="AY230" s="10"/>
    </row>
    <row r="231" spans="1:51" x14ac:dyDescent="0.35">
      <c r="A231" s="1" t="s">
        <v>1049</v>
      </c>
      <c r="B231" s="11" t="s">
        <v>68</v>
      </c>
      <c r="C231" s="11" t="str">
        <f>VLOOKUP(B231,templateLookup!A:B,2,0)</f>
        <v>LNLVminSearch</v>
      </c>
      <c r="D231" s="11" t="str">
        <f t="shared" si="52"/>
        <v>SSA_VPU_VMIN_K_SDTEND_TITO_VPU_NOM_LFM_1900_TILE1</v>
      </c>
      <c r="E231" t="s">
        <v>4</v>
      </c>
      <c r="F231" t="s">
        <v>25</v>
      </c>
      <c r="G231" t="s">
        <v>951</v>
      </c>
      <c r="H231" t="s">
        <v>253</v>
      </c>
      <c r="I231" t="s">
        <v>260</v>
      </c>
      <c r="J231" t="s">
        <v>25</v>
      </c>
      <c r="K231" t="s">
        <v>284</v>
      </c>
      <c r="L231" t="s">
        <v>285</v>
      </c>
      <c r="M231">
        <v>1900</v>
      </c>
      <c r="N231" t="s">
        <v>1307</v>
      </c>
      <c r="O231" t="s">
        <v>267</v>
      </c>
      <c r="P231" t="s">
        <v>268</v>
      </c>
      <c r="Q231" t="s">
        <v>1329</v>
      </c>
      <c r="R231">
        <v>61</v>
      </c>
      <c r="S231">
        <v>37</v>
      </c>
      <c r="T231">
        <f t="shared" si="56"/>
        <v>202</v>
      </c>
      <c r="U231" t="str">
        <f t="shared" si="53"/>
        <v>6137202</v>
      </c>
      <c r="V231">
        <v>1</v>
      </c>
      <c r="W231" t="b">
        <v>1</v>
      </c>
      <c r="Y231" t="s">
        <v>955</v>
      </c>
      <c r="AB231" t="s">
        <v>298</v>
      </c>
      <c r="AC231" t="s">
        <v>960</v>
      </c>
      <c r="AJ231" t="s">
        <v>7</v>
      </c>
      <c r="AK231">
        <v>0</v>
      </c>
      <c r="AS231">
        <f t="shared" si="54"/>
        <v>2</v>
      </c>
      <c r="AT231">
        <v>1</v>
      </c>
      <c r="AU231" t="str">
        <f>$D232</f>
        <v>CTRL_X_AUX_K_SDTEND_X_X_X_X_SSA_VPU2</v>
      </c>
      <c r="AV231" t="str">
        <f t="shared" si="55"/>
        <v>CTRL_X_AUX_K_SDTEND_X_X_X_X_SSA_VPU2</v>
      </c>
    </row>
    <row r="232" spans="1:51" x14ac:dyDescent="0.35">
      <c r="A232" s="1" t="s">
        <v>1049</v>
      </c>
      <c r="B232" s="11" t="s">
        <v>111</v>
      </c>
      <c r="C232" s="11" t="str">
        <f>VLOOKUP(B232,templateLookup!A:B,2,0)</f>
        <v>AuxiliaryTC</v>
      </c>
      <c r="D232" s="11" t="str">
        <f t="shared" si="52"/>
        <v>CTRL_X_AUX_K_SDTEND_X_X_X_X_SSA_VPU2</v>
      </c>
      <c r="E232" t="s">
        <v>215</v>
      </c>
      <c r="F232" t="s">
        <v>208</v>
      </c>
      <c r="G232" t="s">
        <v>876</v>
      </c>
      <c r="H232" t="s">
        <v>253</v>
      </c>
      <c r="I232" t="s">
        <v>208</v>
      </c>
      <c r="J232" t="s">
        <v>208</v>
      </c>
      <c r="K232" t="s">
        <v>208</v>
      </c>
      <c r="L232" t="s">
        <v>208</v>
      </c>
      <c r="M232" t="s">
        <v>4</v>
      </c>
      <c r="N232" t="s">
        <v>1314</v>
      </c>
      <c r="O232" t="s">
        <v>211</v>
      </c>
      <c r="P232" t="s">
        <v>211</v>
      </c>
      <c r="Q232" t="s">
        <v>212</v>
      </c>
      <c r="R232">
        <v>61</v>
      </c>
      <c r="S232">
        <v>37</v>
      </c>
      <c r="T232">
        <f t="shared" si="56"/>
        <v>203</v>
      </c>
      <c r="U232" t="str">
        <f t="shared" si="53"/>
        <v>6137203</v>
      </c>
      <c r="V232" s="28">
        <v>1</v>
      </c>
      <c r="W232" t="b">
        <v>0</v>
      </c>
      <c r="X232" s="10"/>
      <c r="AC232" t="s">
        <v>960</v>
      </c>
      <c r="AJ232" t="s">
        <v>7</v>
      </c>
      <c r="AK232">
        <v>0</v>
      </c>
      <c r="AL232" s="10"/>
      <c r="AQ232" t="s">
        <v>1341</v>
      </c>
      <c r="AS232">
        <f t="shared" si="54"/>
        <v>3</v>
      </c>
      <c r="AT232" t="s">
        <v>218</v>
      </c>
      <c r="AU232">
        <v>1</v>
      </c>
      <c r="AV232" t="str">
        <f t="shared" si="55"/>
        <v>SSA_VPU_VMIN_K_SDTEND_TITO_VPU_NOM_LFM_1900_TILE2</v>
      </c>
      <c r="AW232" t="str">
        <f>$D234</f>
        <v>CTRL_X_AUX_K_SDTEND_X_X_X_X_SSA_VPU3</v>
      </c>
      <c r="AX232" s="10"/>
      <c r="AY232" s="10"/>
    </row>
    <row r="233" spans="1:51" x14ac:dyDescent="0.35">
      <c r="A233" s="1" t="s">
        <v>1049</v>
      </c>
      <c r="B233" s="11" t="s">
        <v>68</v>
      </c>
      <c r="C233" s="11" t="str">
        <f>VLOOKUP(B233,templateLookup!A:B,2,0)</f>
        <v>LNLVminSearch</v>
      </c>
      <c r="D233" s="11" t="str">
        <f t="shared" si="52"/>
        <v>SSA_VPU_VMIN_K_SDTEND_TITO_VPU_NOM_LFM_1900_TILE2</v>
      </c>
      <c r="E233" t="s">
        <v>4</v>
      </c>
      <c r="F233" t="s">
        <v>25</v>
      </c>
      <c r="G233" t="s">
        <v>951</v>
      </c>
      <c r="H233" t="s">
        <v>253</v>
      </c>
      <c r="I233" t="s">
        <v>260</v>
      </c>
      <c r="J233" t="s">
        <v>25</v>
      </c>
      <c r="K233" t="s">
        <v>284</v>
      </c>
      <c r="L233" t="s">
        <v>285</v>
      </c>
      <c r="M233">
        <v>1900</v>
      </c>
      <c r="N233" t="s">
        <v>1311</v>
      </c>
      <c r="O233" t="s">
        <v>267</v>
      </c>
      <c r="P233" t="s">
        <v>268</v>
      </c>
      <c r="Q233" t="s">
        <v>1330</v>
      </c>
      <c r="R233">
        <v>61</v>
      </c>
      <c r="S233">
        <v>37</v>
      </c>
      <c r="T233">
        <f t="shared" si="56"/>
        <v>204</v>
      </c>
      <c r="U233" t="str">
        <f t="shared" si="53"/>
        <v>6137204</v>
      </c>
      <c r="V233">
        <v>1</v>
      </c>
      <c r="W233" t="b">
        <v>1</v>
      </c>
      <c r="Y233" t="s">
        <v>955</v>
      </c>
      <c r="AB233" t="s">
        <v>298</v>
      </c>
      <c r="AC233" t="s">
        <v>960</v>
      </c>
      <c r="AJ233" t="s">
        <v>7</v>
      </c>
      <c r="AK233">
        <v>0</v>
      </c>
      <c r="AS233">
        <f t="shared" si="54"/>
        <v>2</v>
      </c>
      <c r="AT233">
        <v>1</v>
      </c>
      <c r="AU233" t="str">
        <f>$D234</f>
        <v>CTRL_X_AUX_K_SDTEND_X_X_X_X_SSA_VPU3</v>
      </c>
      <c r="AV233" t="str">
        <f t="shared" si="55"/>
        <v>CTRL_X_AUX_K_SDTEND_X_X_X_X_SSA_VPU3</v>
      </c>
    </row>
    <row r="234" spans="1:51" x14ac:dyDescent="0.35">
      <c r="A234" s="1" t="s">
        <v>1049</v>
      </c>
      <c r="B234" s="11" t="s">
        <v>111</v>
      </c>
      <c r="C234" s="11" t="str">
        <f>VLOOKUP(B234,templateLookup!A:B,2,0)</f>
        <v>AuxiliaryTC</v>
      </c>
      <c r="D234" s="11" t="str">
        <f t="shared" si="52"/>
        <v>CTRL_X_AUX_K_SDTEND_X_X_X_X_SSA_VPU3</v>
      </c>
      <c r="E234" t="s">
        <v>215</v>
      </c>
      <c r="F234" t="s">
        <v>208</v>
      </c>
      <c r="G234" t="s">
        <v>876</v>
      </c>
      <c r="H234" t="s">
        <v>253</v>
      </c>
      <c r="I234" t="s">
        <v>208</v>
      </c>
      <c r="J234" t="s">
        <v>208</v>
      </c>
      <c r="K234" t="s">
        <v>208</v>
      </c>
      <c r="L234" t="s">
        <v>208</v>
      </c>
      <c r="M234" t="s">
        <v>4</v>
      </c>
      <c r="N234" t="s">
        <v>1318</v>
      </c>
      <c r="O234" t="s">
        <v>211</v>
      </c>
      <c r="P234" t="s">
        <v>211</v>
      </c>
      <c r="Q234" t="s">
        <v>212</v>
      </c>
      <c r="R234">
        <v>61</v>
      </c>
      <c r="S234">
        <v>37</v>
      </c>
      <c r="T234">
        <f t="shared" si="56"/>
        <v>205</v>
      </c>
      <c r="U234" t="str">
        <f t="shared" si="53"/>
        <v>6137205</v>
      </c>
      <c r="V234" s="28">
        <v>1</v>
      </c>
      <c r="W234" t="b">
        <v>0</v>
      </c>
      <c r="X234" s="10"/>
      <c r="AC234" t="s">
        <v>960</v>
      </c>
      <c r="AJ234" t="s">
        <v>7</v>
      </c>
      <c r="AK234">
        <v>0</v>
      </c>
      <c r="AL234" s="10"/>
      <c r="AQ234" t="s">
        <v>1342</v>
      </c>
      <c r="AS234">
        <f t="shared" si="54"/>
        <v>3</v>
      </c>
      <c r="AT234" t="s">
        <v>218</v>
      </c>
      <c r="AU234">
        <v>1</v>
      </c>
      <c r="AV234" t="str">
        <f t="shared" si="55"/>
        <v>SSA_VPU_VMIN_K_SDTEND_TITO_VPU_NOM_LFM_1900_TILE3</v>
      </c>
      <c r="AW234" t="str">
        <f>$D236</f>
        <v>CTRL_X_AUX_K_SDTEND_X_X_X_X_SSA_VPU4</v>
      </c>
      <c r="AX234" s="10"/>
      <c r="AY234" s="10"/>
    </row>
    <row r="235" spans="1:51" x14ac:dyDescent="0.35">
      <c r="A235" s="1" t="s">
        <v>1049</v>
      </c>
      <c r="B235" s="11" t="s">
        <v>68</v>
      </c>
      <c r="C235" s="11" t="str">
        <f>VLOOKUP(B235,templateLookup!A:B,2,0)</f>
        <v>LNLVminSearch</v>
      </c>
      <c r="D235" s="11" t="str">
        <f t="shared" si="52"/>
        <v>SSA_VPU_VMIN_K_SDTEND_TITO_VPU_NOM_LFM_1900_TILE3</v>
      </c>
      <c r="E235" t="s">
        <v>4</v>
      </c>
      <c r="F235" t="s">
        <v>25</v>
      </c>
      <c r="G235" t="s">
        <v>951</v>
      </c>
      <c r="H235" t="s">
        <v>253</v>
      </c>
      <c r="I235" t="s">
        <v>260</v>
      </c>
      <c r="J235" t="s">
        <v>25</v>
      </c>
      <c r="K235" t="s">
        <v>284</v>
      </c>
      <c r="L235" t="s">
        <v>285</v>
      </c>
      <c r="M235">
        <v>1900</v>
      </c>
      <c r="N235" t="s">
        <v>1315</v>
      </c>
      <c r="O235" t="s">
        <v>267</v>
      </c>
      <c r="P235" t="s">
        <v>268</v>
      </c>
      <c r="Q235" t="s">
        <v>1331</v>
      </c>
      <c r="R235">
        <v>61</v>
      </c>
      <c r="S235">
        <v>37</v>
      </c>
      <c r="T235">
        <f t="shared" si="56"/>
        <v>206</v>
      </c>
      <c r="U235" t="str">
        <f t="shared" si="53"/>
        <v>6137206</v>
      </c>
      <c r="V235">
        <v>1</v>
      </c>
      <c r="W235" t="b">
        <v>1</v>
      </c>
      <c r="Y235" t="s">
        <v>955</v>
      </c>
      <c r="AB235" t="s">
        <v>298</v>
      </c>
      <c r="AC235" t="s">
        <v>960</v>
      </c>
      <c r="AJ235" t="s">
        <v>7</v>
      </c>
      <c r="AK235">
        <v>0</v>
      </c>
      <c r="AS235">
        <f t="shared" si="54"/>
        <v>2</v>
      </c>
      <c r="AT235">
        <v>1</v>
      </c>
      <c r="AU235" t="str">
        <f>$D236</f>
        <v>CTRL_X_AUX_K_SDTEND_X_X_X_X_SSA_VPU4</v>
      </c>
      <c r="AV235" t="str">
        <f t="shared" si="55"/>
        <v>CTRL_X_AUX_K_SDTEND_X_X_X_X_SSA_VPU4</v>
      </c>
    </row>
    <row r="236" spans="1:51" x14ac:dyDescent="0.35">
      <c r="A236" s="1" t="s">
        <v>1049</v>
      </c>
      <c r="B236" s="11" t="s">
        <v>111</v>
      </c>
      <c r="C236" s="11" t="str">
        <f>VLOOKUP(B236,templateLookup!A:B,2,0)</f>
        <v>AuxiliaryTC</v>
      </c>
      <c r="D236" s="11" t="str">
        <f t="shared" si="52"/>
        <v>CTRL_X_AUX_K_SDTEND_X_X_X_X_SSA_VPU4</v>
      </c>
      <c r="E236" t="s">
        <v>215</v>
      </c>
      <c r="F236" t="s">
        <v>208</v>
      </c>
      <c r="G236" t="s">
        <v>876</v>
      </c>
      <c r="H236" t="s">
        <v>253</v>
      </c>
      <c r="I236" t="s">
        <v>208</v>
      </c>
      <c r="J236" t="s">
        <v>208</v>
      </c>
      <c r="K236" t="s">
        <v>208</v>
      </c>
      <c r="L236" t="s">
        <v>208</v>
      </c>
      <c r="M236" t="s">
        <v>4</v>
      </c>
      <c r="N236" t="s">
        <v>1322</v>
      </c>
      <c r="O236" t="s">
        <v>211</v>
      </c>
      <c r="P236" t="s">
        <v>211</v>
      </c>
      <c r="Q236" t="s">
        <v>212</v>
      </c>
      <c r="R236">
        <v>61</v>
      </c>
      <c r="S236">
        <v>37</v>
      </c>
      <c r="T236">
        <f t="shared" si="56"/>
        <v>207</v>
      </c>
      <c r="U236" t="str">
        <f t="shared" si="53"/>
        <v>6137207</v>
      </c>
      <c r="V236" s="28">
        <v>1</v>
      </c>
      <c r="W236" t="b">
        <v>0</v>
      </c>
      <c r="X236" s="10"/>
      <c r="AC236" t="s">
        <v>960</v>
      </c>
      <c r="AJ236" t="s">
        <v>7</v>
      </c>
      <c r="AK236">
        <v>0</v>
      </c>
      <c r="AL236" s="10"/>
      <c r="AQ236" t="s">
        <v>1343</v>
      </c>
      <c r="AS236">
        <f t="shared" si="54"/>
        <v>3</v>
      </c>
      <c r="AT236" t="s">
        <v>218</v>
      </c>
      <c r="AU236">
        <v>1</v>
      </c>
      <c r="AV236" t="str">
        <f t="shared" si="55"/>
        <v>SSA_VPU_VMIN_K_SDTEND_TITO_VPU_NOM_LFM_1900_TILE4</v>
      </c>
      <c r="AW236" t="str">
        <f>$D238</f>
        <v>CTRL_X_AUX_K_SDTEND_X_X_X_X_SSA_VPU5</v>
      </c>
      <c r="AX236" s="10"/>
      <c r="AY236" s="10"/>
    </row>
    <row r="237" spans="1:51" x14ac:dyDescent="0.35">
      <c r="A237" s="1" t="s">
        <v>1049</v>
      </c>
      <c r="B237" s="11" t="s">
        <v>68</v>
      </c>
      <c r="C237" s="11" t="str">
        <f>VLOOKUP(B237,templateLookup!A:B,2,0)</f>
        <v>LNLVminSearch</v>
      </c>
      <c r="D237" s="11" t="str">
        <f t="shared" si="52"/>
        <v>SSA_VPU_VMIN_K_SDTEND_TITO_VPU_NOM_LFM_1900_TILE4</v>
      </c>
      <c r="E237" t="s">
        <v>4</v>
      </c>
      <c r="F237" t="s">
        <v>25</v>
      </c>
      <c r="G237" t="s">
        <v>951</v>
      </c>
      <c r="H237" t="s">
        <v>253</v>
      </c>
      <c r="I237" t="s">
        <v>260</v>
      </c>
      <c r="J237" t="s">
        <v>25</v>
      </c>
      <c r="K237" t="s">
        <v>284</v>
      </c>
      <c r="L237" t="s">
        <v>285</v>
      </c>
      <c r="M237">
        <v>1900</v>
      </c>
      <c r="N237" t="s">
        <v>1319</v>
      </c>
      <c r="O237" t="s">
        <v>267</v>
      </c>
      <c r="P237" t="s">
        <v>268</v>
      </c>
      <c r="Q237" t="s">
        <v>1332</v>
      </c>
      <c r="R237">
        <v>61</v>
      </c>
      <c r="S237">
        <v>37</v>
      </c>
      <c r="T237">
        <f t="shared" si="56"/>
        <v>208</v>
      </c>
      <c r="U237" t="str">
        <f t="shared" si="53"/>
        <v>6137208</v>
      </c>
      <c r="V237">
        <v>1</v>
      </c>
      <c r="W237" t="b">
        <v>1</v>
      </c>
      <c r="Y237" t="s">
        <v>955</v>
      </c>
      <c r="AB237" t="s">
        <v>298</v>
      </c>
      <c r="AC237" t="s">
        <v>960</v>
      </c>
      <c r="AJ237" t="s">
        <v>7</v>
      </c>
      <c r="AK237">
        <v>0</v>
      </c>
      <c r="AS237">
        <f t="shared" si="54"/>
        <v>2</v>
      </c>
      <c r="AT237">
        <v>1</v>
      </c>
      <c r="AU237" t="str">
        <f>$D238</f>
        <v>CTRL_X_AUX_K_SDTEND_X_X_X_X_SSA_VPU5</v>
      </c>
      <c r="AV237" t="str">
        <f t="shared" si="55"/>
        <v>CTRL_X_AUX_K_SDTEND_X_X_X_X_SSA_VPU5</v>
      </c>
    </row>
    <row r="238" spans="1:51" x14ac:dyDescent="0.35">
      <c r="A238" s="1" t="s">
        <v>1049</v>
      </c>
      <c r="B238" s="11" t="s">
        <v>111</v>
      </c>
      <c r="C238" s="11" t="str">
        <f>VLOOKUP(B238,templateLookup!A:B,2,0)</f>
        <v>AuxiliaryTC</v>
      </c>
      <c r="D238" s="11" t="str">
        <f t="shared" si="52"/>
        <v>CTRL_X_AUX_K_SDTEND_X_X_X_X_SSA_VPU5</v>
      </c>
      <c r="E238" t="s">
        <v>215</v>
      </c>
      <c r="F238" t="s">
        <v>208</v>
      </c>
      <c r="G238" t="s">
        <v>876</v>
      </c>
      <c r="H238" t="s">
        <v>253</v>
      </c>
      <c r="I238" t="s">
        <v>208</v>
      </c>
      <c r="J238" t="s">
        <v>208</v>
      </c>
      <c r="K238" t="s">
        <v>208</v>
      </c>
      <c r="L238" t="s">
        <v>208</v>
      </c>
      <c r="M238" t="s">
        <v>4</v>
      </c>
      <c r="N238" t="s">
        <v>1326</v>
      </c>
      <c r="O238" t="s">
        <v>211</v>
      </c>
      <c r="P238" t="s">
        <v>211</v>
      </c>
      <c r="Q238" t="s">
        <v>212</v>
      </c>
      <c r="R238">
        <v>61</v>
      </c>
      <c r="S238">
        <v>37</v>
      </c>
      <c r="T238">
        <f t="shared" si="56"/>
        <v>209</v>
      </c>
      <c r="U238" t="str">
        <f t="shared" si="53"/>
        <v>6137209</v>
      </c>
      <c r="V238" s="28">
        <v>1</v>
      </c>
      <c r="W238" t="b">
        <v>0</v>
      </c>
      <c r="X238" s="10"/>
      <c r="AC238" t="s">
        <v>960</v>
      </c>
      <c r="AJ238" t="s">
        <v>7</v>
      </c>
      <c r="AK238">
        <v>0</v>
      </c>
      <c r="AL238" s="10"/>
      <c r="AQ238" t="s">
        <v>1344</v>
      </c>
      <c r="AS238">
        <f t="shared" si="54"/>
        <v>3</v>
      </c>
      <c r="AT238" t="s">
        <v>218</v>
      </c>
      <c r="AU238">
        <v>1</v>
      </c>
      <c r="AV238" t="str">
        <f t="shared" si="55"/>
        <v>SSA_VPU_VMIN_K_SDTEND_TITO_VPU_NOM_LFM_1900_TILE5</v>
      </c>
      <c r="AW238">
        <v>1</v>
      </c>
      <c r="AX238" s="10"/>
      <c r="AY238" s="10"/>
    </row>
    <row r="239" spans="1:51" x14ac:dyDescent="0.35">
      <c r="A239" s="1" t="s">
        <v>1049</v>
      </c>
      <c r="B239" s="11" t="s">
        <v>68</v>
      </c>
      <c r="C239" s="11" t="str">
        <f>VLOOKUP(B239,templateLookup!A:B,2,0)</f>
        <v>LNLVminSearch</v>
      </c>
      <c r="D239" s="11" t="str">
        <f t="shared" si="52"/>
        <v>SSA_VPU_VMIN_K_SDTEND_TITO_VPU_NOM_LFM_1900_TILE5</v>
      </c>
      <c r="E239" t="s">
        <v>4</v>
      </c>
      <c r="F239" t="s">
        <v>25</v>
      </c>
      <c r="G239" t="s">
        <v>951</v>
      </c>
      <c r="H239" t="s">
        <v>253</v>
      </c>
      <c r="I239" t="s">
        <v>260</v>
      </c>
      <c r="J239" t="s">
        <v>25</v>
      </c>
      <c r="K239" t="s">
        <v>284</v>
      </c>
      <c r="L239" t="s">
        <v>285</v>
      </c>
      <c r="M239">
        <v>1900</v>
      </c>
      <c r="N239" t="s">
        <v>1323</v>
      </c>
      <c r="O239" t="s">
        <v>267</v>
      </c>
      <c r="P239" t="s">
        <v>268</v>
      </c>
      <c r="Q239" t="s">
        <v>1333</v>
      </c>
      <c r="R239">
        <v>61</v>
      </c>
      <c r="S239">
        <v>37</v>
      </c>
      <c r="T239">
        <f t="shared" si="56"/>
        <v>210</v>
      </c>
      <c r="U239" t="str">
        <f t="shared" si="53"/>
        <v>6137210</v>
      </c>
      <c r="V239">
        <v>1</v>
      </c>
      <c r="W239" t="b">
        <v>1</v>
      </c>
      <c r="Y239" t="s">
        <v>955</v>
      </c>
      <c r="AB239" t="s">
        <v>298</v>
      </c>
      <c r="AC239" t="s">
        <v>960</v>
      </c>
      <c r="AJ239" t="s">
        <v>7</v>
      </c>
      <c r="AK239">
        <v>0</v>
      </c>
      <c r="AS239">
        <f t="shared" si="54"/>
        <v>2</v>
      </c>
      <c r="AT239">
        <v>1</v>
      </c>
      <c r="AU239">
        <v>1</v>
      </c>
      <c r="AV239">
        <v>1</v>
      </c>
    </row>
    <row r="240" spans="1:51" x14ac:dyDescent="0.35">
      <c r="A240" s="29" t="s">
        <v>1049</v>
      </c>
      <c r="B240" s="5" t="s">
        <v>50</v>
      </c>
      <c r="C240" s="5" t="str">
        <f>VLOOKUP(B240,templateLookup!A:B,2,0)</f>
        <v>COMPOSITE</v>
      </c>
      <c r="D240" s="6"/>
    </row>
    <row r="241" spans="1:4" x14ac:dyDescent="0.35">
      <c r="A241" s="29" t="s">
        <v>1049</v>
      </c>
      <c r="B241" s="5" t="s">
        <v>50</v>
      </c>
      <c r="C241" s="5" t="str">
        <f>VLOOKUP(B241,templateLookup!A:B,2,0)</f>
        <v>COMPOSITE</v>
      </c>
      <c r="D241" s="6"/>
    </row>
    <row r="242" spans="1:4" x14ac:dyDescent="0.35">
      <c r="A242" t="s">
        <v>203</v>
      </c>
      <c r="B242" t="s">
        <v>51</v>
      </c>
      <c r="C242" t="str">
        <f>VLOOKUP(B242,templateLookup!A:B,2,0)</f>
        <v>COMPOSITE</v>
      </c>
      <c r="D242" t="s">
        <v>203</v>
      </c>
    </row>
    <row r="266" spans="22:23" x14ac:dyDescent="0.35">
      <c r="V266" s="6"/>
      <c r="W266" s="6"/>
    </row>
  </sheetData>
  <autoFilter ref="A1:BD242" xr:uid="{3E6BEF36-961B-4B93-8E78-4F197E00AF29}"/>
  <phoneticPr fontId="19" type="noConversion"/>
  <conditionalFormatting sqref="U242:U1048576 U1:U9 U11:U40 U43:U48 U50:U76 U155:U176 U178:U207">
    <cfRule type="duplicateValues" dxfId="27" priority="135"/>
  </conditionalFormatting>
  <conditionalFormatting sqref="V1:V9 V143 V145 V147 V149 V151 V11:V40 U154 V43:V48 V89:V141 V153:V176 V178:V212 V50:V87 V214:V1048576">
    <cfRule type="cellIs" dxfId="26" priority="138" operator="equal">
      <formula>1</formula>
    </cfRule>
    <cfRule type="cellIs" dxfId="25" priority="139" operator="equal">
      <formula>-1</formula>
    </cfRule>
  </conditionalFormatting>
  <conditionalFormatting sqref="W1:W9 W11:W40 W43:W48 W89:W176 W178:W212 W50:W87 W214:W1048576">
    <cfRule type="cellIs" dxfId="24" priority="136" operator="equal">
      <formula>TRUE</formula>
    </cfRule>
    <cfRule type="cellIs" dxfId="23" priority="137" operator="equal">
      <formula>FALSE</formula>
    </cfRule>
  </conditionalFormatting>
  <conditionalFormatting sqref="Y1">
    <cfRule type="duplicateValues" dxfId="22" priority="140"/>
  </conditionalFormatting>
  <conditionalFormatting sqref="U77:U78 U116:U153 U80:U82">
    <cfRule type="cellIs" dxfId="21" priority="100" operator="equal">
      <formula>1</formula>
    </cfRule>
    <cfRule type="cellIs" dxfId="20" priority="101" operator="equal">
      <formula>-1</formula>
    </cfRule>
  </conditionalFormatting>
  <conditionalFormatting sqref="V142">
    <cfRule type="cellIs" dxfId="19" priority="103" operator="equal">
      <formula>TRUE</formula>
    </cfRule>
    <cfRule type="cellIs" dxfId="18" priority="104" operator="equal">
      <formula>FALSE</formula>
    </cfRule>
  </conditionalFormatting>
  <conditionalFormatting sqref="V142">
    <cfRule type="expression" dxfId="17" priority="102">
      <formula>EXACT($U142,1)</formula>
    </cfRule>
  </conditionalFormatting>
  <conditionalFormatting sqref="V144">
    <cfRule type="cellIs" dxfId="16" priority="98" operator="equal">
      <formula>TRUE</formula>
    </cfRule>
    <cfRule type="cellIs" dxfId="15" priority="99" operator="equal">
      <formula>FALSE</formula>
    </cfRule>
  </conditionalFormatting>
  <conditionalFormatting sqref="V144">
    <cfRule type="expression" dxfId="14" priority="97">
      <formula>EXACT($U144,1)</formula>
    </cfRule>
  </conditionalFormatting>
  <conditionalFormatting sqref="V146">
    <cfRule type="cellIs" dxfId="13" priority="93" operator="equal">
      <formula>TRUE</formula>
    </cfRule>
    <cfRule type="cellIs" dxfId="12" priority="94" operator="equal">
      <formula>FALSE</formula>
    </cfRule>
  </conditionalFormatting>
  <conditionalFormatting sqref="V146">
    <cfRule type="expression" dxfId="11" priority="92">
      <formula>EXACT($U146,1)</formula>
    </cfRule>
  </conditionalFormatting>
  <conditionalFormatting sqref="V148">
    <cfRule type="cellIs" dxfId="10" priority="88" operator="equal">
      <formula>TRUE</formula>
    </cfRule>
    <cfRule type="cellIs" dxfId="9" priority="89" operator="equal">
      <formula>FALSE</formula>
    </cfRule>
  </conditionalFormatting>
  <conditionalFormatting sqref="V148">
    <cfRule type="expression" dxfId="8" priority="87">
      <formula>EXACT($U148,1)</formula>
    </cfRule>
  </conditionalFormatting>
  <conditionalFormatting sqref="V150">
    <cfRule type="cellIs" dxfId="7" priority="83" operator="equal">
      <formula>TRUE</formula>
    </cfRule>
    <cfRule type="cellIs" dxfId="6" priority="84" operator="equal">
      <formula>FALSE</formula>
    </cfRule>
  </conditionalFormatting>
  <conditionalFormatting sqref="V150">
    <cfRule type="expression" dxfId="5" priority="82">
      <formula>EXACT($U150,1)</formula>
    </cfRule>
  </conditionalFormatting>
  <conditionalFormatting sqref="V152">
    <cfRule type="cellIs" dxfId="4" priority="78" operator="equal">
      <formula>TRUE</formula>
    </cfRule>
    <cfRule type="cellIs" dxfId="3" priority="79" operator="equal">
      <formula>FALSE</formula>
    </cfRule>
  </conditionalFormatting>
  <conditionalFormatting sqref="V152">
    <cfRule type="expression" dxfId="2" priority="77">
      <formula>EXACT($U152,1)</formula>
    </cfRule>
  </conditionalFormatting>
  <conditionalFormatting sqref="U83:U87 U101:U102">
    <cfRule type="duplicateValues" dxfId="1" priority="320"/>
  </conditionalFormatting>
  <conditionalFormatting sqref="U208:U212 U226:U22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00735434F8BC4E847E79EE962A8A4A" ma:contentTypeVersion="13" ma:contentTypeDescription="Create a new document." ma:contentTypeScope="" ma:versionID="c0d98dbe2521ed6f801aa029bd202c59">
  <xsd:schema xmlns:xsd="http://www.w3.org/2001/XMLSchema" xmlns:xs="http://www.w3.org/2001/XMLSchema" xmlns:p="http://schemas.microsoft.com/office/2006/metadata/properties" xmlns:ns2="1cd8a145-0748-4d97-9311-a3be7d9cf841" xmlns:ns3="2e84272e-479a-4b4f-8918-ffe580143f91" targetNamespace="http://schemas.microsoft.com/office/2006/metadata/properties" ma:root="true" ma:fieldsID="b04cdd2268abbf5ebcfdf866e5e689e5" ns2:_="" ns3:_="">
    <xsd:import namespace="1cd8a145-0748-4d97-9311-a3be7d9cf841"/>
    <xsd:import namespace="2e84272e-479a-4b4f-8918-ffe580143f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d8a145-0748-4d97-9311-a3be7d9cf8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72a7515c-90a7-421b-ad67-16208a05513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4272e-479a-4b4f-8918-ffe580143f9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7b644d1f-2984-4951-9310-91a00d25550a}" ma:internalName="TaxCatchAll" ma:showField="CatchAllData" ma:web="2e84272e-479a-4b4f-8918-ffe580143f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2e84272e-479a-4b4f-8918-ffe580143f91">
      <UserInfo>
        <DisplayName>Qiu, Wei Q</DisplayName>
        <AccountId>30</AccountId>
        <AccountType/>
      </UserInfo>
    </SharedWithUsers>
    <TaxCatchAll xmlns="2e84272e-479a-4b4f-8918-ffe580143f91" xsi:nil="true"/>
    <lcf76f155ced4ddcb4097134ff3c332f xmlns="1cd8a145-0748-4d97-9311-a3be7d9cf84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03BDDE-368D-4C23-870F-64AF3FD629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7A4E2C-4300-49F1-AE9B-FEB205AB58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cd8a145-0748-4d97-9311-a3be7d9cf841"/>
    <ds:schemaRef ds:uri="2e84272e-479a-4b4f-8918-ffe580143f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B75644-5C5D-4DCE-8E80-DC3BAE2A215B}">
  <ds:schemaRefs>
    <ds:schemaRef ds:uri="http://schemas.microsoft.com/office/2006/metadata/properties"/>
    <ds:schemaRef ds:uri="http://schemas.microsoft.com/office/infopath/2007/PartnerControls"/>
    <ds:schemaRef ds:uri="2e84272e-479a-4b4f-8918-ffe580143f91"/>
    <ds:schemaRef ds:uri="1cd8a145-0748-4d97-9311-a3be7d9cf841"/>
  </ds:schemaRefs>
</ds:datastoreItem>
</file>

<file path=docMetadata/LabelInfo.xml><?xml version="1.0" encoding="utf-8"?>
<clbl:labelList xmlns:clbl="http://schemas.microsoft.com/office/2020/mipLabelMetadata">
  <clbl:label id="{46c98d88-e344-4ed4-8496-4ed7712e255d}" enabled="0" method="" siteId="{46c98d88-e344-4ed4-8496-4ed7712e25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binningRules</vt:lpstr>
      <vt:lpstr>templateLookup</vt:lpstr>
      <vt:lpstr>DuplicatedCounters</vt:lpstr>
      <vt:lpstr>arr_common</vt:lpstr>
      <vt:lpstr>arr_atom</vt:lpstr>
      <vt:lpstr>arr_ccf</vt:lpstr>
      <vt:lpstr>arr_core</vt:lpstr>
      <vt:lpstr>arr_gfx</vt:lpstr>
      <vt:lpstr>arr_soc</vt:lpstr>
      <vt:lpstr>arr_vpu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Giardini, Davide</dc:creator>
  <cp:keywords>CTPClassification=CTP_NT</cp:keywords>
  <dc:description/>
  <cp:lastModifiedBy>OConnor, Eoghan</cp:lastModifiedBy>
  <cp:revision/>
  <dcterms:created xsi:type="dcterms:W3CDTF">2020-03-05T17:29:28Z</dcterms:created>
  <dcterms:modified xsi:type="dcterms:W3CDTF">2023-09-22T07:34:50Z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31dd26ee-0dbd-481b-8488-94054628c3fb</vt:lpwstr>
  </property>
  <property fmtid="{D5CDD505-2E9C-101B-9397-08002B2CF9AE}" pid="3" name="CTP_TimeStamp">
    <vt:lpwstr>2020-07-21 07:00:14Z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0x0101002200735434F8BC4E847E79EE962A8A4A</vt:lpwstr>
  </property>
  <property fmtid="{D5CDD505-2E9C-101B-9397-08002B2CF9AE}" pid="8" name="CTPClassification">
    <vt:lpwstr>CTP_NT</vt:lpwstr>
  </property>
  <property fmtid="{D5CDD505-2E9C-101B-9397-08002B2CF9AE}" pid="9" name="MediaServiceImageTags">
    <vt:lpwstr/>
  </property>
</Properties>
</file>